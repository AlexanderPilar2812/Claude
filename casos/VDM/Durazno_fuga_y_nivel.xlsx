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</sheets>
  <definedNames>
    <definedName function="false" hidden="true" localSheetId="1" name="_xlnm._FilterDatabase" vbProcedure="false">Datos!$A$7:$J$1936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<sst xmlns="http://schemas.openxmlformats.org/spreadsheetml/2006/main" count="41" uniqueCount="41">
  <si>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Tanque Durazno · fuga entre el caudalímetro de entrada y el tanque</t>
  </si>
  <si>
    <t xml:space="preserve">ZP-05 Vista del Mar · Q2 (entrada) y Q3 (salida), datos crudos del equipo ultrasónico cada 15 min</t>
  </si>
  <si>
    <t xml:space="preserve">Parámetro</t>
  </si>
  <si>
    <t xml:space="preserve">Valor</t>
  </si>
  <si>
    <t xml:space="preserve">Origen / criterio</t>
  </si>
  <si>
    <t xml:space="preserve">Factor del medidor Q2 (k)</t>
  </si>
  <si>
    <t xml:space="preserve">Q2 = k × entrada real + fuga. Ajustado con los días sin fuga (30/08 y 01–03/09): media diaria, noche 01–05 h y mediodía 10–14 h. Q2 lee de más: señal 0,004 V (Q3 0,30 V) y velocidad del sonido 1603 m/s (agua ≈ 1500).</t>
  </si>
  <si>
    <t xml:space="preserve">Inicio de la fuga</t>
  </si>
  <si>
    <t xml:space="preserve">Cambio de nivel del exceso Q2 − k·Q3 (segmentación). Entre 10:00 y 16:45 del 04/09 la entrada estuvo estrangulada y el tanque bajó; al reabrir aparece la fuga.</t>
  </si>
  <si>
    <t xml:space="preserve">Reparación</t>
  </si>
  <si>
    <t xml:space="preserve">Inicio de la maniobra de reparación (16/09); a las 12:00 se retira el equipo.</t>
  </si>
  <si>
    <t xml:space="preserve">Diámetro del tanque (m)</t>
  </si>
  <si>
    <t xml:space="preserve">INP, tanque 3949679</t>
  </si>
  <si>
    <t xml:space="preserve">Área (m²)</t>
  </si>
  <si>
    <t xml:space="preserve">Nivel de control (m)</t>
  </si>
  <si>
    <t xml:space="preserve">Nivel que mantiene la VRP 3960324 de entrada (consigna 2,45 m en cota 1587,1 → carga 1589,55 m; fondo 1587,70 m). Ancla de la curva.</t>
  </si>
  <si>
    <t xml:space="preserve">Inicio del balance</t>
  </si>
  <si>
    <t xml:space="preserve">Antes del 01/09 hay cortes y pérdidas de señal en Q2/Q3 que impiden integrar el balance.</t>
  </si>
  <si>
    <t xml:space="preserve">Resultado por día</t>
  </si>
  <si>
    <t xml:space="preserve">Día</t>
  </si>
  <si>
    <t xml:space="preserve">Q2 medio (L/s)</t>
  </si>
  <si>
    <t xml:space="preserve">Q3 medio (L/s)</t>
  </si>
  <si>
    <t xml:space="preserve">Entrada real (L/s)</t>
  </si>
  <si>
    <t xml:space="preserve">Fuga media (L/s)</t>
  </si>
  <si>
    <t xml:space="preserve">Fuga (m³/día)</t>
  </si>
  <si>
    <t xml:space="preserve">Fuga / Q2 (%)</t>
  </si>
  <si>
    <t xml:space="preserve">Volumen perdido hasta la reparación (m³)</t>
  </si>
  <si>
    <t xml:space="preserve">Fuga media entre el inicio y la reparación (L/s)</t>
  </si>
  <si>
    <t xml:space="preserve">En azul: valores editables. Todo lo demás se calcula con fórmulas a partir de los datos crudos de la hoja «Datos».</t>
  </si>
  <si>
    <t xml:space="preserve">Datos crudos y cálculo del balance del tanque Durazno</t>
  </si>
  <si>
    <t xml:space="preserve">Fuga = media móvil 24 h de Q2 − k × media móvil 24 h de Q3 (≥ 0), solo entre el inicio y la reparación · Entrada real = (Q2 − fuga)/k · Nivel = acumulado del balance (entrada − Q3)/área, sin la deriva de 24 h y anclado al nivel de control</t>
  </si>
  <si>
    <t xml:space="preserve">Fecha y hora</t>
  </si>
  <si>
    <t xml:space="preserve">Q2 entrada crudo (L/s)</t>
  </si>
  <si>
    <t xml:space="preserve">Q3 salida crudo (L/s)</t>
  </si>
  <si>
    <t xml:space="preserve">Válido</t>
  </si>
  <si>
    <t xml:space="preserve">Fuga (L/s)</t>
  </si>
  <si>
    <t xml:space="preserve">Entrada real al tanque (L/s)</t>
  </si>
  <si>
    <t xml:space="preserve">Balance (m³ en 15 min)</t>
  </si>
  <si>
    <t xml:space="preserve">Nivel acumulado (m)</t>
  </si>
  <si>
    <t xml:space="preserve">Nivel sin deriva (m)</t>
  </si>
  <si>
    <t xml:space="preserve">Nivel estimado (m)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</si>
</sst>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\ hh:mm"/>
    <numFmt numFmtId="166" formatCode="0.00"/>
    <numFmt numFmtId="167" formatCode="dd/mm/yyyy"/>
    <numFmt numFmtId="168" formatCode="0%"/>
    <numFmt numFmtId="169" formatCode="0"/>
    <numFmt numFmtId="170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30613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E306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E30613"/>
      <name val="Arial"/>
      <family val="0"/>
      <charset val="1"/>
    </font>
    <font>
      <b val="true"/>
      <sz val="10"/>
      <color rgb="FFE306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30613"/>
        <bgColor rgb="FF99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3061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7" min="4" style="0" width="14"/>
    <col collapsed="false" customWidth="true" hidden="false" outlineLevel="0" max="8" min="8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H4" s="3" t="s">
        <v>4</v>
      </c>
    </row>
    <row r="5" customFormat="false" ht="15" hidden="false" customHeight="false" outlineLevel="0" collapsed="false">
      <c r="A5" s="5" t="s">
        <v>5</v>
      </c>
      <c r="B5" s="6" t="n">
        <v>1.259</v>
      </c>
      <c r="C5" s="7"/>
      <c r="H5" s="8" t="s">
        <v>6</v>
      </c>
    </row>
    <row r="6" customFormat="false" ht="15" hidden="false" customHeight="false" outlineLevel="0" collapsed="false">
      <c r="A6" s="5" t="s">
        <v>7</v>
      </c>
      <c r="B6" s="9" t="n">
        <v>46269.6979166667</v>
      </c>
      <c r="C6" s="7"/>
      <c r="H6" s="8" t="s">
        <v>8</v>
      </c>
    </row>
    <row r="7" customFormat="false" ht="15" hidden="false" customHeight="false" outlineLevel="0" collapsed="false">
      <c r="A7" s="5" t="s">
        <v>9</v>
      </c>
      <c r="B7" s="9" t="n">
        <v>46281.3541666667</v>
      </c>
      <c r="C7" s="7"/>
      <c r="H7" s="8" t="s">
        <v>10</v>
      </c>
    </row>
    <row r="8" customFormat="false" ht="15" hidden="false" customHeight="false" outlineLevel="0" collapsed="false">
      <c r="A8" s="5" t="s">
        <v>11</v>
      </c>
      <c r="B8" s="6" t="n">
        <v>5.19</v>
      </c>
      <c r="C8" s="7"/>
      <c r="H8" s="8" t="s">
        <v>12</v>
      </c>
    </row>
    <row r="9" customFormat="false" ht="15" hidden="false" customHeight="false" outlineLevel="0" collapsed="false">
      <c r="A9" s="5" t="s">
        <v>13</v>
      </c>
      <c r="B9" s="10" t="n">
        <f aca="false">PI()*B8^2/4</f>
        <v>21.15556346909</v>
      </c>
      <c r="C9" s="7"/>
      <c r="H9" s="8"/>
    </row>
    <row r="10" customFormat="false" ht="15" hidden="false" customHeight="false" outlineLevel="0" collapsed="false">
      <c r="A10" s="5" t="s">
        <v>14</v>
      </c>
      <c r="B10" s="6" t="n">
        <v>1.85</v>
      </c>
      <c r="C10" s="7"/>
      <c r="H10" s="8" t="s">
        <v>15</v>
      </c>
    </row>
    <row r="11" customFormat="false" ht="15" hidden="false" customHeight="false" outlineLevel="0" collapsed="false">
      <c r="A11" s="5" t="s">
        <v>16</v>
      </c>
      <c r="B11" s="9" t="n">
        <v>46266</v>
      </c>
      <c r="C11" s="7"/>
      <c r="H11" s="8" t="s">
        <v>17</v>
      </c>
    </row>
    <row r="13" customFormat="false" ht="15" hidden="false" customHeight="false" outlineLevel="0" collapsed="false">
      <c r="A13" s="11" t="s">
        <v>18</v>
      </c>
    </row>
    <row r="14" customFormat="false" ht="23.85" hidden="false" customHeight="false" outlineLevel="0" collapsed="false">
      <c r="A14" s="12" t="s">
        <v>19</v>
      </c>
      <c r="B14" s="12" t="s">
        <v>20</v>
      </c>
      <c r="C14" s="12" t="s">
        <v>21</v>
      </c>
      <c r="D14" s="12" t="s">
        <v>22</v>
      </c>
      <c r="E14" s="12" t="s">
        <v>23</v>
      </c>
      <c r="F14" s="12" t="s">
        <v>24</v>
      </c>
      <c r="G14" s="12" t="s">
        <v>25</v>
      </c>
    </row>
    <row r="15" customFormat="false" ht="15" hidden="false" customHeight="false" outlineLevel="0" collapsed="false">
      <c r="A15" s="13" t="n">
        <v>46261</v>
      </c>
      <c r="B15" s="14" t="n">
        <f aca="false">IFERROR(AVERAGEIFS(Datos!$B$8:$B$1936,Datos!$A$8:$A$1936,"&gt;="&amp;$A15,Datos!$A$8:$A$1936,"&lt;"&amp;($A15+1)),"")</f>
        <v>3.66010384615385</v>
      </c>
      <c r="C15" s="14" t="n">
        <f aca="false">IFERROR(AVERAGEIFS(Datos!$C$8:$C$1936,Datos!$A$8:$A$1936,"&gt;="&amp;$A15,Datos!$A$8:$A$1936,"&lt;"&amp;($A15+1)),"")</f>
        <v>3.04792115384615</v>
      </c>
      <c r="D15" s="14" t="n">
        <f aca="false">IFERROR(AVERAGEIFS(Datos!$F$8:$F$1936,Datos!$A$8:$A$1936,"&gt;="&amp;$A15,Datos!$A$8:$A$1936,"&lt;"&amp;($A15+1)),"")</f>
        <v>2.90715158550742</v>
      </c>
      <c r="E15" s="14" t="n">
        <f aca="false">IFERROR(AVERAGEIFS(Datos!$E$8:$E$1936,Datos!$A$8:$A$1936,"&gt;="&amp;$A15,Datos!$A$8:$A$1936,"&lt;"&amp;($A15+1)),"")</f>
        <v>0</v>
      </c>
      <c r="F15" s="14" t="n">
        <f aca="false">IF(E15="","",E15*86.4)</f>
        <v>0</v>
      </c>
      <c r="G15" s="15" t="n">
        <f aca="false">IF(OR(E15="",B15="",B15=0),"",E15/B15)</f>
        <v>0</v>
      </c>
    </row>
    <row r="16" customFormat="false" ht="15" hidden="false" customHeight="false" outlineLevel="0" collapsed="false">
      <c r="A16" s="16" t="n">
        <v>46262</v>
      </c>
      <c r="B16" s="17" t="n">
        <f aca="false">IFERROR(AVERAGEIFS(Datos!$B$8:$B$1936,Datos!$A$8:$A$1936,"&gt;="&amp;$A16,Datos!$A$8:$A$1936,"&lt;"&amp;($A16+1)),"")</f>
        <v>1.851465625</v>
      </c>
      <c r="C16" s="17" t="n">
        <f aca="false">IFERROR(AVERAGEIFS(Datos!$C$8:$C$1936,Datos!$A$8:$A$1936,"&gt;="&amp;$A16,Datos!$A$8:$A$1936,"&lt;"&amp;($A16+1)),"")</f>
        <v>1.44315416666667</v>
      </c>
      <c r="D16" s="17" t="n">
        <f aca="false">IFERROR(AVERAGEIFS(Datos!$F$8:$F$1936,Datos!$A$8:$A$1936,"&gt;="&amp;$A16,Datos!$A$8:$A$1936,"&lt;"&amp;($A16+1)),"")</f>
        <v>1.47058429308975</v>
      </c>
      <c r="E16" s="17" t="n">
        <f aca="false">IFERROR(AVERAGEIFS(Datos!$E$8:$E$1936,Datos!$A$8:$A$1936,"&gt;="&amp;$A16,Datos!$A$8:$A$1936,"&lt;"&amp;($A16+1)),"")</f>
        <v>0</v>
      </c>
      <c r="F16" s="17" t="n">
        <f aca="false">IF(E16="","",E16*86.4)</f>
        <v>0</v>
      </c>
      <c r="G16" s="18" t="n">
        <f aca="false">IF(OR(E16="",B16="",B16=0),"",E16/B16)</f>
        <v>0</v>
      </c>
    </row>
    <row r="17" customFormat="false" ht="15" hidden="false" customHeight="false" outlineLevel="0" collapsed="false">
      <c r="A17" s="13" t="n">
        <v>46263</v>
      </c>
      <c r="B17" s="14" t="n">
        <f aca="false">IFERROR(AVERAGEIFS(Datos!$B$8:$B$1936,Datos!$A$8:$A$1936,"&gt;="&amp;$A17,Datos!$A$8:$A$1936,"&lt;"&amp;($A17+1)),"")</f>
        <v>3.71665729166667</v>
      </c>
      <c r="C17" s="14" t="n">
        <f aca="false">IFERROR(AVERAGEIFS(Datos!$C$8:$C$1936,Datos!$A$8:$A$1936,"&gt;="&amp;$A17,Datos!$A$8:$A$1936,"&lt;"&amp;($A17+1)),"")</f>
        <v>1.50123958333333</v>
      </c>
      <c r="D17" s="14" t="n">
        <f aca="false">IFERROR(AVERAGEIFS(Datos!$F$8:$F$1936,Datos!$A$8:$A$1936,"&gt;="&amp;$A17,Datos!$A$8:$A$1936,"&lt;"&amp;($A17+1)),"")</f>
        <v>2.95207092268997</v>
      </c>
      <c r="E17" s="14" t="n">
        <f aca="false">IFERROR(AVERAGEIFS(Datos!$E$8:$E$1936,Datos!$A$8:$A$1936,"&gt;="&amp;$A17,Datos!$A$8:$A$1936,"&lt;"&amp;($A17+1)),"")</f>
        <v>0</v>
      </c>
      <c r="F17" s="14" t="n">
        <f aca="false">IF(E17="","",E17*86.4)</f>
        <v>0</v>
      </c>
      <c r="G17" s="15" t="n">
        <f aca="false">IF(OR(E17="",B17="",B17=0),"",E17/B17)</f>
        <v>0</v>
      </c>
    </row>
    <row r="18" customFormat="false" ht="15" hidden="false" customHeight="false" outlineLevel="0" collapsed="false">
      <c r="A18" s="16" t="n">
        <v>46264</v>
      </c>
      <c r="B18" s="17" t="n">
        <f aca="false">IFERROR(AVERAGEIFS(Datos!$B$8:$B$1936,Datos!$A$8:$A$1936,"&gt;="&amp;$A18,Datos!$A$8:$A$1936,"&lt;"&amp;($A18+1)),"")</f>
        <v>3.23328125</v>
      </c>
      <c r="C18" s="17" t="n">
        <f aca="false">IFERROR(AVERAGEIFS(Datos!$C$8:$C$1936,Datos!$A$8:$A$1936,"&gt;="&amp;$A18,Datos!$A$8:$A$1936,"&lt;"&amp;($A18+1)),"")</f>
        <v>2.68134166666667</v>
      </c>
      <c r="D18" s="17" t="n">
        <f aca="false">IFERROR(AVERAGEIFS(Datos!$F$8:$F$1936,Datos!$A$8:$A$1936,"&gt;="&amp;$A18,Datos!$A$8:$A$1936,"&lt;"&amp;($A18+1)),"")</f>
        <v>2.56813443208896</v>
      </c>
      <c r="E18" s="17" t="n">
        <f aca="false">IFERROR(AVERAGEIFS(Datos!$E$8:$E$1936,Datos!$A$8:$A$1936,"&gt;="&amp;$A18,Datos!$A$8:$A$1936,"&lt;"&amp;($A18+1)),"")</f>
        <v>0</v>
      </c>
      <c r="F18" s="17" t="n">
        <f aca="false">IF(E18="","",E18*86.4)</f>
        <v>0</v>
      </c>
      <c r="G18" s="18" t="n">
        <f aca="false">IF(OR(E18="",B18="",B18=0),"",E18/B18)</f>
        <v>0</v>
      </c>
    </row>
    <row r="19" customFormat="false" ht="15" hidden="false" customHeight="false" outlineLevel="0" collapsed="false">
      <c r="A19" s="13" t="n">
        <v>46265</v>
      </c>
      <c r="B19" s="14" t="n">
        <f aca="false">IFERROR(AVERAGEIFS(Datos!$B$8:$B$1936,Datos!$A$8:$A$1936,"&gt;="&amp;$A19,Datos!$A$8:$A$1936,"&lt;"&amp;($A19+1)),"")</f>
        <v>3.470534375</v>
      </c>
      <c r="C19" s="14" t="n">
        <f aca="false">IFERROR(AVERAGEIFS(Datos!$C$8:$C$1936,Datos!$A$8:$A$1936,"&gt;="&amp;$A19,Datos!$A$8:$A$1936,"&lt;"&amp;($A19+1)),"")</f>
        <v>1.941275</v>
      </c>
      <c r="D19" s="14" t="n">
        <f aca="false">IFERROR(AVERAGEIFS(Datos!$F$8:$F$1936,Datos!$A$8:$A$1936,"&gt;="&amp;$A19,Datos!$A$8:$A$1936,"&lt;"&amp;($A19+1)),"")</f>
        <v>2.75658012311358</v>
      </c>
      <c r="E19" s="14" t="n">
        <f aca="false">IFERROR(AVERAGEIFS(Datos!$E$8:$E$1936,Datos!$A$8:$A$1936,"&gt;="&amp;$A19,Datos!$A$8:$A$1936,"&lt;"&amp;($A19+1)),"")</f>
        <v>0</v>
      </c>
      <c r="F19" s="14" t="n">
        <f aca="false">IF(E19="","",E19*86.4)</f>
        <v>0</v>
      </c>
      <c r="G19" s="15" t="n">
        <f aca="false">IF(OR(E19="",B19="",B19=0),"",E19/B19)</f>
        <v>0</v>
      </c>
    </row>
    <row r="20" customFormat="false" ht="15" hidden="false" customHeight="false" outlineLevel="0" collapsed="false">
      <c r="A20" s="16" t="n">
        <v>46266</v>
      </c>
      <c r="B20" s="17" t="n">
        <f aca="false">IFERROR(AVERAGEIFS(Datos!$B$8:$B$1936,Datos!$A$8:$A$1936,"&gt;="&amp;$A20,Datos!$A$8:$A$1936,"&lt;"&amp;($A20+1)),"")</f>
        <v>3.472834375</v>
      </c>
      <c r="C20" s="17" t="n">
        <f aca="false">IFERROR(AVERAGEIFS(Datos!$C$8:$C$1936,Datos!$A$8:$A$1936,"&gt;="&amp;$A20,Datos!$A$8:$A$1936,"&lt;"&amp;($A20+1)),"")</f>
        <v>2.70244375</v>
      </c>
      <c r="D20" s="17" t="n">
        <f aca="false">IFERROR(AVERAGEIFS(Datos!$F$8:$F$1936,Datos!$A$8:$A$1936,"&gt;="&amp;$A20,Datos!$A$8:$A$1936,"&lt;"&amp;($A20+1)),"")</f>
        <v>2.75840696981732</v>
      </c>
      <c r="E20" s="17" t="n">
        <f aca="false">IFERROR(AVERAGEIFS(Datos!$E$8:$E$1936,Datos!$A$8:$A$1936,"&gt;="&amp;$A20,Datos!$A$8:$A$1936,"&lt;"&amp;($A20+1)),"")</f>
        <v>0</v>
      </c>
      <c r="F20" s="17" t="n">
        <f aca="false">IF(E20="","",E20*86.4)</f>
        <v>0</v>
      </c>
      <c r="G20" s="18" t="n">
        <f aca="false">IF(OR(E20="",B20="",B20=0),"",E20/B20)</f>
        <v>0</v>
      </c>
    </row>
    <row r="21" customFormat="false" ht="15" hidden="false" customHeight="false" outlineLevel="0" collapsed="false">
      <c r="A21" s="13" t="n">
        <v>46267</v>
      </c>
      <c r="B21" s="14" t="n">
        <f aca="false">IFERROR(AVERAGEIFS(Datos!$B$8:$B$1936,Datos!$A$8:$A$1936,"&gt;="&amp;$A21,Datos!$A$8:$A$1936,"&lt;"&amp;($A21+1)),"")</f>
        <v>3.55446666666667</v>
      </c>
      <c r="C21" s="14" t="n">
        <f aca="false">IFERROR(AVERAGEIFS(Datos!$C$8:$C$1936,Datos!$A$8:$A$1936,"&gt;="&amp;$A21,Datos!$A$8:$A$1936,"&lt;"&amp;($A21+1)),"")</f>
        <v>2.843303125</v>
      </c>
      <c r="D21" s="14" t="n">
        <f aca="false">IFERROR(AVERAGEIFS(Datos!$F$8:$F$1936,Datos!$A$8:$A$1936,"&gt;="&amp;$A21,Datos!$A$8:$A$1936,"&lt;"&amp;($A21+1)),"")</f>
        <v>2.82324596240402</v>
      </c>
      <c r="E21" s="14" t="n">
        <f aca="false">IFERROR(AVERAGEIFS(Datos!$E$8:$E$1936,Datos!$A$8:$A$1936,"&gt;="&amp;$A21,Datos!$A$8:$A$1936,"&lt;"&amp;($A21+1)),"")</f>
        <v>0</v>
      </c>
      <c r="F21" s="14" t="n">
        <f aca="false">IF(E21="","",E21*86.4)</f>
        <v>0</v>
      </c>
      <c r="G21" s="15" t="n">
        <f aca="false">IF(OR(E21="",B21="",B21=0),"",E21/B21)</f>
        <v>0</v>
      </c>
    </row>
    <row r="22" customFormat="false" ht="15" hidden="false" customHeight="false" outlineLevel="0" collapsed="false">
      <c r="A22" s="16" t="n">
        <v>46268</v>
      </c>
      <c r="B22" s="17" t="n">
        <f aca="false">IFERROR(AVERAGEIFS(Datos!$B$8:$B$1936,Datos!$A$8:$A$1936,"&gt;="&amp;$A22,Datos!$A$8:$A$1936,"&lt;"&amp;($A22+1)),"")</f>
        <v>3.82268958333333</v>
      </c>
      <c r="C22" s="17" t="n">
        <f aca="false">IFERROR(AVERAGEIFS(Datos!$C$8:$C$1936,Datos!$A$8:$A$1936,"&gt;="&amp;$A22,Datos!$A$8:$A$1936,"&lt;"&amp;($A22+1)),"")</f>
        <v>2.8495</v>
      </c>
      <c r="D22" s="17" t="n">
        <f aca="false">IFERROR(AVERAGEIFS(Datos!$F$8:$F$1936,Datos!$A$8:$A$1936,"&gt;="&amp;$A22,Datos!$A$8:$A$1936,"&lt;"&amp;($A22+1)),"")</f>
        <v>3.03629037595976</v>
      </c>
      <c r="E22" s="17" t="n">
        <f aca="false">IFERROR(AVERAGEIFS(Datos!$E$8:$E$1936,Datos!$A$8:$A$1936,"&gt;="&amp;$A22,Datos!$A$8:$A$1936,"&lt;"&amp;($A22+1)),"")</f>
        <v>0</v>
      </c>
      <c r="F22" s="17" t="n">
        <f aca="false">IF(E22="","",E22*86.4)</f>
        <v>0</v>
      </c>
      <c r="G22" s="18" t="n">
        <f aca="false">IF(OR(E22="",B22="",B22=0),"",E22/B22)</f>
        <v>0</v>
      </c>
    </row>
    <row r="23" customFormat="false" ht="15" hidden="false" customHeight="false" outlineLevel="0" collapsed="false">
      <c r="A23" s="13" t="n">
        <v>46269</v>
      </c>
      <c r="B23" s="14" t="n">
        <f aca="false">IFERROR(AVERAGEIFS(Datos!$B$8:$B$1936,Datos!$A$8:$A$1936,"&gt;="&amp;$A23,Datos!$A$8:$A$1936,"&lt;"&amp;($A23+1)),"")</f>
        <v>4.002</v>
      </c>
      <c r="C23" s="14" t="n">
        <f aca="false">IFERROR(AVERAGEIFS(Datos!$C$8:$C$1936,Datos!$A$8:$A$1936,"&gt;="&amp;$A23,Datos!$A$8:$A$1936,"&lt;"&amp;($A23+1)),"")</f>
        <v>3.041109375</v>
      </c>
      <c r="D23" s="14" t="n">
        <f aca="false">IFERROR(AVERAGEIFS(Datos!$F$8:$F$1936,Datos!$A$8:$A$1936,"&gt;="&amp;$A23,Datos!$A$8:$A$1936,"&lt;"&amp;($A23+1)),"")</f>
        <v>3.13779618221315</v>
      </c>
      <c r="E23" s="14" t="n">
        <f aca="false">IFERROR(AVERAGEIFS(Datos!$E$8:$E$1936,Datos!$A$8:$A$1936,"&gt;="&amp;$A23,Datos!$A$8:$A$1936,"&lt;"&amp;($A23+1)),"")</f>
        <v>0.0515146065936427</v>
      </c>
      <c r="F23" s="14" t="n">
        <f aca="false">IF(E23="","",E23*86.4)</f>
        <v>4.45086200969073</v>
      </c>
      <c r="G23" s="15" t="n">
        <f aca="false">IF(OR(E23="",B23="",B23=0),"",E23/B23)</f>
        <v>0.0128722155406404</v>
      </c>
    </row>
    <row r="24" customFormat="false" ht="15" hidden="false" customHeight="false" outlineLevel="0" collapsed="false">
      <c r="A24" s="16" t="n">
        <v>46270</v>
      </c>
      <c r="B24" s="17" t="n">
        <f aca="false">IFERROR(AVERAGEIFS(Datos!$B$8:$B$1936,Datos!$A$8:$A$1936,"&gt;="&amp;$A24,Datos!$A$8:$A$1936,"&lt;"&amp;($A24+1)),"")</f>
        <v>3.93102291666667</v>
      </c>
      <c r="C24" s="17" t="n">
        <f aca="false">IFERROR(AVERAGEIFS(Datos!$C$8:$C$1936,Datos!$A$8:$A$1936,"&gt;="&amp;$A24,Datos!$A$8:$A$1936,"&lt;"&amp;($A24+1)),"")</f>
        <v>2.70967604166667</v>
      </c>
      <c r="D24" s="17" t="n">
        <f aca="false">IFERROR(AVERAGEIFS(Datos!$F$8:$F$1936,Datos!$A$8:$A$1936,"&gt;="&amp;$A24,Datos!$A$8:$A$1936,"&lt;"&amp;($A24+1)),"")</f>
        <v>2.68740998459715</v>
      </c>
      <c r="E24" s="17" t="n">
        <f aca="false">IFERROR(AVERAGEIFS(Datos!$E$8:$E$1936,Datos!$A$8:$A$1936,"&gt;="&amp;$A24,Datos!$A$8:$A$1936,"&lt;"&amp;($A24+1)),"")</f>
        <v>0.547573746058849</v>
      </c>
      <c r="F24" s="17" t="n">
        <f aca="false">IF(E24="","",E24*86.4)</f>
        <v>47.3103716594846</v>
      </c>
      <c r="G24" s="18" t="n">
        <f aca="false">IF(OR(E24="",B24="",B24=0),"",E24/B24)</f>
        <v>0.139295485594159</v>
      </c>
    </row>
    <row r="25" customFormat="false" ht="15" hidden="false" customHeight="false" outlineLevel="0" collapsed="false">
      <c r="A25" s="13" t="n">
        <v>46271</v>
      </c>
      <c r="B25" s="14" t="n">
        <f aca="false">IFERROR(AVERAGEIFS(Datos!$B$8:$B$1936,Datos!$A$8:$A$1936,"&gt;="&amp;$A25,Datos!$A$8:$A$1936,"&lt;"&amp;($A25+1)),"")</f>
        <v>3.90253333333333</v>
      </c>
      <c r="C25" s="14" t="n">
        <f aca="false">IFERROR(AVERAGEIFS(Datos!$C$8:$C$1936,Datos!$A$8:$A$1936,"&gt;="&amp;$A25,Datos!$A$8:$A$1936,"&lt;"&amp;($A25+1)),"")</f>
        <v>2.67855625</v>
      </c>
      <c r="D25" s="14" t="n">
        <f aca="false">IFERROR(AVERAGEIFS(Datos!$F$8:$F$1936,Datos!$A$8:$A$1936,"&gt;="&amp;$A25,Datos!$A$8:$A$1936,"&lt;"&amp;($A25+1)),"")</f>
        <v>2.69425727303791</v>
      </c>
      <c r="E25" s="14" t="n">
        <f aca="false">IFERROR(AVERAGEIFS(Datos!$E$8:$E$1936,Datos!$A$8:$A$1936,"&gt;="&amp;$A25,Datos!$A$8:$A$1936,"&lt;"&amp;($A25+1)),"")</f>
        <v>0.510463426578608</v>
      </c>
      <c r="F25" s="14" t="n">
        <f aca="false">IF(E25="","",E25*86.4)</f>
        <v>44.1040400563918</v>
      </c>
      <c r="G25" s="15" t="n">
        <f aca="false">IF(OR(E25="",B25="",B25=0),"",E25/B25)</f>
        <v>0.130803091986045</v>
      </c>
    </row>
    <row r="26" customFormat="false" ht="15" hidden="false" customHeight="false" outlineLevel="0" collapsed="false">
      <c r="A26" s="16" t="n">
        <v>46272</v>
      </c>
      <c r="B26" s="17" t="n">
        <f aca="false">IFERROR(AVERAGEIFS(Datos!$B$8:$B$1936,Datos!$A$8:$A$1936,"&gt;="&amp;$A26,Datos!$A$8:$A$1936,"&lt;"&amp;($A26+1)),"")</f>
        <v>4.21290520833333</v>
      </c>
      <c r="C26" s="17" t="n">
        <f aca="false">IFERROR(AVERAGEIFS(Datos!$C$8:$C$1936,Datos!$A$8:$A$1936,"&gt;="&amp;$A26,Datos!$A$8:$A$1936,"&lt;"&amp;($A26+1)),"")</f>
        <v>2.870875</v>
      </c>
      <c r="D26" s="17" t="n">
        <f aca="false">IFERROR(AVERAGEIFS(Datos!$F$8:$F$1936,Datos!$A$8:$A$1936,"&gt;="&amp;$A26,Datos!$A$8:$A$1936,"&lt;"&amp;($A26+1)),"")</f>
        <v>2.85232541856707</v>
      </c>
      <c r="E26" s="17" t="n">
        <f aca="false">IFERROR(AVERAGEIFS(Datos!$E$8:$E$1936,Datos!$A$8:$A$1936,"&gt;="&amp;$A26,Datos!$A$8:$A$1936,"&lt;"&amp;($A26+1)),"")</f>
        <v>0.621827506357389</v>
      </c>
      <c r="F26" s="17" t="n">
        <f aca="false">IF(E26="","",E26*86.4)</f>
        <v>53.7258965492784</v>
      </c>
      <c r="G26" s="18" t="n">
        <f aca="false">IF(OR(E26="",B26="",B26=0),"",E26/B26)</f>
        <v>0.147600640319982</v>
      </c>
    </row>
    <row r="27" customFormat="false" ht="15" hidden="false" customHeight="false" outlineLevel="0" collapsed="false">
      <c r="A27" s="13" t="n">
        <v>46273</v>
      </c>
      <c r="B27" s="14" t="n">
        <f aca="false">IFERROR(AVERAGEIFS(Datos!$B$8:$B$1936,Datos!$A$8:$A$1936,"&gt;="&amp;$A27,Datos!$A$8:$A$1936,"&lt;"&amp;($A27+1)),"")</f>
        <v>4.06349583333333</v>
      </c>
      <c r="C27" s="14" t="n">
        <f aca="false">IFERROR(AVERAGEIFS(Datos!$C$8:$C$1936,Datos!$A$8:$A$1936,"&gt;="&amp;$A27,Datos!$A$8:$A$1936,"&lt;"&amp;($A27+1)),"")</f>
        <v>2.79160625</v>
      </c>
      <c r="D27" s="14" t="n">
        <f aca="false">IFERROR(AVERAGEIFS(Datos!$F$8:$F$1936,Datos!$A$8:$A$1936,"&gt;="&amp;$A27,Datos!$A$8:$A$1936,"&lt;"&amp;($A27+1)),"")</f>
        <v>2.79591017746964</v>
      </c>
      <c r="E27" s="14" t="n">
        <f aca="false">IFERROR(AVERAGEIFS(Datos!$E$8:$E$1936,Datos!$A$8:$A$1936,"&gt;="&amp;$A27,Datos!$A$8:$A$1936,"&lt;"&amp;($A27+1)),"")</f>
        <v>0.543444919899055</v>
      </c>
      <c r="F27" s="14" t="n">
        <f aca="false">IF(E27="","",E27*86.4)</f>
        <v>46.9536410792784</v>
      </c>
      <c r="G27" s="15" t="n">
        <f aca="false">IF(OR(E27="",B27="",B27=0),"",E27/B27)</f>
        <v>0.133738274182814</v>
      </c>
    </row>
    <row r="28" customFormat="false" ht="15" hidden="false" customHeight="false" outlineLevel="0" collapsed="false">
      <c r="A28" s="16" t="n">
        <v>46274</v>
      </c>
      <c r="B28" s="17" t="n">
        <f aca="false">IFERROR(AVERAGEIFS(Datos!$B$8:$B$1936,Datos!$A$8:$A$1936,"&gt;="&amp;$A28,Datos!$A$8:$A$1936,"&lt;"&amp;($A28+1)),"")</f>
        <v>4.08952083333333</v>
      </c>
      <c r="C28" s="17" t="n">
        <f aca="false">IFERROR(AVERAGEIFS(Datos!$C$8:$C$1936,Datos!$A$8:$A$1936,"&gt;="&amp;$A28,Datos!$A$8:$A$1936,"&lt;"&amp;($A28+1)),"")</f>
        <v>2.78105729166667</v>
      </c>
      <c r="D28" s="17" t="n">
        <f aca="false">IFERROR(AVERAGEIFS(Datos!$F$8:$F$1936,Datos!$A$8:$A$1936,"&gt;="&amp;$A28,Datos!$A$8:$A$1936,"&lt;"&amp;($A28+1)),"")</f>
        <v>2.78834249040926</v>
      </c>
      <c r="E28" s="17" t="n">
        <f aca="false">IFERROR(AVERAGEIFS(Datos!$E$8:$E$1936,Datos!$A$8:$A$1936,"&gt;="&amp;$A28,Datos!$A$8:$A$1936,"&lt;"&amp;($A28+1)),"")</f>
        <v>0.578997637908076</v>
      </c>
      <c r="F28" s="17" t="n">
        <f aca="false">IF(E28="","",E28*86.4)</f>
        <v>50.0253959152578</v>
      </c>
      <c r="G28" s="18" t="n">
        <f aca="false">IF(OR(E28="",B28="",B28=0),"",E28/B28)</f>
        <v>0.141580801640309</v>
      </c>
    </row>
    <row r="29" customFormat="false" ht="15" hidden="false" customHeight="false" outlineLevel="0" collapsed="false">
      <c r="A29" s="13" t="n">
        <v>46275</v>
      </c>
      <c r="B29" s="14" t="n">
        <f aca="false">IFERROR(AVERAGEIFS(Datos!$B$8:$B$1936,Datos!$A$8:$A$1936,"&gt;="&amp;$A29,Datos!$A$8:$A$1936,"&lt;"&amp;($A29+1)),"")</f>
        <v>3.98690625</v>
      </c>
      <c r="C29" s="14" t="n">
        <f aca="false">IFERROR(AVERAGEIFS(Datos!$C$8:$C$1936,Datos!$A$8:$A$1936,"&gt;="&amp;$A29,Datos!$A$8:$A$1936,"&lt;"&amp;($A29+1)),"")</f>
        <v>2.68345104166667</v>
      </c>
      <c r="D29" s="14" t="n">
        <f aca="false">IFERROR(AVERAGEIFS(Datos!$F$8:$F$1936,Datos!$A$8:$A$1936,"&gt;="&amp;$A29,Datos!$A$8:$A$1936,"&lt;"&amp;($A29+1)),"")</f>
        <v>2.67654562624192</v>
      </c>
      <c r="E29" s="14" t="n">
        <f aca="false">IFERROR(AVERAGEIFS(Datos!$E$8:$E$1936,Datos!$A$8:$A$1936,"&gt;="&amp;$A29,Datos!$A$8:$A$1936,"&lt;"&amp;($A29+1)),"")</f>
        <v>0.617135306561427</v>
      </c>
      <c r="F29" s="14" t="n">
        <f aca="false">IF(E29="","",E29*86.4)</f>
        <v>53.3204904869073</v>
      </c>
      <c r="G29" s="15" t="n">
        <f aca="false">IF(OR(E29="",B29="",B29=0),"",E29/B29)</f>
        <v>0.15479052374543</v>
      </c>
    </row>
    <row r="30" customFormat="false" ht="15" hidden="false" customHeight="false" outlineLevel="0" collapsed="false">
      <c r="A30" s="16" t="n">
        <v>46276</v>
      </c>
      <c r="B30" s="17" t="n">
        <f aca="false">IFERROR(AVERAGEIFS(Datos!$B$8:$B$1936,Datos!$A$8:$A$1936,"&gt;="&amp;$A30,Datos!$A$8:$A$1936,"&lt;"&amp;($A30+1)),"")</f>
        <v>4.16267708333333</v>
      </c>
      <c r="C30" s="17" t="n">
        <f aca="false">IFERROR(AVERAGEIFS(Datos!$C$8:$C$1936,Datos!$A$8:$A$1936,"&gt;="&amp;$A30,Datos!$A$8:$A$1936,"&lt;"&amp;($A30+1)),"")</f>
        <v>2.79771770833333</v>
      </c>
      <c r="D30" s="17" t="n">
        <f aca="false">IFERROR(AVERAGEIFS(Datos!$F$8:$F$1936,Datos!$A$8:$A$1936,"&gt;="&amp;$A30,Datos!$A$8:$A$1936,"&lt;"&amp;($A30+1)),"")</f>
        <v>2.78194628923469</v>
      </c>
      <c r="E30" s="17" t="n">
        <f aca="false">IFERROR(AVERAGEIFS(Datos!$E$8:$E$1936,Datos!$A$8:$A$1936,"&gt;="&amp;$A30,Datos!$A$8:$A$1936,"&lt;"&amp;($A30+1)),"")</f>
        <v>0.660206705186856</v>
      </c>
      <c r="F30" s="17" t="n">
        <f aca="false">IF(E30="","",E30*86.4)</f>
        <v>57.0418593281444</v>
      </c>
      <c r="G30" s="18" t="n">
        <f aca="false">IF(OR(E30="",B30="",B30=0),"",E30/B30)</f>
        <v>0.158601470152516</v>
      </c>
    </row>
    <row r="31" customFormat="false" ht="15" hidden="false" customHeight="false" outlineLevel="0" collapsed="false">
      <c r="A31" s="13" t="n">
        <v>46277</v>
      </c>
      <c r="B31" s="14" t="n">
        <f aca="false">IFERROR(AVERAGEIFS(Datos!$B$8:$B$1936,Datos!$A$8:$A$1936,"&gt;="&amp;$A31,Datos!$A$8:$A$1936,"&lt;"&amp;($A31+1)),"")</f>
        <v>4.00931770833333</v>
      </c>
      <c r="C31" s="14" t="n">
        <f aca="false">IFERROR(AVERAGEIFS(Datos!$C$8:$C$1936,Datos!$A$8:$A$1936,"&gt;="&amp;$A31,Datos!$A$8:$A$1936,"&lt;"&amp;($A31+1)),"")</f>
        <v>2.58643020833333</v>
      </c>
      <c r="D31" s="14" t="n">
        <f aca="false">IFERROR(AVERAGEIFS(Datos!$F$8:$F$1936,Datos!$A$8:$A$1936,"&gt;="&amp;$A31,Datos!$A$8:$A$1936,"&lt;"&amp;($A31+1)),"")</f>
        <v>2.59242158192116</v>
      </c>
      <c r="E31" s="14" t="n">
        <f aca="false">IFERROR(AVERAGEIFS(Datos!$E$8:$E$1936,Datos!$A$8:$A$1936,"&gt;="&amp;$A31,Datos!$A$8:$A$1936,"&lt;"&amp;($A31+1)),"")</f>
        <v>0.745458936694588</v>
      </c>
      <c r="F31" s="14" t="n">
        <f aca="false">IF(E31="","",E31*86.4)</f>
        <v>64.4076521304124</v>
      </c>
      <c r="G31" s="15" t="n">
        <f aca="false">IF(OR(E31="",B31="",B31=0),"",E31/B31)</f>
        <v>0.185931620022319</v>
      </c>
    </row>
    <row r="32" customFormat="false" ht="15" hidden="false" customHeight="false" outlineLevel="0" collapsed="false">
      <c r="A32" s="16" t="n">
        <v>46278</v>
      </c>
      <c r="B32" s="17" t="n">
        <f aca="false">IFERROR(AVERAGEIFS(Datos!$B$8:$B$1936,Datos!$A$8:$A$1936,"&gt;="&amp;$A32,Datos!$A$8:$A$1936,"&lt;"&amp;($A32+1)),"")</f>
        <v>4.203865625</v>
      </c>
      <c r="C32" s="17" t="n">
        <f aca="false">IFERROR(AVERAGEIFS(Datos!$C$8:$C$1936,Datos!$A$8:$A$1936,"&gt;="&amp;$A32,Datos!$A$8:$A$1936,"&lt;"&amp;($A32+1)),"")</f>
        <v>2.63245208333333</v>
      </c>
      <c r="D32" s="17" t="n">
        <f aca="false">IFERROR(AVERAGEIFS(Datos!$F$8:$F$1936,Datos!$A$8:$A$1936,"&gt;="&amp;$A32,Datos!$A$8:$A$1936,"&lt;"&amp;($A32+1)),"")</f>
        <v>2.62755709481936</v>
      </c>
      <c r="E32" s="17" t="n">
        <f aca="false">IFERROR(AVERAGEIFS(Datos!$E$8:$E$1936,Datos!$A$8:$A$1936,"&gt;="&amp;$A32,Datos!$A$8:$A$1936,"&lt;"&amp;($A32+1)),"")</f>
        <v>0.895771242622423</v>
      </c>
      <c r="F32" s="17" t="n">
        <f aca="false">IF(E32="","",E32*86.4)</f>
        <v>77.3946353625774</v>
      </c>
      <c r="G32" s="18" t="n">
        <f aca="false">IF(OR(E32="",B32="",B32=0),"",E32/B32)</f>
        <v>0.213082748719501</v>
      </c>
    </row>
    <row r="33" customFormat="false" ht="15" hidden="false" customHeight="false" outlineLevel="0" collapsed="false">
      <c r="A33" s="13" t="n">
        <v>46279</v>
      </c>
      <c r="B33" s="14" t="n">
        <f aca="false">IFERROR(AVERAGEIFS(Datos!$B$8:$B$1936,Datos!$A$8:$A$1936,"&gt;="&amp;$A33,Datos!$A$8:$A$1936,"&lt;"&amp;($A33+1)),"")</f>
        <v>5.02348020833333</v>
      </c>
      <c r="C33" s="14" t="n">
        <f aca="false">IFERROR(AVERAGEIFS(Datos!$C$8:$C$1936,Datos!$A$8:$A$1936,"&gt;="&amp;$A33,Datos!$A$8:$A$1936,"&lt;"&amp;($A33+1)),"")</f>
        <v>2.95333854166667</v>
      </c>
      <c r="D33" s="14" t="n">
        <f aca="false">IFERROR(AVERAGEIFS(Datos!$F$8:$F$1936,Datos!$A$8:$A$1936,"&gt;="&amp;$A33,Datos!$A$8:$A$1936,"&lt;"&amp;($A33+1)),"")</f>
        <v>2.93583063288822</v>
      </c>
      <c r="E33" s="14" t="n">
        <f aca="false">IFERROR(AVERAGEIFS(Datos!$E$8:$E$1936,Datos!$A$8:$A$1936,"&gt;="&amp;$A33,Datos!$A$8:$A$1936,"&lt;"&amp;($A33+1)),"")</f>
        <v>1.32726944152706</v>
      </c>
      <c r="F33" s="14" t="n">
        <f aca="false">IF(E33="","",E33*86.4)</f>
        <v>114.676079747938</v>
      </c>
      <c r="G33" s="15" t="n">
        <f aca="false">IF(OR(E33="",B33="",B33=0),"",E33/B33)</f>
        <v>0.264213132426656</v>
      </c>
    </row>
    <row r="34" customFormat="false" ht="15" hidden="false" customHeight="false" outlineLevel="0" collapsed="false">
      <c r="A34" s="16" t="n">
        <v>46280</v>
      </c>
      <c r="B34" s="17" t="n">
        <f aca="false">IFERROR(AVERAGEIFS(Datos!$B$8:$B$1936,Datos!$A$8:$A$1936,"&gt;="&amp;$A34,Datos!$A$8:$A$1936,"&lt;"&amp;($A34+1)),"")</f>
        <v>5.13786979166667</v>
      </c>
      <c r="C34" s="17" t="n">
        <f aca="false">IFERROR(AVERAGEIFS(Datos!$C$8:$C$1936,Datos!$A$8:$A$1936,"&gt;="&amp;$A34,Datos!$A$8:$A$1936,"&lt;"&amp;($A34+1)),"")</f>
        <v>2.58864791666667</v>
      </c>
      <c r="D34" s="17" t="n">
        <f aca="false">IFERROR(AVERAGEIFS(Datos!$F$8:$F$1936,Datos!$A$8:$A$1936,"&gt;="&amp;$A34,Datos!$A$8:$A$1936,"&lt;"&amp;($A34+1)),"")</f>
        <v>2.62159879410964</v>
      </c>
      <c r="E34" s="17" t="n">
        <f aca="false">IFERROR(AVERAGEIFS(Datos!$E$8:$E$1936,Datos!$A$8:$A$1936,"&gt;="&amp;$A34,Datos!$A$8:$A$1936,"&lt;"&amp;($A34+1)),"")</f>
        <v>1.83727690988263</v>
      </c>
      <c r="F34" s="17" t="n">
        <f aca="false">IF(E34="","",E34*86.4)</f>
        <v>158.74072501386</v>
      </c>
      <c r="G34" s="18" t="n">
        <f aca="false">IF(OR(E34="",B34="",B34=0),"",E34/B34)</f>
        <v>0.357595070404975</v>
      </c>
    </row>
    <row r="35" customFormat="false" ht="15" hidden="false" customHeight="false" outlineLevel="0" collapsed="false">
      <c r="A35" s="13" t="n">
        <v>46281</v>
      </c>
      <c r="B35" s="14" t="n">
        <f aca="false">IFERROR(AVERAGEIFS(Datos!$B$8:$B$1936,Datos!$A$8:$A$1936,"&gt;="&amp;$A35,Datos!$A$8:$A$1936,"&lt;"&amp;($A35+1)),"")</f>
        <v>4.6048</v>
      </c>
      <c r="C35" s="14" t="n">
        <f aca="false">IFERROR(AVERAGEIFS(Datos!$C$8:$C$1936,Datos!$A$8:$A$1936,"&gt;="&amp;$A35,Datos!$A$8:$A$1936,"&lt;"&amp;($A35+1)),"")</f>
        <v>3.15235660377359</v>
      </c>
      <c r="D35" s="14" t="n">
        <f aca="false">IFERROR(AVERAGEIFS(Datos!$F$8:$F$1936,Datos!$A$8:$A$1936,"&gt;="&amp;$A35,Datos!$A$8:$A$1936,"&lt;"&amp;($A35+1)),"")</f>
        <v>2.83992760801589</v>
      </c>
      <c r="E35" s="14" t="n">
        <f aca="false">IFERROR(AVERAGEIFS(Datos!$E$8:$E$1936,Datos!$A$8:$A$1936,"&gt;="&amp;$A35,Datos!$A$8:$A$1936,"&lt;"&amp;($A35+1)),"")</f>
        <v>1.02933114150799</v>
      </c>
      <c r="F35" s="14" t="n">
        <f aca="false">IF(E35="","",E35*86.4)</f>
        <v>88.9342106262904</v>
      </c>
      <c r="G35" s="15" t="n">
        <f aca="false">IF(OR(E35="",B35="",B35=0),"",E35/B35)</f>
        <v>0.223534386185717</v>
      </c>
    </row>
    <row r="36" customFormat="false" ht="15" hidden="false" customHeight="false" outlineLevel="0" collapsed="false">
      <c r="A36" s="5" t="s">
        <v>26</v>
      </c>
      <c r="F36" s="19" t="n">
        <f aca="false">SUMPRODUCT(Datos!$E$8:$E$1936)*0.9</f>
        <v>821.250744789152</v>
      </c>
    </row>
    <row r="37" customFormat="false" ht="15" hidden="false" customHeight="false" outlineLevel="0" collapsed="false">
      <c r="A37" s="5" t="s">
        <v>27</v>
      </c>
      <c r="E37" s="20" t="n">
        <f aca="false">AVERAGEIFS(Datos!$E$8:$E$1936,Datos!$A$8:$A$1936,"&gt;="&amp;$B$6,Datos!$A$8:$A$1936,"&lt;"&amp;$B$7)</f>
        <v>0.815460971888742</v>
      </c>
    </row>
    <row r="39" customFormat="false" ht="15" hidden="false" customHeight="false" outlineLevel="0" collapsed="false">
      <c r="A39" s="2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3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10" min="7" style="0" width="13"/>
  </cols>
  <sheetData>
    <row r="1" customFormat="false" ht="17.35" hidden="false" customHeight="false" outlineLevel="0" collapsed="false">
      <c r="A1" s="22" t="s">
        <v>29</v>
      </c>
    </row>
    <row r="2" customFormat="false" ht="15" hidden="false" customHeight="false" outlineLevel="0" collapsed="false">
      <c r="A2" s="8" t="s">
        <v>30</v>
      </c>
    </row>
    <row r="7" customFormat="false" ht="42" hidden="false" customHeight="true" outlineLevel="0" collapsed="false">
      <c r="A7" s="23" t="s">
        <v>31</v>
      </c>
      <c r="B7" s="23" t="s">
        <v>32</v>
      </c>
      <c r="C7" s="23" t="s">
        <v>33</v>
      </c>
      <c r="D7" s="23" t="s">
        <v>34</v>
      </c>
      <c r="E7" s="23" t="s">
        <v>35</v>
      </c>
      <c r="F7" s="23" t="s">
        <v>36</v>
      </c>
      <c r="G7" s="23" t="s">
        <v>37</v>
      </c>
      <c r="H7" s="23" t="s">
        <v>38</v>
      </c>
      <c r="I7" s="23" t="s">
        <v>39</v>
      </c>
      <c r="J7" s="23" t="s">
        <v>40</v>
      </c>
    </row>
    <row r="8" customFormat="false" ht="15" hidden="false" customHeight="false" outlineLevel="0" collapsed="false">
      <c r="A8" s="24" t="n">
        <v>46261.4583333333</v>
      </c>
      <c r="B8" s="10" t="n">
        <v>4.1962</v>
      </c>
      <c r="C8" s="10" t="n">
        <v>4.0014</v>
      </c>
      <c r="D8" s="10" t="n">
        <f aca="false">IF(OR(B8="",C8="",B8&lt;=0.05,C8&lt;=0.05),0,1)</f>
        <v>1</v>
      </c>
      <c r="E8" s="25" t="n">
        <f aca="false">IF(OR(A8&lt;Resumen!$B$6,A8&gt;=Resumen!$B$7),0,MAX(0,AVERAGEIFS(B8:B56,D8:D56,1)-Resumen!$B$5*AVERAGEIFS(C8:C56,D8:D56,1)))</f>
        <v>0</v>
      </c>
      <c r="F8" s="10" t="n">
        <f aca="false">IF(B8="","",(B8-E8)/Resumen!$B$5)</f>
        <v>3.33296266878475</v>
      </c>
      <c r="G8" s="10" t="n">
        <f aca="false">IF(OR(F8="",C8=""),0,(F8-C8)*0.9)</f>
        <v>-0.601593598093725</v>
      </c>
      <c r="H8" s="26" t="str">
        <f aca="false">IF(A8&lt;Resumen!$B$11,"",IF(0="",0,0)+G8/Resumen!$B$9)</f>
        <v/>
      </c>
      <c r="I8" s="26" t="str">
        <f aca="false">IF(H8="","",H8-AVERAGE(H8:H56))</f>
        <v/>
      </c>
      <c r="J8" s="27" t="str">
        <f aca="false">IF(I8="","",Resumen!$B$10-(MAX(I8:I56)-I8))</f>
        <v/>
      </c>
    </row>
    <row r="9" customFormat="false" ht="15" hidden="false" customHeight="false" outlineLevel="0" collapsed="false">
      <c r="A9" s="24" t="n">
        <v>46261.46875</v>
      </c>
      <c r="B9" s="10" t="n">
        <v>5.0434</v>
      </c>
      <c r="C9" s="10" t="n">
        <v>4.2185</v>
      </c>
      <c r="D9" s="10" t="n">
        <f aca="false">IF(OR(B9="",C9="",B9&lt;=0.05,C9&lt;=0.05),0,1)</f>
        <v>1</v>
      </c>
      <c r="E9" s="25" t="n">
        <f aca="false">IF(OR(A9&lt;Resumen!$B$6,A9&gt;=Resumen!$B$7),0,MAX(0,AVERAGEIFS(B8:B57,D8:D57,1)-Resumen!$B$5*AVERAGEIFS(C8:C57,D8:D57,1)))</f>
        <v>0</v>
      </c>
      <c r="F9" s="10" t="n">
        <f aca="false">IF(B9="","",(B9-E9)/Resumen!$B$5)</f>
        <v>4.00587768069897</v>
      </c>
      <c r="G9" s="10" t="n">
        <f aca="false">IF(OR(F9="",C9=""),0,(F9-C9)*0.9)</f>
        <v>-0.191360087370928</v>
      </c>
      <c r="H9" s="26" t="str">
        <f aca="false">IF(A9&lt;Resumen!$B$11,"",IF(H8="",0,H8)+G9/Resumen!$B$9)</f>
        <v/>
      </c>
      <c r="I9" s="26" t="str">
        <f aca="false">IF(H9="","",H9-AVERAGE(H8:H57))</f>
        <v/>
      </c>
      <c r="J9" s="27" t="str">
        <f aca="false">IF(I9="","",Resumen!$B$10-(MAX(I8:I57)-I9))</f>
        <v/>
      </c>
    </row>
    <row r="10" customFormat="false" ht="15" hidden="false" customHeight="false" outlineLevel="0" collapsed="false">
      <c r="A10" s="24" t="n">
        <v>46261.4791666667</v>
      </c>
      <c r="B10" s="10" t="n">
        <v>5.4454</v>
      </c>
      <c r="C10" s="10" t="n">
        <v>4.6153</v>
      </c>
      <c r="D10" s="10" t="n">
        <f aca="false">IF(OR(B10="",C10="",B10&lt;=0.05,C10&lt;=0.05),0,1)</f>
        <v>1</v>
      </c>
      <c r="E10" s="25" t="n">
        <f aca="false">IF(OR(A10&lt;Resumen!$B$6,A10&gt;=Resumen!$B$7),0,MAX(0,AVERAGEIFS(B8:B58,D8:D58,1)-Resumen!$B$5*AVERAGEIFS(C8:C58,D8:D58,1)))</f>
        <v>0</v>
      </c>
      <c r="F10" s="10" t="n">
        <f aca="false">IF(B10="","",(B10-E10)/Resumen!$B$5)</f>
        <v>4.3251787132645</v>
      </c>
      <c r="G10" s="10" t="n">
        <f aca="false">IF(OR(F10="",C10=""),0,(F10-C10)*0.9)</f>
        <v>-0.261109158061954</v>
      </c>
      <c r="H10" s="26" t="str">
        <f aca="false">IF(A10&lt;Resumen!$B$11,"",IF(H9="",0,H9)+G10/Resumen!$B$9)</f>
        <v/>
      </c>
      <c r="I10" s="26" t="str">
        <f aca="false">IF(H10="","",H10-AVERAGE(H8:H58))</f>
        <v/>
      </c>
      <c r="J10" s="27" t="str">
        <f aca="false">IF(I10="","",Resumen!$B$10-(MAX(I8:I58)-I10))</f>
        <v/>
      </c>
    </row>
    <row r="11" customFormat="false" ht="15" hidden="false" customHeight="false" outlineLevel="0" collapsed="false">
      <c r="A11" s="24" t="n">
        <v>46261.4895833333</v>
      </c>
      <c r="B11" s="10" t="n">
        <v>5.7613</v>
      </c>
      <c r="C11" s="10" t="n">
        <v>5.6418</v>
      </c>
      <c r="D11" s="10" t="n">
        <f aca="false">IF(OR(B11="",C11="",B11&lt;=0.05,C11&lt;=0.05),0,1)</f>
        <v>1</v>
      </c>
      <c r="E11" s="25" t="n">
        <f aca="false">IF(OR(A11&lt;Resumen!$B$6,A11&gt;=Resumen!$B$7),0,MAX(0,AVERAGEIFS(B8:B59,D8:D59,1)-Resumen!$B$5*AVERAGEIFS(C8:C59,D8:D59,1)))</f>
        <v>0</v>
      </c>
      <c r="F11" s="10" t="n">
        <f aca="false">IF(B11="","",(B11-E11)/Resumen!$B$5)</f>
        <v>4.57609213661636</v>
      </c>
      <c r="G11" s="10" t="n">
        <f aca="false">IF(OR(F11="",C11=""),0,(F11-C11)*0.9)</f>
        <v>-0.959137077045274</v>
      </c>
      <c r="H11" s="26" t="str">
        <f aca="false">IF(A11&lt;Resumen!$B$11,"",IF(H10="",0,H10)+G11/Resumen!$B$9)</f>
        <v/>
      </c>
      <c r="I11" s="26" t="str">
        <f aca="false">IF(H11="","",H11-AVERAGE(H8:H59))</f>
        <v/>
      </c>
      <c r="J11" s="27" t="str">
        <f aca="false">IF(I11="","",Resumen!$B$10-(MAX(I8:I59)-I11))</f>
        <v/>
      </c>
    </row>
    <row r="12" customFormat="false" ht="15" hidden="false" customHeight="false" outlineLevel="0" collapsed="false">
      <c r="A12" s="24" t="n">
        <v>46261.5</v>
      </c>
      <c r="B12" s="10" t="n">
        <v>7.3245</v>
      </c>
      <c r="C12" s="10" t="n">
        <v>5.8711</v>
      </c>
      <c r="D12" s="10" t="n">
        <f aca="false">IF(OR(B12="",C12="",B12&lt;=0.05,C12&lt;=0.05),0,1)</f>
        <v>1</v>
      </c>
      <c r="E12" s="25" t="n">
        <f aca="false">IF(OR(A12&lt;Resumen!$B$6,A12&gt;=Resumen!$B$7),0,MAX(0,AVERAGEIFS(B8:B60,D8:D60,1)-Resumen!$B$5*AVERAGEIFS(C8:C60,D8:D60,1)))</f>
        <v>0</v>
      </c>
      <c r="F12" s="10" t="n">
        <f aca="false">IF(B12="","",(B12-E12)/Resumen!$B$5)</f>
        <v>5.81771247021446</v>
      </c>
      <c r="G12" s="10" t="n">
        <f aca="false">IF(OR(F12="",C12=""),0,(F12-C12)*0.9)</f>
        <v>-0.0480487768069898</v>
      </c>
      <c r="H12" s="26" t="str">
        <f aca="false">IF(A12&lt;Resumen!$B$11,"",IF(H11="",0,H11)+G12/Resumen!$B$9)</f>
        <v/>
      </c>
      <c r="I12" s="26" t="str">
        <f aca="false">IF(H12="","",H12-AVERAGE(H8:H60))</f>
        <v/>
      </c>
      <c r="J12" s="27" t="str">
        <f aca="false">IF(I12="","",Resumen!$B$10-(MAX(I8:I60)-I12))</f>
        <v/>
      </c>
    </row>
    <row r="13" customFormat="false" ht="15" hidden="false" customHeight="false" outlineLevel="0" collapsed="false">
      <c r="A13" s="24" t="n">
        <v>46261.5104166667</v>
      </c>
      <c r="B13" s="10" t="n">
        <v>8.43</v>
      </c>
      <c r="C13" s="10" t="n">
        <v>5.6696</v>
      </c>
      <c r="D13" s="10" t="n">
        <f aca="false">IF(OR(B13="",C13="",B13&lt;=0.05,C13&lt;=0.05),0,1)</f>
        <v>1</v>
      </c>
      <c r="E13" s="25" t="n">
        <f aca="false">IF(OR(A13&lt;Resumen!$B$6,A13&gt;=Resumen!$B$7),0,MAX(0,AVERAGEIFS(B8:B61,D8:D61,1)-Resumen!$B$5*AVERAGEIFS(C8:C61,D8:D61,1)))</f>
        <v>0</v>
      </c>
      <c r="F13" s="10" t="n">
        <f aca="false">IF(B13="","",(B13-E13)/Resumen!$B$5)</f>
        <v>6.69579030976966</v>
      </c>
      <c r="G13" s="10" t="n">
        <f aca="false">IF(OR(F13="",C13=""),0,(F13-C13)*0.9)</f>
        <v>0.923571278792693</v>
      </c>
      <c r="H13" s="26" t="str">
        <f aca="false">IF(A13&lt;Resumen!$B$11,"",IF(H12="",0,H12)+G13/Resumen!$B$9)</f>
        <v/>
      </c>
      <c r="I13" s="26" t="str">
        <f aca="false">IF(H13="","",H13-AVERAGE(H8:H61))</f>
        <v/>
      </c>
      <c r="J13" s="27" t="str">
        <f aca="false">IF(I13="","",Resumen!$B$10-(MAX(I8:I61)-I13))</f>
        <v/>
      </c>
    </row>
    <row r="14" customFormat="false" ht="15" hidden="false" customHeight="false" outlineLevel="0" collapsed="false">
      <c r="A14" s="24" t="n">
        <v>46261.5208333333</v>
      </c>
      <c r="B14" s="10" t="n">
        <v>4.2937</v>
      </c>
      <c r="C14" s="10" t="n">
        <v>3.6802</v>
      </c>
      <c r="D14" s="10" t="n">
        <f aca="false">IF(OR(B14="",C14="",B14&lt;=0.05,C14&lt;=0.05),0,1)</f>
        <v>1</v>
      </c>
      <c r="E14" s="25" t="n">
        <f aca="false">IF(OR(A14&lt;Resumen!$B$6,A14&gt;=Resumen!$B$7),0,MAX(0,AVERAGEIFS(B8:B62,D8:D62,1)-Resumen!$B$5*AVERAGEIFS(C8:C62,D8:D62,1)))</f>
        <v>0</v>
      </c>
      <c r="F14" s="10" t="n">
        <f aca="false">IF(B14="","",(B14-E14)/Resumen!$B$5)</f>
        <v>3.41040508339952</v>
      </c>
      <c r="G14" s="10" t="n">
        <f aca="false">IF(OR(F14="",C14=""),0,(F14-C14)*0.9)</f>
        <v>-0.242815424940428</v>
      </c>
      <c r="H14" s="26" t="str">
        <f aca="false">IF(A14&lt;Resumen!$B$11,"",IF(H13="",0,H13)+G14/Resumen!$B$9)</f>
        <v/>
      </c>
      <c r="I14" s="26" t="str">
        <f aca="false">IF(H14="","",H14-AVERAGE(H8:H62))</f>
        <v/>
      </c>
      <c r="J14" s="27" t="str">
        <f aca="false">IF(I14="","",Resumen!$B$10-(MAX(I8:I62)-I14))</f>
        <v/>
      </c>
    </row>
    <row r="15" customFormat="false" ht="15" hidden="false" customHeight="false" outlineLevel="0" collapsed="false">
      <c r="A15" s="24" t="n">
        <v>46261.53125</v>
      </c>
      <c r="B15" s="10" t="n">
        <v>4.4944</v>
      </c>
      <c r="C15" s="10" t="n">
        <v>3.806</v>
      </c>
      <c r="D15" s="10" t="n">
        <f aca="false">IF(OR(B15="",C15="",B15&lt;=0.05,C15&lt;=0.05),0,1)</f>
        <v>1</v>
      </c>
      <c r="E15" s="25" t="n">
        <f aca="false">IF(OR(A15&lt;Resumen!$B$6,A15&gt;=Resumen!$B$7),0,MAX(0,AVERAGEIFS(B8:B63,D8:D63,1)-Resumen!$B$5*AVERAGEIFS(C8:C63,D8:D63,1)))</f>
        <v>0</v>
      </c>
      <c r="F15" s="10" t="n">
        <f aca="false">IF(B15="","",(B15-E15)/Resumen!$B$5)</f>
        <v>3.56981731532963</v>
      </c>
      <c r="G15" s="10" t="n">
        <f aca="false">IF(OR(F15="",C15=""),0,(F15-C15)*0.9)</f>
        <v>-0.212564416203336</v>
      </c>
      <c r="H15" s="26" t="str">
        <f aca="false">IF(A15&lt;Resumen!$B$11,"",IF(H14="",0,H14)+G15/Resumen!$B$9)</f>
        <v/>
      </c>
      <c r="I15" s="26" t="str">
        <f aca="false">IF(H15="","",H15-AVERAGE(H8:H63))</f>
        <v/>
      </c>
      <c r="J15" s="27" t="str">
        <f aca="false">IF(I15="","",Resumen!$B$10-(MAX(I8:I63)-I15))</f>
        <v/>
      </c>
    </row>
    <row r="16" customFormat="false" ht="15" hidden="false" customHeight="false" outlineLevel="0" collapsed="false">
      <c r="A16" s="24" t="n">
        <v>46261.5416666667</v>
      </c>
      <c r="B16" s="10" t="n">
        <v>4.867</v>
      </c>
      <c r="C16" s="10" t="n">
        <v>3.9966</v>
      </c>
      <c r="D16" s="10" t="n">
        <f aca="false">IF(OR(B16="",C16="",B16&lt;=0.05,C16&lt;=0.05),0,1)</f>
        <v>1</v>
      </c>
      <c r="E16" s="25" t="n">
        <f aca="false">IF(OR(A16&lt;Resumen!$B$6,A16&gt;=Resumen!$B$7),0,MAX(0,AVERAGEIFS(B8:B64,D8:D64,1)-Resumen!$B$5*AVERAGEIFS(C8:C64,D8:D64,1)))</f>
        <v>0</v>
      </c>
      <c r="F16" s="10" t="n">
        <f aca="false">IF(B16="","",(B16-E16)/Resumen!$B$5)</f>
        <v>3.86576648133439</v>
      </c>
      <c r="G16" s="10" t="n">
        <f aca="false">IF(OR(F16="",C16=""),0,(F16-C16)*0.9)</f>
        <v>-0.117750166799047</v>
      </c>
      <c r="H16" s="26" t="str">
        <f aca="false">IF(A16&lt;Resumen!$B$11,"",IF(H15="",0,H15)+G16/Resumen!$B$9)</f>
        <v/>
      </c>
      <c r="I16" s="26" t="str">
        <f aca="false">IF(H16="","",H16-AVERAGE(H8:H64))</f>
        <v/>
      </c>
      <c r="J16" s="27" t="str">
        <f aca="false">IF(I16="","",Resumen!$B$10-(MAX(I8:I64)-I16))</f>
        <v/>
      </c>
    </row>
    <row r="17" customFormat="false" ht="15" hidden="false" customHeight="false" outlineLevel="0" collapsed="false">
      <c r="A17" s="24" t="n">
        <v>46261.5520833333</v>
      </c>
      <c r="B17" s="10" t="n">
        <v>4.5879</v>
      </c>
      <c r="C17" s="10" t="n">
        <v>4.3679</v>
      </c>
      <c r="D17" s="10" t="n">
        <f aca="false">IF(OR(B17="",C17="",B17&lt;=0.05,C17&lt;=0.05),0,1)</f>
        <v>1</v>
      </c>
      <c r="E17" s="25" t="n">
        <f aca="false">IF(OR(A17&lt;Resumen!$B$6,A17&gt;=Resumen!$B$7),0,MAX(0,AVERAGEIFS(B8:B65,D8:D65,1)-Resumen!$B$5*AVERAGEIFS(C8:C65,D8:D65,1)))</f>
        <v>0</v>
      </c>
      <c r="F17" s="10" t="n">
        <f aca="false">IF(B17="","",(B17-E17)/Resumen!$B$5)</f>
        <v>3.64408260524226</v>
      </c>
      <c r="G17" s="10" t="n">
        <f aca="false">IF(OR(F17="",C17=""),0,(F17-C17)*0.9)</f>
        <v>-0.651435655281969</v>
      </c>
      <c r="H17" s="26" t="str">
        <f aca="false">IF(A17&lt;Resumen!$B$11,"",IF(H16="",0,H16)+G17/Resumen!$B$9)</f>
        <v/>
      </c>
      <c r="I17" s="26" t="str">
        <f aca="false">IF(H17="","",H17-AVERAGE(H8:H65))</f>
        <v/>
      </c>
      <c r="J17" s="27" t="str">
        <f aca="false">IF(I17="","",Resumen!$B$10-(MAX(I8:I65)-I17))</f>
        <v/>
      </c>
    </row>
    <row r="18" customFormat="false" ht="15" hidden="false" customHeight="false" outlineLevel="0" collapsed="false">
      <c r="A18" s="24" t="n">
        <v>46261.5625</v>
      </c>
      <c r="B18" s="10" t="n">
        <v>7.8124</v>
      </c>
      <c r="C18" s="10" t="n">
        <v>5.1017</v>
      </c>
      <c r="D18" s="10" t="n">
        <f aca="false">IF(OR(B18="",C18="",B18&lt;=0.05,C18&lt;=0.05),0,1)</f>
        <v>1</v>
      </c>
      <c r="E18" s="25" t="n">
        <f aca="false">IF(OR(A18&lt;Resumen!$B$6,A18&gt;=Resumen!$B$7),0,MAX(0,AVERAGEIFS(B8:B66,D8:D66,1)-Resumen!$B$5*AVERAGEIFS(C8:C66,D8:D66,1)))</f>
        <v>0</v>
      </c>
      <c r="F18" s="10" t="n">
        <f aca="false">IF(B18="","",(B18-E18)/Resumen!$B$5)</f>
        <v>6.20524225575854</v>
      </c>
      <c r="G18" s="10" t="n">
        <f aca="false">IF(OR(F18="",C18=""),0,(F18-C18)*0.9)</f>
        <v>0.993188030182685</v>
      </c>
      <c r="H18" s="26" t="str">
        <f aca="false">IF(A18&lt;Resumen!$B$11,"",IF(H17="",0,H17)+G18/Resumen!$B$9)</f>
        <v/>
      </c>
      <c r="I18" s="26" t="str">
        <f aca="false">IF(H18="","",H18-AVERAGE(H8:H66))</f>
        <v/>
      </c>
      <c r="J18" s="27" t="str">
        <f aca="false">IF(I18="","",Resumen!$B$10-(MAX(I8:I66)-I18))</f>
        <v/>
      </c>
    </row>
    <row r="19" customFormat="false" ht="15" hidden="false" customHeight="false" outlineLevel="0" collapsed="false">
      <c r="A19" s="24" t="n">
        <v>46261.5729166667</v>
      </c>
      <c r="B19" s="10" t="n">
        <v>3.4571</v>
      </c>
      <c r="C19" s="10" t="n">
        <v>3.1217</v>
      </c>
      <c r="D19" s="10" t="n">
        <f aca="false">IF(OR(B19="",C19="",B19&lt;=0.05,C19&lt;=0.05),0,1)</f>
        <v>1</v>
      </c>
      <c r="E19" s="25" t="n">
        <f aca="false">IF(OR(A19&lt;Resumen!$B$6,A19&gt;=Resumen!$B$7),0,MAX(0,AVERAGEIFS(B8:B67,D8:D67,1)-Resumen!$B$5*AVERAGEIFS(C8:C67,D8:D67,1)))</f>
        <v>0</v>
      </c>
      <c r="F19" s="10" t="n">
        <f aca="false">IF(B19="","",(B19-E19)/Resumen!$B$5)</f>
        <v>2.74590945194599</v>
      </c>
      <c r="G19" s="10" t="n">
        <f aca="false">IF(OR(F19="",C19=""),0,(F19-C19)*0.9)</f>
        <v>-0.33821149324861</v>
      </c>
      <c r="H19" s="26" t="str">
        <f aca="false">IF(A19&lt;Resumen!$B$11,"",IF(H18="",0,H18)+G19/Resumen!$B$9)</f>
        <v/>
      </c>
      <c r="I19" s="26" t="str">
        <f aca="false">IF(H19="","",H19-AVERAGE(H8:H67))</f>
        <v/>
      </c>
      <c r="J19" s="27" t="str">
        <f aca="false">IF(I19="","",Resumen!$B$10-(MAX(I8:I67)-I19))</f>
        <v/>
      </c>
    </row>
    <row r="20" customFormat="false" ht="15" hidden="false" customHeight="false" outlineLevel="0" collapsed="false">
      <c r="A20" s="24" t="n">
        <v>46261.5833333333</v>
      </c>
      <c r="B20" s="10" t="n">
        <v>4.2035</v>
      </c>
      <c r="C20" s="10" t="n">
        <v>2.5615</v>
      </c>
      <c r="D20" s="10" t="n">
        <f aca="false">IF(OR(B20="",C20="",B20&lt;=0.05,C20&lt;=0.05),0,1)</f>
        <v>1</v>
      </c>
      <c r="E20" s="25" t="n">
        <f aca="false">IF(OR(A20&lt;Resumen!$B$6,A20&gt;=Resumen!$B$7),0,MAX(0,AVERAGEIFS(B8:B68,D8:D68,1)-Resumen!$B$5*AVERAGEIFS(C8:C68,D8:D68,1)))</f>
        <v>0</v>
      </c>
      <c r="F20" s="10" t="n">
        <f aca="false">IF(B20="","",(B20-E20)/Resumen!$B$5)</f>
        <v>3.33876092136616</v>
      </c>
      <c r="G20" s="10" t="n">
        <f aca="false">IF(OR(F20="",C20=""),0,(F20-C20)*0.9)</f>
        <v>0.699534829229548</v>
      </c>
      <c r="H20" s="26" t="str">
        <f aca="false">IF(A20&lt;Resumen!$B$11,"",IF(H19="",0,H19)+G20/Resumen!$B$9)</f>
        <v/>
      </c>
      <c r="I20" s="26" t="str">
        <f aca="false">IF(H20="","",H20-AVERAGE(H8:H68))</f>
        <v/>
      </c>
      <c r="J20" s="27" t="str">
        <f aca="false">IF(I20="","",Resumen!$B$10-(MAX(I8:I68)-I20))</f>
        <v/>
      </c>
    </row>
    <row r="21" customFormat="false" ht="15" hidden="false" customHeight="false" outlineLevel="0" collapsed="false">
      <c r="A21" s="24" t="n">
        <v>46261.59375</v>
      </c>
      <c r="B21" s="10" t="n">
        <v>4.6767</v>
      </c>
      <c r="C21" s="10" t="n">
        <v>2.7378</v>
      </c>
      <c r="D21" s="10" t="n">
        <f aca="false">IF(OR(B21="",C21="",B21&lt;=0.05,C21&lt;=0.05),0,1)</f>
        <v>1</v>
      </c>
      <c r="E21" s="25" t="n">
        <f aca="false">IF(OR(A21&lt;Resumen!$B$6,A21&gt;=Resumen!$B$7),0,MAX(0,AVERAGEIFS(B8:B69,D8:D69,1)-Resumen!$B$5*AVERAGEIFS(C8:C69,D8:D69,1)))</f>
        <v>0</v>
      </c>
      <c r="F21" s="10" t="n">
        <f aca="false">IF(B21="","",(B21-E21)/Resumen!$B$5)</f>
        <v>3.71461477362987</v>
      </c>
      <c r="G21" s="10" t="n">
        <f aca="false">IF(OR(F21="",C21=""),0,(F21-C21)*0.9)</f>
        <v>0.879133296266879</v>
      </c>
      <c r="H21" s="26" t="str">
        <f aca="false">IF(A21&lt;Resumen!$B$11,"",IF(H20="",0,H20)+G21/Resumen!$B$9)</f>
        <v/>
      </c>
      <c r="I21" s="26" t="str">
        <f aca="false">IF(H21="","",H21-AVERAGE(H8:H69))</f>
        <v/>
      </c>
      <c r="J21" s="27" t="str">
        <f aca="false">IF(I21="","",Resumen!$B$10-(MAX(I8:I69)-I21))</f>
        <v/>
      </c>
    </row>
    <row r="22" customFormat="false" ht="15" hidden="false" customHeight="false" outlineLevel="0" collapsed="false">
      <c r="A22" s="24" t="n">
        <v>46261.6041666667</v>
      </c>
      <c r="B22" s="10" t="n">
        <v>4.5846</v>
      </c>
      <c r="C22" s="10" t="n">
        <v>2.8554</v>
      </c>
      <c r="D22" s="10" t="n">
        <f aca="false">IF(OR(B22="",C22="",B22&lt;=0.05,C22&lt;=0.05),0,1)</f>
        <v>1</v>
      </c>
      <c r="E22" s="25" t="n">
        <f aca="false">IF(OR(A22&lt;Resumen!$B$6,A22&gt;=Resumen!$B$7),0,MAX(0,AVERAGEIFS(B8:B70,D8:D70,1)-Resumen!$B$5*AVERAGEIFS(C8:C70,D8:D70,1)))</f>
        <v>0</v>
      </c>
      <c r="F22" s="10" t="n">
        <f aca="false">IF(B22="","",(B22-E22)/Resumen!$B$5)</f>
        <v>3.64146147736299</v>
      </c>
      <c r="G22" s="10" t="n">
        <f aca="false">IF(OR(F22="",C22=""),0,(F22-C22)*0.9)</f>
        <v>0.707455329626688</v>
      </c>
      <c r="H22" s="26" t="str">
        <f aca="false">IF(A22&lt;Resumen!$B$11,"",IF(H21="",0,H21)+G22/Resumen!$B$9)</f>
        <v/>
      </c>
      <c r="I22" s="26" t="str">
        <f aca="false">IF(H22="","",H22-AVERAGE(H8:H70))</f>
        <v/>
      </c>
      <c r="J22" s="27" t="str">
        <f aca="false">IF(I22="","",Resumen!$B$10-(MAX(I8:I70)-I22))</f>
        <v/>
      </c>
    </row>
    <row r="23" customFormat="false" ht="15" hidden="false" customHeight="false" outlineLevel="0" collapsed="false">
      <c r="A23" s="24" t="n">
        <v>46261.6145833333</v>
      </c>
      <c r="B23" s="10" t="n">
        <v>4.3548</v>
      </c>
      <c r="C23" s="10" t="n">
        <v>3.6647</v>
      </c>
      <c r="D23" s="10" t="n">
        <f aca="false">IF(OR(B23="",C23="",B23&lt;=0.05,C23&lt;=0.05),0,1)</f>
        <v>1</v>
      </c>
      <c r="E23" s="25" t="n">
        <f aca="false">IF(OR(A23&lt;Resumen!$B$6,A23&gt;=Resumen!$B$7),0,MAX(0,AVERAGEIFS(B8:B71,D8:D71,1)-Resumen!$B$5*AVERAGEIFS(C8:C71,D8:D71,1)))</f>
        <v>0</v>
      </c>
      <c r="F23" s="10" t="n">
        <f aca="false">IF(B23="","",(B23-E23)/Resumen!$B$5)</f>
        <v>3.45893566322478</v>
      </c>
      <c r="G23" s="10" t="n">
        <f aca="false">IF(OR(F23="",C23=""),0,(F23-C23)*0.9)</f>
        <v>-0.185187903097696</v>
      </c>
      <c r="H23" s="26" t="str">
        <f aca="false">IF(A23&lt;Resumen!$B$11,"",IF(H22="",0,H22)+G23/Resumen!$B$9)</f>
        <v/>
      </c>
      <c r="I23" s="26" t="str">
        <f aca="false">IF(H23="","",H23-AVERAGE(H8:H71))</f>
        <v/>
      </c>
      <c r="J23" s="27" t="str">
        <f aca="false">IF(I23="","",Resumen!$B$10-(MAX(I8:I71)-I23))</f>
        <v/>
      </c>
    </row>
    <row r="24" customFormat="false" ht="15" hidden="false" customHeight="false" outlineLevel="0" collapsed="false">
      <c r="A24" s="24" t="n">
        <v>46261.625</v>
      </c>
      <c r="B24" s="10" t="n">
        <v>2.8312</v>
      </c>
      <c r="C24" s="10" t="n">
        <v>2.8198</v>
      </c>
      <c r="D24" s="10" t="n">
        <f aca="false">IF(OR(B24="",C24="",B24&lt;=0.05,C24&lt;=0.05),0,1)</f>
        <v>1</v>
      </c>
      <c r="E24" s="25" t="n">
        <f aca="false">IF(OR(A24&lt;Resumen!$B$6,A24&gt;=Resumen!$B$7),0,MAX(0,AVERAGEIFS(B8:B72,D8:D72,1)-Resumen!$B$5*AVERAGEIFS(C8:C72,D8:D72,1)))</f>
        <v>0</v>
      </c>
      <c r="F24" s="10" t="n">
        <f aca="false">IF(B24="","",(B24-E24)/Resumen!$B$5)</f>
        <v>2.24876886417792</v>
      </c>
      <c r="G24" s="10" t="n">
        <f aca="false">IF(OR(F24="",C24=""),0,(F24-C24)*0.9)</f>
        <v>-0.513928022239873</v>
      </c>
      <c r="H24" s="26" t="str">
        <f aca="false">IF(A24&lt;Resumen!$B$11,"",IF(H23="",0,H23)+G24/Resumen!$B$9)</f>
        <v/>
      </c>
      <c r="I24" s="26" t="str">
        <f aca="false">IF(H24="","",H24-AVERAGE(H8:H72))</f>
        <v/>
      </c>
      <c r="J24" s="27" t="str">
        <f aca="false">IF(I24="","",Resumen!$B$10-(MAX(I8:I72)-I24))</f>
        <v/>
      </c>
    </row>
    <row r="25" customFormat="false" ht="15" hidden="false" customHeight="false" outlineLevel="0" collapsed="false">
      <c r="A25" s="24" t="n">
        <v>46261.6354166667</v>
      </c>
      <c r="B25" s="10" t="n">
        <v>4.3069</v>
      </c>
      <c r="C25" s="10" t="n">
        <v>2.5429</v>
      </c>
      <c r="D25" s="10" t="n">
        <f aca="false">IF(OR(B25="",C25="",B25&lt;=0.05,C25&lt;=0.05),0,1)</f>
        <v>1</v>
      </c>
      <c r="E25" s="25" t="n">
        <f aca="false">IF(OR(A25&lt;Resumen!$B$6,A25&gt;=Resumen!$B$7),0,MAX(0,AVERAGEIFS(B8:B73,D8:D73,1)-Resumen!$B$5*AVERAGEIFS(C8:C73,D8:D73,1)))</f>
        <v>0</v>
      </c>
      <c r="F25" s="10" t="n">
        <f aca="false">IF(B25="","",(B25-E25)/Resumen!$B$5)</f>
        <v>3.4208895949166</v>
      </c>
      <c r="G25" s="10" t="n">
        <f aca="false">IF(OR(F25="",C25=""),0,(F25-C25)*0.9)</f>
        <v>0.790190635424941</v>
      </c>
      <c r="H25" s="26" t="str">
        <f aca="false">IF(A25&lt;Resumen!$B$11,"",IF(H24="",0,H24)+G25/Resumen!$B$9)</f>
        <v/>
      </c>
      <c r="I25" s="26" t="str">
        <f aca="false">IF(H25="","",H25-AVERAGE(H8:H73))</f>
        <v/>
      </c>
      <c r="J25" s="27" t="str">
        <f aca="false">IF(I25="","",Resumen!$B$10-(MAX(I8:I73)-I25))</f>
        <v/>
      </c>
    </row>
    <row r="26" customFormat="false" ht="15" hidden="false" customHeight="false" outlineLevel="0" collapsed="false">
      <c r="A26" s="24" t="n">
        <v>46261.6458333333</v>
      </c>
      <c r="B26" s="10" t="n">
        <v>3.0314</v>
      </c>
      <c r="C26" s="10" t="n">
        <v>3.232</v>
      </c>
      <c r="D26" s="10" t="n">
        <f aca="false">IF(OR(B26="",C26="",B26&lt;=0.05,C26&lt;=0.05),0,1)</f>
        <v>1</v>
      </c>
      <c r="E26" s="25" t="n">
        <f aca="false">IF(OR(A26&lt;Resumen!$B$6,A26&gt;=Resumen!$B$7),0,MAX(0,AVERAGEIFS(B8:B74,D8:D74,1)-Resumen!$B$5*AVERAGEIFS(C8:C74,D8:D74,1)))</f>
        <v>0</v>
      </c>
      <c r="F26" s="10" t="n">
        <f aca="false">IF(B26="","",(B26-E26)/Resumen!$B$5)</f>
        <v>2.40778395552025</v>
      </c>
      <c r="G26" s="10" t="n">
        <f aca="false">IF(OR(F26="",C26=""),0,(F26-C26)*0.9)</f>
        <v>-0.741794440031771</v>
      </c>
      <c r="H26" s="26" t="str">
        <f aca="false">IF(A26&lt;Resumen!$B$11,"",IF(H25="",0,H25)+G26/Resumen!$B$9)</f>
        <v/>
      </c>
      <c r="I26" s="26" t="str">
        <f aca="false">IF(H26="","",H26-AVERAGE(H8:H74))</f>
        <v/>
      </c>
      <c r="J26" s="27" t="str">
        <f aca="false">IF(I26="","",Resumen!$B$10-(MAX(I8:I74)-I26))</f>
        <v/>
      </c>
    </row>
    <row r="27" customFormat="false" ht="15" hidden="false" customHeight="false" outlineLevel="0" collapsed="false">
      <c r="A27" s="24" t="n">
        <v>46261.65625</v>
      </c>
      <c r="B27" s="10" t="n">
        <v>3.4577</v>
      </c>
      <c r="C27" s="10" t="n">
        <v>3.0622</v>
      </c>
      <c r="D27" s="10" t="n">
        <f aca="false">IF(OR(B27="",C27="",B27&lt;=0.05,C27&lt;=0.05),0,1)</f>
        <v>1</v>
      </c>
      <c r="E27" s="25" t="n">
        <f aca="false">IF(OR(A27&lt;Resumen!$B$6,A27&gt;=Resumen!$B$7),0,MAX(0,AVERAGEIFS(B8:B75,D8:D75,1)-Resumen!$B$5*AVERAGEIFS(C8:C75,D8:D75,1)))</f>
        <v>0</v>
      </c>
      <c r="F27" s="10" t="n">
        <f aca="false">IF(B27="","",(B27-E27)/Resumen!$B$5)</f>
        <v>2.74638602065131</v>
      </c>
      <c r="G27" s="10" t="n">
        <f aca="false">IF(OR(F27="",C27=""),0,(F27-C27)*0.9)</f>
        <v>-0.28423258141382</v>
      </c>
      <c r="H27" s="26" t="str">
        <f aca="false">IF(A27&lt;Resumen!$B$11,"",IF(H26="",0,H26)+G27/Resumen!$B$9)</f>
        <v/>
      </c>
      <c r="I27" s="26" t="str">
        <f aca="false">IF(H27="","",H27-AVERAGE(H8:H75))</f>
        <v/>
      </c>
      <c r="J27" s="27" t="str">
        <f aca="false">IF(I27="","",Resumen!$B$10-(MAX(I8:I75)-I27))</f>
        <v/>
      </c>
    </row>
    <row r="28" customFormat="false" ht="15" hidden="false" customHeight="false" outlineLevel="0" collapsed="false">
      <c r="A28" s="24" t="n">
        <v>46261.6666666667</v>
      </c>
      <c r="B28" s="10" t="n">
        <v>1.9004</v>
      </c>
      <c r="C28" s="10" t="n">
        <v>2.2455</v>
      </c>
      <c r="D28" s="10" t="n">
        <f aca="false">IF(OR(B28="",C28="",B28&lt;=0.05,C28&lt;=0.05),0,1)</f>
        <v>1</v>
      </c>
      <c r="E28" s="25" t="n">
        <f aca="false">IF(OR(A28&lt;Resumen!$B$6,A28&gt;=Resumen!$B$7),0,MAX(0,AVERAGEIFS(B8:B76,D8:D76,1)-Resumen!$B$5*AVERAGEIFS(C8:C76,D8:D76,1)))</f>
        <v>0</v>
      </c>
      <c r="F28" s="10" t="n">
        <f aca="false">IF(B28="","",(B28-E28)/Resumen!$B$5)</f>
        <v>1.50945194598888</v>
      </c>
      <c r="G28" s="10" t="n">
        <f aca="false">IF(OR(F28="",C28=""),0,(F28-C28)*0.9)</f>
        <v>-0.662443248610008</v>
      </c>
      <c r="H28" s="26" t="str">
        <f aca="false">IF(A28&lt;Resumen!$B$11,"",IF(H27="",0,H27)+G28/Resumen!$B$9)</f>
        <v/>
      </c>
      <c r="I28" s="26" t="str">
        <f aca="false">IF(H28="","",H28-AVERAGE(H8:H76))</f>
        <v/>
      </c>
      <c r="J28" s="27" t="str">
        <f aca="false">IF(I28="","",Resumen!$B$10-(MAX(I8:I76)-I28))</f>
        <v/>
      </c>
    </row>
    <row r="29" customFormat="false" ht="15" hidden="false" customHeight="false" outlineLevel="0" collapsed="false">
      <c r="A29" s="24" t="n">
        <v>46261.6770833333</v>
      </c>
      <c r="B29" s="10" t="n">
        <v>3.3761</v>
      </c>
      <c r="C29" s="10" t="n">
        <v>3.1342</v>
      </c>
      <c r="D29" s="10" t="n">
        <f aca="false">IF(OR(B29="",C29="",B29&lt;=0.05,C29&lt;=0.05),0,1)</f>
        <v>1</v>
      </c>
      <c r="E29" s="25" t="n">
        <f aca="false">IF(OR(A29&lt;Resumen!$B$6,A29&gt;=Resumen!$B$7),0,MAX(0,AVERAGEIFS(B8:B77,D8:D77,1)-Resumen!$B$5*AVERAGEIFS(C8:C77,D8:D77,1)))</f>
        <v>0</v>
      </c>
      <c r="F29" s="10" t="n">
        <f aca="false">IF(B29="","",(B29-E29)/Resumen!$B$5)</f>
        <v>2.68157267672756</v>
      </c>
      <c r="G29" s="10" t="n">
        <f aca="false">IF(OR(F29="",C29=""),0,(F29-C29)*0.9)</f>
        <v>-0.407364590945194</v>
      </c>
      <c r="H29" s="26" t="str">
        <f aca="false">IF(A29&lt;Resumen!$B$11,"",IF(H28="",0,H28)+G29/Resumen!$B$9)</f>
        <v/>
      </c>
      <c r="I29" s="26" t="str">
        <f aca="false">IF(H29="","",H29-AVERAGE(H8:H77))</f>
        <v/>
      </c>
      <c r="J29" s="27" t="str">
        <f aca="false">IF(I29="","",Resumen!$B$10-(MAX(I8:I77)-I29))</f>
        <v/>
      </c>
    </row>
    <row r="30" customFormat="false" ht="15" hidden="false" customHeight="false" outlineLevel="0" collapsed="false">
      <c r="A30" s="24" t="n">
        <v>46261.6875</v>
      </c>
      <c r="B30" s="10" t="n">
        <v>4.6826</v>
      </c>
      <c r="C30" s="10" t="n">
        <v>2.6085</v>
      </c>
      <c r="D30" s="10" t="n">
        <f aca="false">IF(OR(B30="",C30="",B30&lt;=0.05,C30&lt;=0.05),0,1)</f>
        <v>1</v>
      </c>
      <c r="E30" s="25" t="n">
        <f aca="false">IF(OR(A30&lt;Resumen!$B$6,A30&gt;=Resumen!$B$7),0,MAX(0,AVERAGEIFS(B8:B78,D8:D78,1)-Resumen!$B$5*AVERAGEIFS(C8:C78,D8:D78,1)))</f>
        <v>0</v>
      </c>
      <c r="F30" s="10" t="n">
        <f aca="false">IF(B30="","",(B30-E30)/Resumen!$B$5)</f>
        <v>3.71930103256553</v>
      </c>
      <c r="G30" s="10" t="n">
        <f aca="false">IF(OR(F30="",C30=""),0,(F30-C30)*0.9)</f>
        <v>0.999720929308976</v>
      </c>
      <c r="H30" s="26" t="str">
        <f aca="false">IF(A30&lt;Resumen!$B$11,"",IF(H29="",0,H29)+G30/Resumen!$B$9)</f>
        <v/>
      </c>
      <c r="I30" s="26" t="str">
        <f aca="false">IF(H30="","",H30-AVERAGE(H8:H78))</f>
        <v/>
      </c>
      <c r="J30" s="27" t="str">
        <f aca="false">IF(I30="","",Resumen!$B$10-(MAX(I8:I78)-I30))</f>
        <v/>
      </c>
    </row>
    <row r="31" customFormat="false" ht="15" hidden="false" customHeight="false" outlineLevel="0" collapsed="false">
      <c r="A31" s="24" t="n">
        <v>46261.6979166667</v>
      </c>
      <c r="B31" s="10" t="n">
        <v>3.1266</v>
      </c>
      <c r="C31" s="10" t="n">
        <v>2.8243</v>
      </c>
      <c r="D31" s="10" t="n">
        <f aca="false">IF(OR(B31="",C31="",B31&lt;=0.05,C31&lt;=0.05),0,1)</f>
        <v>1</v>
      </c>
      <c r="E31" s="25" t="n">
        <f aca="false">IF(OR(A31&lt;Resumen!$B$6,A31&gt;=Resumen!$B$7),0,MAX(0,AVERAGEIFS(B8:B79,D8:D79,1)-Resumen!$B$5*AVERAGEIFS(C8:C79,D8:D79,1)))</f>
        <v>0</v>
      </c>
      <c r="F31" s="10" t="n">
        <f aca="false">IF(B31="","",(B31-E31)/Resumen!$B$5)</f>
        <v>2.48339952343129</v>
      </c>
      <c r="G31" s="10" t="n">
        <f aca="false">IF(OR(F31="",C31=""),0,(F31-C31)*0.9)</f>
        <v>-0.306810428911835</v>
      </c>
      <c r="H31" s="26" t="str">
        <f aca="false">IF(A31&lt;Resumen!$B$11,"",IF(H30="",0,H30)+G31/Resumen!$B$9)</f>
        <v/>
      </c>
      <c r="I31" s="26" t="str">
        <f aca="false">IF(H31="","",H31-AVERAGE(H8:H79))</f>
        <v/>
      </c>
      <c r="J31" s="27" t="str">
        <f aca="false">IF(I31="","",Resumen!$B$10-(MAX(I8:I79)-I31))</f>
        <v/>
      </c>
    </row>
    <row r="32" customFormat="false" ht="15" hidden="false" customHeight="false" outlineLevel="0" collapsed="false">
      <c r="A32" s="24" t="n">
        <v>46261.7083333333</v>
      </c>
      <c r="B32" s="10" t="n">
        <v>3.4414</v>
      </c>
      <c r="C32" s="10" t="n">
        <v>3.1303</v>
      </c>
      <c r="D32" s="10" t="n">
        <f aca="false">IF(OR(B32="",C32="",B32&lt;=0.05,C32&lt;=0.05),0,1)</f>
        <v>1</v>
      </c>
      <c r="E32" s="25" t="n">
        <f aca="false">IF(OR(A32&lt;Resumen!$B$6,A32&gt;=Resumen!$B$7),0,MAX(0,AVERAGEIFS(B8:B80,D8:D80,1)-Resumen!$B$5*AVERAGEIFS(C8:C80,D8:D80,1)))</f>
        <v>0</v>
      </c>
      <c r="F32" s="10" t="n">
        <f aca="false">IF(B32="","",(B32-E32)/Resumen!$B$5)</f>
        <v>2.73343923749007</v>
      </c>
      <c r="G32" s="10" t="n">
        <f aca="false">IF(OR(F32="",C32=""),0,(F32-C32)*0.9)</f>
        <v>-0.357174686258936</v>
      </c>
      <c r="H32" s="26" t="str">
        <f aca="false">IF(A32&lt;Resumen!$B$11,"",IF(H31="",0,H31)+G32/Resumen!$B$9)</f>
        <v/>
      </c>
      <c r="I32" s="26" t="str">
        <f aca="false">IF(H32="","",H32-AVERAGE(H8:H80))</f>
        <v/>
      </c>
      <c r="J32" s="27" t="str">
        <f aca="false">IF(I32="","",Resumen!$B$10-(MAX(I8:I80)-I32))</f>
        <v/>
      </c>
    </row>
    <row r="33" customFormat="false" ht="15" hidden="false" customHeight="false" outlineLevel="0" collapsed="false">
      <c r="A33" s="24" t="n">
        <v>46261.71875</v>
      </c>
      <c r="B33" s="10" t="n">
        <v>3.2393</v>
      </c>
      <c r="C33" s="10" t="n">
        <v>2.9127</v>
      </c>
      <c r="D33" s="10" t="n">
        <f aca="false">IF(OR(B33="",C33="",B33&lt;=0.05,C33&lt;=0.05),0,1)</f>
        <v>1</v>
      </c>
      <c r="E33" s="25" t="n">
        <f aca="false">IF(OR(A33&lt;Resumen!$B$6,A33&gt;=Resumen!$B$7),0,MAX(0,AVERAGEIFS(B8:B81,D8:D81,1)-Resumen!$B$5*AVERAGEIFS(C8:C81,D8:D81,1)))</f>
        <v>0</v>
      </c>
      <c r="F33" s="10" t="n">
        <f aca="false">IF(B33="","",(B33-E33)/Resumen!$B$5)</f>
        <v>2.57291501191422</v>
      </c>
      <c r="G33" s="10" t="n">
        <f aca="false">IF(OR(F33="",C33=""),0,(F33-C33)*0.9)</f>
        <v>-0.305806489277204</v>
      </c>
      <c r="H33" s="26" t="str">
        <f aca="false">IF(A33&lt;Resumen!$B$11,"",IF(H32="",0,H32)+G33/Resumen!$B$9)</f>
        <v/>
      </c>
      <c r="I33" s="26" t="str">
        <f aca="false">IF(H33="","",H33-AVERAGE(H8:H81))</f>
        <v/>
      </c>
      <c r="J33" s="27" t="str">
        <f aca="false">IF(I33="","",Resumen!$B$10-(MAX(I8:I81)-I33))</f>
        <v/>
      </c>
    </row>
    <row r="34" customFormat="false" ht="15" hidden="false" customHeight="false" outlineLevel="0" collapsed="false">
      <c r="A34" s="24" t="n">
        <v>46261.7291666667</v>
      </c>
      <c r="B34" s="10" t="n">
        <v>2.6601</v>
      </c>
      <c r="C34" s="10" t="n">
        <v>2.6336</v>
      </c>
      <c r="D34" s="10" t="n">
        <f aca="false">IF(OR(B34="",C34="",B34&lt;=0.05,C34&lt;=0.05),0,1)</f>
        <v>1</v>
      </c>
      <c r="E34" s="25" t="n">
        <f aca="false">IF(OR(A34&lt;Resumen!$B$6,A34&gt;=Resumen!$B$7),0,MAX(0,AVERAGEIFS(B8:B82,D8:D82,1)-Resumen!$B$5*AVERAGEIFS(C8:C82,D8:D82,1)))</f>
        <v>0</v>
      </c>
      <c r="F34" s="10" t="n">
        <f aca="false">IF(B34="","",(B34-E34)/Resumen!$B$5)</f>
        <v>2.11286735504369</v>
      </c>
      <c r="G34" s="10" t="n">
        <f aca="false">IF(OR(F34="",C34=""),0,(F34-C34)*0.9)</f>
        <v>-0.468659380460683</v>
      </c>
      <c r="H34" s="26" t="str">
        <f aca="false">IF(A34&lt;Resumen!$B$11,"",IF(H33="",0,H33)+G34/Resumen!$B$9)</f>
        <v/>
      </c>
      <c r="I34" s="26" t="str">
        <f aca="false">IF(H34="","",H34-AVERAGE(H8:H82))</f>
        <v/>
      </c>
      <c r="J34" s="27" t="str">
        <f aca="false">IF(I34="","",Resumen!$B$10-(MAX(I8:I82)-I34))</f>
        <v/>
      </c>
    </row>
    <row r="35" customFormat="false" ht="15" hidden="false" customHeight="false" outlineLevel="0" collapsed="false">
      <c r="A35" s="24" t="n">
        <v>46261.7395833333</v>
      </c>
      <c r="B35" s="10" t="n">
        <v>3.8938</v>
      </c>
      <c r="C35" s="10" t="n">
        <v>3.078</v>
      </c>
      <c r="D35" s="10" t="n">
        <f aca="false">IF(OR(B35="",C35="",B35&lt;=0.05,C35&lt;=0.05),0,1)</f>
        <v>1</v>
      </c>
      <c r="E35" s="25" t="n">
        <f aca="false">IF(OR(A35&lt;Resumen!$B$6,A35&gt;=Resumen!$B$7),0,MAX(0,AVERAGEIFS(B8:B83,D8:D83,1)-Resumen!$B$5*AVERAGEIFS(C8:C83,D8:D83,1)))</f>
        <v>0</v>
      </c>
      <c r="F35" s="10" t="n">
        <f aca="false">IF(B35="","",(B35-E35)/Resumen!$B$5)</f>
        <v>3.09277204130262</v>
      </c>
      <c r="G35" s="10" t="n">
        <f aca="false">IF(OR(F35="",C35=""),0,(F35-C35)*0.9)</f>
        <v>0.0132948371723594</v>
      </c>
      <c r="H35" s="26" t="str">
        <f aca="false">IF(A35&lt;Resumen!$B$11,"",IF(H34="",0,H34)+G35/Resumen!$B$9)</f>
        <v/>
      </c>
      <c r="I35" s="26" t="str">
        <f aca="false">IF(H35="","",H35-AVERAGE(H8:H83))</f>
        <v/>
      </c>
      <c r="J35" s="27" t="str">
        <f aca="false">IF(I35="","",Resumen!$B$10-(MAX(I8:I83)-I35))</f>
        <v/>
      </c>
    </row>
    <row r="36" customFormat="false" ht="15" hidden="false" customHeight="false" outlineLevel="0" collapsed="false">
      <c r="A36" s="24" t="n">
        <v>46261.75</v>
      </c>
      <c r="B36" s="10" t="n">
        <v>2.7428</v>
      </c>
      <c r="C36" s="10" t="n">
        <v>2.956</v>
      </c>
      <c r="D36" s="10" t="n">
        <f aca="false">IF(OR(B36="",C36="",B36&lt;=0.05,C36&lt;=0.05),0,1)</f>
        <v>1</v>
      </c>
      <c r="E36" s="25" t="n">
        <f aca="false">IF(OR(A36&lt;Resumen!$B$6,A36&gt;=Resumen!$B$7),0,MAX(0,AVERAGEIFS(B8:B84,D8:D84,1)-Resumen!$B$5*AVERAGEIFS(C8:C84,D8:D84,1)))</f>
        <v>0</v>
      </c>
      <c r="F36" s="10" t="n">
        <f aca="false">IF(B36="","",(B36-E36)/Resumen!$B$5)</f>
        <v>2.17855440826052</v>
      </c>
      <c r="G36" s="10" t="n">
        <f aca="false">IF(OR(F36="",C36=""),0,(F36-C36)*0.9)</f>
        <v>-0.699701032565528</v>
      </c>
      <c r="H36" s="26" t="str">
        <f aca="false">IF(A36&lt;Resumen!$B$11,"",IF(H35="",0,H35)+G36/Resumen!$B$9)</f>
        <v/>
      </c>
      <c r="I36" s="26" t="str">
        <f aca="false">IF(H36="","",H36-AVERAGE(H8:H84))</f>
        <v/>
      </c>
      <c r="J36" s="27" t="str">
        <f aca="false">IF(I36="","",Resumen!$B$10-(MAX(I8:I84)-I36))</f>
        <v/>
      </c>
    </row>
    <row r="37" customFormat="false" ht="15" hidden="false" customHeight="false" outlineLevel="0" collapsed="false">
      <c r="A37" s="24" t="n">
        <v>46261.7604166667</v>
      </c>
      <c r="B37" s="10" t="n">
        <v>4.37</v>
      </c>
      <c r="C37" s="10" t="n">
        <v>3.5497</v>
      </c>
      <c r="D37" s="10" t="n">
        <f aca="false">IF(OR(B37="",C37="",B37&lt;=0.05,C37&lt;=0.05),0,1)</f>
        <v>1</v>
      </c>
      <c r="E37" s="25" t="n">
        <f aca="false">IF(OR(A37&lt;Resumen!$B$6,A37&gt;=Resumen!$B$7),0,MAX(0,AVERAGEIFS(B8:B85,D8:D85,1)-Resumen!$B$5*AVERAGEIFS(C8:C85,D8:D85,1)))</f>
        <v>0</v>
      </c>
      <c r="F37" s="10" t="n">
        <f aca="false">IF(B37="","",(B37-E37)/Resumen!$B$5)</f>
        <v>3.47100873709293</v>
      </c>
      <c r="G37" s="10" t="n">
        <f aca="false">IF(OR(F37="",C37=""),0,(F37-C37)*0.9)</f>
        <v>-0.0708221366163618</v>
      </c>
      <c r="H37" s="26" t="str">
        <f aca="false">IF(A37&lt;Resumen!$B$11,"",IF(H36="",0,H36)+G37/Resumen!$B$9)</f>
        <v/>
      </c>
      <c r="I37" s="26" t="str">
        <f aca="false">IF(H37="","",H37-AVERAGE(H8:H85))</f>
        <v/>
      </c>
      <c r="J37" s="27" t="str">
        <f aca="false">IF(I37="","",Resumen!$B$10-(MAX(I8:I85)-I37))</f>
        <v/>
      </c>
    </row>
    <row r="38" customFormat="false" ht="15" hidden="false" customHeight="false" outlineLevel="0" collapsed="false">
      <c r="A38" s="24" t="n">
        <v>46261.7708333333</v>
      </c>
      <c r="B38" s="10" t="n">
        <v>2.6606</v>
      </c>
      <c r="C38" s="10" t="n">
        <v>2.6152</v>
      </c>
      <c r="D38" s="10" t="n">
        <f aca="false">IF(OR(B38="",C38="",B38&lt;=0.05,C38&lt;=0.05),0,1)</f>
        <v>1</v>
      </c>
      <c r="E38" s="25" t="n">
        <f aca="false">IF(OR(A38&lt;Resumen!$B$6,A38&gt;=Resumen!$B$7),0,MAX(0,AVERAGEIFS(B8:B86,D8:D86,1)-Resumen!$B$5*AVERAGEIFS(C8:C86,D8:D86,1)))</f>
        <v>0</v>
      </c>
      <c r="F38" s="10" t="n">
        <f aca="false">IF(B38="","",(B38-E38)/Resumen!$B$5)</f>
        <v>2.11326449563145</v>
      </c>
      <c r="G38" s="10" t="n">
        <f aca="false">IF(OR(F38="",C38=""),0,(F38-C38)*0.9)</f>
        <v>-0.451741953931692</v>
      </c>
      <c r="H38" s="26" t="str">
        <f aca="false">IF(A38&lt;Resumen!$B$11,"",IF(H37="",0,H37)+G38/Resumen!$B$9)</f>
        <v/>
      </c>
      <c r="I38" s="26" t="str">
        <f aca="false">IF(H38="","",H38-AVERAGE(H8:H86))</f>
        <v/>
      </c>
      <c r="J38" s="27" t="str">
        <f aca="false">IF(I38="","",Resumen!$B$10-(MAX(I8:I86)-I38))</f>
        <v/>
      </c>
    </row>
    <row r="39" customFormat="false" ht="15" hidden="false" customHeight="false" outlineLevel="0" collapsed="false">
      <c r="A39" s="24" t="n">
        <v>46261.78125</v>
      </c>
      <c r="B39" s="10" t="n">
        <v>2.3544</v>
      </c>
      <c r="C39" s="10" t="n">
        <v>2.1813</v>
      </c>
      <c r="D39" s="10" t="n">
        <f aca="false">IF(OR(B39="",C39="",B39&lt;=0.05,C39&lt;=0.05),0,1)</f>
        <v>1</v>
      </c>
      <c r="E39" s="25" t="n">
        <f aca="false">IF(OR(A39&lt;Resumen!$B$6,A39&gt;=Resumen!$B$7),0,MAX(0,AVERAGEIFS(B8:B87,D8:D87,1)-Resumen!$B$5*AVERAGEIFS(C8:C87,D8:D87,1)))</f>
        <v>0</v>
      </c>
      <c r="F39" s="10" t="n">
        <f aca="false">IF(B39="","",(B39-E39)/Resumen!$B$5)</f>
        <v>1.87005559968229</v>
      </c>
      <c r="G39" s="10" t="n">
        <f aca="false">IF(OR(F39="",C39=""),0,(F39-C39)*0.9)</f>
        <v>-0.280119960285941</v>
      </c>
      <c r="H39" s="26" t="str">
        <f aca="false">IF(A39&lt;Resumen!$B$11,"",IF(H38="",0,H38)+G39/Resumen!$B$9)</f>
        <v/>
      </c>
      <c r="I39" s="26" t="str">
        <f aca="false">IF(H39="","",H39-AVERAGE(H8:H87))</f>
        <v/>
      </c>
      <c r="J39" s="27" t="str">
        <f aca="false">IF(I39="","",Resumen!$B$10-(MAX(I8:I87)-I39))</f>
        <v/>
      </c>
    </row>
    <row r="40" customFormat="false" ht="15" hidden="false" customHeight="false" outlineLevel="0" collapsed="false">
      <c r="A40" s="24" t="n">
        <v>46261.7916666667</v>
      </c>
      <c r="B40" s="10" t="n">
        <v>2.7328</v>
      </c>
      <c r="C40" s="10" t="n">
        <v>2.3653</v>
      </c>
      <c r="D40" s="10" t="n">
        <f aca="false">IF(OR(B40="",C40="",B40&lt;=0.05,C40&lt;=0.05),0,1)</f>
        <v>1</v>
      </c>
      <c r="E40" s="25" t="n">
        <f aca="false">IF(OR(A40&lt;Resumen!$B$6,A40&gt;=Resumen!$B$7),0,MAX(0,AVERAGEIFS(B8:B88,D8:D88,1)-Resumen!$B$5*AVERAGEIFS(C8:C88,D8:D88,1)))</f>
        <v>0</v>
      </c>
      <c r="F40" s="10" t="n">
        <f aca="false">IF(B40="","",(B40-E40)/Resumen!$B$5)</f>
        <v>2.17061159650516</v>
      </c>
      <c r="G40" s="10" t="n">
        <f aca="false">IF(OR(F40="",C40=""),0,(F40-C40)*0.9)</f>
        <v>-0.175219563145353</v>
      </c>
      <c r="H40" s="26" t="str">
        <f aca="false">IF(A40&lt;Resumen!$B$11,"",IF(H39="",0,H39)+G40/Resumen!$B$9)</f>
        <v/>
      </c>
      <c r="I40" s="26" t="str">
        <f aca="false">IF(H40="","",H40-AVERAGE(H8:H88))</f>
        <v/>
      </c>
      <c r="J40" s="27" t="str">
        <f aca="false">IF(I40="","",Resumen!$B$10-(MAX(I8:I88)-I40))</f>
        <v/>
      </c>
    </row>
    <row r="41" customFormat="false" ht="15" hidden="false" customHeight="false" outlineLevel="0" collapsed="false">
      <c r="A41" s="24" t="n">
        <v>46261.8020833333</v>
      </c>
      <c r="B41" s="10" t="n">
        <v>2.7361</v>
      </c>
      <c r="C41" s="10" t="n">
        <v>2.3777</v>
      </c>
      <c r="D41" s="10" t="n">
        <f aca="false">IF(OR(B41="",C41="",B41&lt;=0.05,C41&lt;=0.05),0,1)</f>
        <v>1</v>
      </c>
      <c r="E41" s="25" t="n">
        <f aca="false">IF(OR(A41&lt;Resumen!$B$6,A41&gt;=Resumen!$B$7),0,MAX(0,AVERAGEIFS(B8:B89,D8:D89,1)-Resumen!$B$5*AVERAGEIFS(C8:C89,D8:D89,1)))</f>
        <v>0</v>
      </c>
      <c r="F41" s="10" t="n">
        <f aca="false">IF(B41="","",(B41-E41)/Resumen!$B$5)</f>
        <v>2.17323272438443</v>
      </c>
      <c r="G41" s="10" t="n">
        <f aca="false">IF(OR(F41="",C41=""),0,(F41-C41)*0.9)</f>
        <v>-0.184020548054011</v>
      </c>
      <c r="H41" s="26" t="str">
        <f aca="false">IF(A41&lt;Resumen!$B$11,"",IF(H40="",0,H40)+G41/Resumen!$B$9)</f>
        <v/>
      </c>
      <c r="I41" s="26" t="str">
        <f aca="false">IF(H41="","",H41-AVERAGE(H8:H89))</f>
        <v/>
      </c>
      <c r="J41" s="27" t="str">
        <f aca="false">IF(I41="","",Resumen!$B$10-(MAX(I8:I89)-I41))</f>
        <v/>
      </c>
    </row>
    <row r="42" customFormat="false" ht="15" hidden="false" customHeight="false" outlineLevel="0" collapsed="false">
      <c r="A42" s="24" t="n">
        <v>46261.8125</v>
      </c>
      <c r="B42" s="10" t="n">
        <v>2.6838</v>
      </c>
      <c r="C42" s="10" t="n">
        <v>2.225</v>
      </c>
      <c r="D42" s="10" t="n">
        <f aca="false">IF(OR(B42="",C42="",B42&lt;=0.05,C42&lt;=0.05),0,1)</f>
        <v>1</v>
      </c>
      <c r="E42" s="25" t="n">
        <f aca="false">IF(OR(A42&lt;Resumen!$B$6,A42&gt;=Resumen!$B$7),0,MAX(0,AVERAGEIFS(B8:B90,D8:D90,1)-Resumen!$B$5*AVERAGEIFS(C8:C90,D8:D90,1)))</f>
        <v>0</v>
      </c>
      <c r="F42" s="10" t="n">
        <f aca="false">IF(B42="","",(B42-E42)/Resumen!$B$5)</f>
        <v>2.13169181890389</v>
      </c>
      <c r="G42" s="10" t="n">
        <f aca="false">IF(OR(F42="",C42=""),0,(F42-C42)*0.9)</f>
        <v>-0.0839773629864971</v>
      </c>
      <c r="H42" s="26" t="str">
        <f aca="false">IF(A42&lt;Resumen!$B$11,"",IF(H41="",0,H41)+G42/Resumen!$B$9)</f>
        <v/>
      </c>
      <c r="I42" s="26" t="str">
        <f aca="false">IF(H42="","",H42-AVERAGE(H8:H90))</f>
        <v/>
      </c>
      <c r="J42" s="27" t="str">
        <f aca="false">IF(I42="","",Resumen!$B$10-(MAX(I8:I90)-I42))</f>
        <v/>
      </c>
    </row>
    <row r="43" customFormat="false" ht="15" hidden="false" customHeight="false" outlineLevel="0" collapsed="false">
      <c r="A43" s="24" t="n">
        <v>46261.8229166667</v>
      </c>
      <c r="B43" s="10" t="n">
        <v>3.9584</v>
      </c>
      <c r="C43" s="10" t="n">
        <v>2.8794</v>
      </c>
      <c r="D43" s="10" t="n">
        <f aca="false">IF(OR(B43="",C43="",B43&lt;=0.05,C43&lt;=0.05),0,1)</f>
        <v>1</v>
      </c>
      <c r="E43" s="25" t="n">
        <f aca="false">IF(OR(A43&lt;Resumen!$B$6,A43&gt;=Resumen!$B$7),0,MAX(0,AVERAGEIFS(B8:B91,D8:D91,1)-Resumen!$B$5*AVERAGEIFS(C8:C91,D8:D91,1)))</f>
        <v>0</v>
      </c>
      <c r="F43" s="10" t="n">
        <f aca="false">IF(B43="","",(B43-E43)/Resumen!$B$5)</f>
        <v>3.14408260524226</v>
      </c>
      <c r="G43" s="10" t="n">
        <f aca="false">IF(OR(F43="",C43=""),0,(F43-C43)*0.9)</f>
        <v>0.23821434471803</v>
      </c>
      <c r="H43" s="26" t="str">
        <f aca="false">IF(A43&lt;Resumen!$B$11,"",IF(H42="",0,H42)+G43/Resumen!$B$9)</f>
        <v/>
      </c>
      <c r="I43" s="26" t="str">
        <f aca="false">IF(H43="","",H43-AVERAGE(H8:H91))</f>
        <v/>
      </c>
      <c r="J43" s="27" t="str">
        <f aca="false">IF(I43="","",Resumen!$B$10-(MAX(I8:I91)-I43))</f>
        <v/>
      </c>
    </row>
    <row r="44" customFormat="false" ht="15" hidden="false" customHeight="false" outlineLevel="0" collapsed="false">
      <c r="A44" s="24" t="n">
        <v>46261.8333333333</v>
      </c>
      <c r="B44" s="10" t="n">
        <v>3.2071</v>
      </c>
      <c r="C44" s="10" t="n">
        <v>2.5711</v>
      </c>
      <c r="D44" s="10" t="n">
        <f aca="false">IF(OR(B44="",C44="",B44&lt;=0.05,C44&lt;=0.05),0,1)</f>
        <v>1</v>
      </c>
      <c r="E44" s="25" t="n">
        <f aca="false">IF(OR(A44&lt;Resumen!$B$6,A44&gt;=Resumen!$B$7),0,MAX(0,AVERAGEIFS(B8:B92,D8:D92,1)-Resumen!$B$5*AVERAGEIFS(C8:C92,D8:D92,1)))</f>
        <v>0</v>
      </c>
      <c r="F44" s="10" t="n">
        <f aca="false">IF(B44="","",(B44-E44)/Resumen!$B$5)</f>
        <v>2.54733915806195</v>
      </c>
      <c r="G44" s="10" t="n">
        <f aca="false">IF(OR(F44="",C44=""),0,(F44-C44)*0.9)</f>
        <v>-0.0213847577442412</v>
      </c>
      <c r="H44" s="26" t="str">
        <f aca="false">IF(A44&lt;Resumen!$B$11,"",IF(H43="",0,H43)+G44/Resumen!$B$9)</f>
        <v/>
      </c>
      <c r="I44" s="26" t="str">
        <f aca="false">IF(H44="","",H44-AVERAGE(H8:H92))</f>
        <v/>
      </c>
      <c r="J44" s="27" t="str">
        <f aca="false">IF(I44="","",Resumen!$B$10-(MAX(I8:I92)-I44))</f>
        <v/>
      </c>
    </row>
    <row r="45" customFormat="false" ht="15" hidden="false" customHeight="false" outlineLevel="0" collapsed="false">
      <c r="A45" s="24" t="n">
        <v>46261.84375</v>
      </c>
      <c r="B45" s="10" t="n">
        <v>3.0428</v>
      </c>
      <c r="C45" s="10" t="n">
        <v>2.7995</v>
      </c>
      <c r="D45" s="10" t="n">
        <f aca="false">IF(OR(B45="",C45="",B45&lt;=0.05,C45&lt;=0.05),0,1)</f>
        <v>1</v>
      </c>
      <c r="E45" s="25" t="n">
        <f aca="false">IF(OR(A45&lt;Resumen!$B$6,A45&gt;=Resumen!$B$7),0,MAX(0,AVERAGEIFS(B8:B93,D8:D93,1)-Resumen!$B$5*AVERAGEIFS(C8:C93,D8:D93,1)))</f>
        <v>0</v>
      </c>
      <c r="F45" s="10" t="n">
        <f aca="false">IF(B45="","",(B45-E45)/Resumen!$B$5)</f>
        <v>2.41683876092137</v>
      </c>
      <c r="G45" s="10" t="n">
        <f aca="false">IF(OR(F45="",C45=""),0,(F45-C45)*0.9)</f>
        <v>-0.34439511517077</v>
      </c>
      <c r="H45" s="26" t="str">
        <f aca="false">IF(A45&lt;Resumen!$B$11,"",IF(H44="",0,H44)+G45/Resumen!$B$9)</f>
        <v/>
      </c>
      <c r="I45" s="26" t="str">
        <f aca="false">IF(H45="","",H45-AVERAGE(H8:H93))</f>
        <v/>
      </c>
      <c r="J45" s="27" t="str">
        <f aca="false">IF(I45="","",Resumen!$B$10-(MAX(I8:I93)-I45))</f>
        <v/>
      </c>
    </row>
    <row r="46" customFormat="false" ht="15" hidden="false" customHeight="false" outlineLevel="0" collapsed="false">
      <c r="A46" s="24" t="n">
        <v>46261.8541666667</v>
      </c>
      <c r="B46" s="10" t="n">
        <v>3.0286</v>
      </c>
      <c r="C46" s="10" t="n">
        <v>2.4684</v>
      </c>
      <c r="D46" s="10" t="n">
        <f aca="false">IF(OR(B46="",C46="",B46&lt;=0.05,C46&lt;=0.05),0,1)</f>
        <v>1</v>
      </c>
      <c r="E46" s="25" t="n">
        <f aca="false">IF(OR(A46&lt;Resumen!$B$6,A46&gt;=Resumen!$B$7),0,MAX(0,AVERAGEIFS(B8:B94,D8:D94,1)-Resumen!$B$5*AVERAGEIFS(C8:C94,D8:D94,1)))</f>
        <v>0</v>
      </c>
      <c r="F46" s="10" t="n">
        <f aca="false">IF(B46="","",(B46-E46)/Resumen!$B$5)</f>
        <v>2.40555996822875</v>
      </c>
      <c r="G46" s="10" t="n">
        <f aca="false">IF(OR(F46="",C46=""),0,(F46-C46)*0.9)</f>
        <v>-0.0565560285941223</v>
      </c>
      <c r="H46" s="26" t="str">
        <f aca="false">IF(A46&lt;Resumen!$B$11,"",IF(H45="",0,H45)+G46/Resumen!$B$9)</f>
        <v/>
      </c>
      <c r="I46" s="26" t="str">
        <f aca="false">IF(H46="","",H46-AVERAGE(H8:H94))</f>
        <v/>
      </c>
      <c r="J46" s="27" t="str">
        <f aca="false">IF(I46="","",Resumen!$B$10-(MAX(I8:I94)-I46))</f>
        <v/>
      </c>
    </row>
    <row r="47" customFormat="false" ht="15" hidden="false" customHeight="false" outlineLevel="0" collapsed="false">
      <c r="A47" s="24" t="n">
        <v>46261.8645833333</v>
      </c>
      <c r="B47" s="10" t="n">
        <v>2.6378</v>
      </c>
      <c r="C47" s="10" t="n">
        <v>2.4087</v>
      </c>
      <c r="D47" s="10" t="n">
        <f aca="false">IF(OR(B47="",C47="",B47&lt;=0.05,C47&lt;=0.05),0,1)</f>
        <v>1</v>
      </c>
      <c r="E47" s="25" t="n">
        <f aca="false">IF(OR(A47&lt;Resumen!$B$6,A47&gt;=Resumen!$B$7),0,MAX(0,AVERAGEIFS(B8:B95,D8:D95,1)-Resumen!$B$5*AVERAGEIFS(C8:C95,D8:D95,1)))</f>
        <v>0</v>
      </c>
      <c r="F47" s="10" t="n">
        <f aca="false">IF(B47="","",(B47-E47)/Resumen!$B$5)</f>
        <v>2.09515488482923</v>
      </c>
      <c r="G47" s="10" t="n">
        <f aca="false">IF(OR(F47="",C47=""),0,(F47-C47)*0.9)</f>
        <v>-0.282190603653693</v>
      </c>
      <c r="H47" s="26" t="str">
        <f aca="false">IF(A47&lt;Resumen!$B$11,"",IF(H46="",0,H46)+G47/Resumen!$B$9)</f>
        <v/>
      </c>
      <c r="I47" s="26" t="str">
        <f aca="false">IF(H47="","",H47-AVERAGE(H8:H95))</f>
        <v/>
      </c>
      <c r="J47" s="27" t="str">
        <f aca="false">IF(I47="","",Resumen!$B$10-(MAX(I8:I95)-I47))</f>
        <v/>
      </c>
    </row>
    <row r="48" customFormat="false" ht="15" hidden="false" customHeight="false" outlineLevel="0" collapsed="false">
      <c r="A48" s="24" t="n">
        <v>46261.875</v>
      </c>
      <c r="B48" s="10" t="n">
        <v>3.0395</v>
      </c>
      <c r="C48" s="10" t="n">
        <v>2.9371</v>
      </c>
      <c r="D48" s="10" t="n">
        <f aca="false">IF(OR(B48="",C48="",B48&lt;=0.05,C48&lt;=0.05),0,1)</f>
        <v>1</v>
      </c>
      <c r="E48" s="25" t="n">
        <f aca="false">IF(OR(A48&lt;Resumen!$B$6,A48&gt;=Resumen!$B$7),0,MAX(0,AVERAGEIFS(B8:B96,D8:D96,1)-Resumen!$B$5*AVERAGEIFS(C8:C96,D8:D96,1)))</f>
        <v>0</v>
      </c>
      <c r="F48" s="10" t="n">
        <f aca="false">IF(B48="","",(B48-E48)/Resumen!$B$5)</f>
        <v>2.4142176330421</v>
      </c>
      <c r="G48" s="10" t="n">
        <f aca="false">IF(OR(F48="",C48=""),0,(F48-C48)*0.9)</f>
        <v>-0.470594130262113</v>
      </c>
      <c r="H48" s="26" t="str">
        <f aca="false">IF(A48&lt;Resumen!$B$11,"",IF(H47="",0,H47)+G48/Resumen!$B$9)</f>
        <v/>
      </c>
      <c r="I48" s="26" t="str">
        <f aca="false">IF(H48="","",H48-AVERAGE(H8:H96))</f>
        <v/>
      </c>
      <c r="J48" s="27" t="str">
        <f aca="false">IF(I48="","",Resumen!$B$10-(MAX(I8:I96)-I48))</f>
        <v/>
      </c>
    </row>
    <row r="49" customFormat="false" ht="15" hidden="false" customHeight="false" outlineLevel="0" collapsed="false">
      <c r="A49" s="24" t="n">
        <v>46261.8854166667</v>
      </c>
      <c r="B49" s="10" t="n">
        <v>4.4747</v>
      </c>
      <c r="C49" s="10" t="n">
        <v>2.8738</v>
      </c>
      <c r="D49" s="10" t="n">
        <f aca="false">IF(OR(B49="",C49="",B49&lt;=0.05,C49&lt;=0.05),0,1)</f>
        <v>1</v>
      </c>
      <c r="E49" s="25" t="n">
        <f aca="false">IF(OR(A49&lt;Resumen!$B$6,A49&gt;=Resumen!$B$7),0,MAX(0,AVERAGEIFS(B8:B97,D8:D97,1)-Resumen!$B$5*AVERAGEIFS(C8:C97,D8:D97,1)))</f>
        <v>0</v>
      </c>
      <c r="F49" s="10" t="n">
        <f aca="false">IF(B49="","",(B49-E49)/Resumen!$B$5)</f>
        <v>3.55416997617157</v>
      </c>
      <c r="G49" s="10" t="n">
        <f aca="false">IF(OR(F49="",C49=""),0,(F49-C49)*0.9)</f>
        <v>0.612332978554409</v>
      </c>
      <c r="H49" s="26" t="str">
        <f aca="false">IF(A49&lt;Resumen!$B$11,"",IF(H48="",0,H48)+G49/Resumen!$B$9)</f>
        <v/>
      </c>
      <c r="I49" s="26" t="str">
        <f aca="false">IF(H49="","",H49-AVERAGE(H8:H97))</f>
        <v/>
      </c>
      <c r="J49" s="27" t="str">
        <f aca="false">IF(I49="","",Resumen!$B$10-(MAX(I8:I97)-I49))</f>
        <v/>
      </c>
    </row>
    <row r="50" customFormat="false" ht="15" hidden="false" customHeight="false" outlineLevel="0" collapsed="false">
      <c r="A50" s="24" t="n">
        <v>46261.8958333333</v>
      </c>
      <c r="B50" s="10" t="n">
        <v>2.8637</v>
      </c>
      <c r="C50" s="10" t="n">
        <v>3.1827</v>
      </c>
      <c r="D50" s="10" t="n">
        <f aca="false">IF(OR(B50="",C50="",B50&lt;=0.05,C50&lt;=0.05),0,1)</f>
        <v>1</v>
      </c>
      <c r="E50" s="25" t="n">
        <f aca="false">IF(OR(A50&lt;Resumen!$B$6,A50&gt;=Resumen!$B$7),0,MAX(0,AVERAGEIFS(B8:B98,D8:D98,1)-Resumen!$B$5*AVERAGEIFS(C8:C98,D8:D98,1)))</f>
        <v>0</v>
      </c>
      <c r="F50" s="10" t="n">
        <f aca="false">IF(B50="","",(B50-E50)/Resumen!$B$5)</f>
        <v>2.27458300238284</v>
      </c>
      <c r="G50" s="10" t="n">
        <f aca="false">IF(OR(F50="",C50=""),0,(F50-C50)*0.9)</f>
        <v>-0.817305297855441</v>
      </c>
      <c r="H50" s="26" t="str">
        <f aca="false">IF(A50&lt;Resumen!$B$11,"",IF(H49="",0,H49)+G50/Resumen!$B$9)</f>
        <v/>
      </c>
      <c r="I50" s="26" t="str">
        <f aca="false">IF(H50="","",H50-AVERAGE(H8:H98))</f>
        <v/>
      </c>
      <c r="J50" s="27" t="str">
        <f aca="false">IF(I50="","",Resumen!$B$10-(MAX(I8:I98)-I50))</f>
        <v/>
      </c>
    </row>
    <row r="51" customFormat="false" ht="15" hidden="false" customHeight="false" outlineLevel="0" collapsed="false">
      <c r="A51" s="24" t="n">
        <v>46261.90625</v>
      </c>
      <c r="B51" s="10" t="n">
        <v>2.8227</v>
      </c>
      <c r="C51" s="10" t="n">
        <v>2.7622</v>
      </c>
      <c r="D51" s="10" t="n">
        <f aca="false">IF(OR(B51="",C51="",B51&lt;=0.05,C51&lt;=0.05),0,1)</f>
        <v>1</v>
      </c>
      <c r="E51" s="25" t="n">
        <f aca="false">IF(OR(A51&lt;Resumen!$B$6,A51&gt;=Resumen!$B$7),0,MAX(0,AVERAGEIFS(B8:B99,D8:D99,1)-Resumen!$B$5*AVERAGEIFS(C8:C99,D8:D99,1)))</f>
        <v>0</v>
      </c>
      <c r="F51" s="10" t="n">
        <f aca="false">IF(B51="","",(B51-E51)/Resumen!$B$5)</f>
        <v>2.24201747418586</v>
      </c>
      <c r="G51" s="10" t="n">
        <f aca="false">IF(OR(F51="",C51=""),0,(F51-C51)*0.9)</f>
        <v>-0.468164273232724</v>
      </c>
      <c r="H51" s="26" t="str">
        <f aca="false">IF(A51&lt;Resumen!$B$11,"",IF(H50="",0,H50)+G51/Resumen!$B$9)</f>
        <v/>
      </c>
      <c r="I51" s="26" t="str">
        <f aca="false">IF(H51="","",H51-AVERAGE(H8:H99))</f>
        <v/>
      </c>
      <c r="J51" s="27" t="str">
        <f aca="false">IF(I51="","",Resumen!$B$10-(MAX(I8:I99)-I51))</f>
        <v/>
      </c>
    </row>
    <row r="52" customFormat="false" ht="15" hidden="false" customHeight="false" outlineLevel="0" collapsed="false">
      <c r="A52" s="24" t="n">
        <v>46261.9166666667</v>
      </c>
      <c r="B52" s="10" t="n">
        <v>2.7054</v>
      </c>
      <c r="C52" s="10" t="n">
        <v>2.6841</v>
      </c>
      <c r="D52" s="10" t="n">
        <f aca="false">IF(OR(B52="",C52="",B52&lt;=0.05,C52&lt;=0.05),0,1)</f>
        <v>1</v>
      </c>
      <c r="E52" s="25" t="n">
        <f aca="false">IF(OR(A52&lt;Resumen!$B$6,A52&gt;=Resumen!$B$7),0,MAX(0,AVERAGEIFS(B8:B100,D8:D100,1)-Resumen!$B$5*AVERAGEIFS(C8:C100,D8:D100,1)))</f>
        <v>0</v>
      </c>
      <c r="F52" s="10" t="n">
        <f aca="false">IF(B52="","",(B52-E52)/Resumen!$B$5)</f>
        <v>2.14884829229547</v>
      </c>
      <c r="G52" s="10" t="n">
        <f aca="false">IF(OR(F52="",C52=""),0,(F52-C52)*0.9)</f>
        <v>-0.481726536934074</v>
      </c>
      <c r="H52" s="26" t="str">
        <f aca="false">IF(A52&lt;Resumen!$B$11,"",IF(H51="",0,H51)+G52/Resumen!$B$9)</f>
        <v/>
      </c>
      <c r="I52" s="26" t="str">
        <f aca="false">IF(H52="","",H52-AVERAGE(H8:H100))</f>
        <v/>
      </c>
      <c r="J52" s="27" t="str">
        <f aca="false">IF(I52="","",Resumen!$B$10-(MAX(I8:I100)-I52))</f>
        <v/>
      </c>
    </row>
    <row r="53" customFormat="false" ht="15" hidden="false" customHeight="false" outlineLevel="0" collapsed="false">
      <c r="A53" s="24" t="n">
        <v>46261.9270833333</v>
      </c>
      <c r="B53" s="10" t="n">
        <v>3.0909</v>
      </c>
      <c r="C53" s="10" t="n">
        <v>1.978</v>
      </c>
      <c r="D53" s="10" t="n">
        <f aca="false">IF(OR(B53="",C53="",B53&lt;=0.05,C53&lt;=0.05),0,1)</f>
        <v>1</v>
      </c>
      <c r="E53" s="25" t="n">
        <f aca="false">IF(OR(A53&lt;Resumen!$B$6,A53&gt;=Resumen!$B$7),0,MAX(0,AVERAGEIFS(B8:B101,D8:D101,1)-Resumen!$B$5*AVERAGEIFS(C8:C101,D8:D101,1)))</f>
        <v>0</v>
      </c>
      <c r="F53" s="10" t="n">
        <f aca="false">IF(B53="","",(B53-E53)/Resumen!$B$5)</f>
        <v>2.45504368546465</v>
      </c>
      <c r="G53" s="10" t="n">
        <f aca="false">IF(OR(F53="",C53=""),0,(F53-C53)*0.9)</f>
        <v>0.429339316918189</v>
      </c>
      <c r="H53" s="26" t="str">
        <f aca="false">IF(A53&lt;Resumen!$B$11,"",IF(H52="",0,H52)+G53/Resumen!$B$9)</f>
        <v/>
      </c>
      <c r="I53" s="26" t="str">
        <f aca="false">IF(H53="","",H53-AVERAGE(H8:H101))</f>
        <v/>
      </c>
      <c r="J53" s="27" t="str">
        <f aca="false">IF(I53="","",Resumen!$B$10-(MAX(I8:I101)-I53))</f>
        <v/>
      </c>
    </row>
    <row r="54" customFormat="false" ht="15" hidden="false" customHeight="false" outlineLevel="0" collapsed="false">
      <c r="A54" s="24" t="n">
        <v>46261.9375</v>
      </c>
      <c r="B54" s="10" t="n">
        <v>2.2634</v>
      </c>
      <c r="C54" s="10" t="n">
        <v>1.9429</v>
      </c>
      <c r="D54" s="10" t="n">
        <f aca="false">IF(OR(B54="",C54="",B54&lt;=0.05,C54&lt;=0.05),0,1)</f>
        <v>1</v>
      </c>
      <c r="E54" s="25" t="n">
        <f aca="false">IF(OR(A54&lt;Resumen!$B$6,A54&gt;=Resumen!$B$7),0,MAX(0,AVERAGEIFS(B8:B102,D8:D102,1)-Resumen!$B$5*AVERAGEIFS(C8:C102,D8:D102,1)))</f>
        <v>0</v>
      </c>
      <c r="F54" s="10" t="n">
        <f aca="false">IF(B54="","",(B54-E54)/Resumen!$B$5)</f>
        <v>1.7977760127085</v>
      </c>
      <c r="G54" s="10" t="n">
        <f aca="false">IF(OR(F54="",C54=""),0,(F54-C54)*0.9)</f>
        <v>-0.130611588562351</v>
      </c>
      <c r="H54" s="26" t="str">
        <f aca="false">IF(A54&lt;Resumen!$B$11,"",IF(H53="",0,H53)+G54/Resumen!$B$9)</f>
        <v/>
      </c>
      <c r="I54" s="26" t="str">
        <f aca="false">IF(H54="","",H54-AVERAGE(H8:H102))</f>
        <v/>
      </c>
      <c r="J54" s="27" t="str">
        <f aca="false">IF(I54="","",Resumen!$B$10-(MAX(I8:I102)-I54))</f>
        <v/>
      </c>
    </row>
    <row r="55" customFormat="false" ht="15" hidden="false" customHeight="false" outlineLevel="0" collapsed="false">
      <c r="A55" s="24" t="n">
        <v>46261.9479166667</v>
      </c>
      <c r="B55" s="10" t="n">
        <v>2.4487</v>
      </c>
      <c r="C55" s="10" t="n">
        <v>1.8301</v>
      </c>
      <c r="D55" s="10" t="n">
        <f aca="false">IF(OR(B55="",C55="",B55&lt;=0.05,C55&lt;=0.05),0,1)</f>
        <v>1</v>
      </c>
      <c r="E55" s="25" t="n">
        <f aca="false">IF(OR(A55&lt;Resumen!$B$6,A55&gt;=Resumen!$B$7),0,MAX(0,AVERAGEIFS(B8:B103,D8:D103,1)-Resumen!$B$5*AVERAGEIFS(C8:C103,D8:D103,1)))</f>
        <v>0</v>
      </c>
      <c r="F55" s="10" t="n">
        <f aca="false">IF(B55="","",(B55-E55)/Resumen!$B$5)</f>
        <v>1.94495631453535</v>
      </c>
      <c r="G55" s="10" t="n">
        <f aca="false">IF(OR(F55="",C55=""),0,(F55-C55)*0.9)</f>
        <v>0.103370683081811</v>
      </c>
      <c r="H55" s="26" t="str">
        <f aca="false">IF(A55&lt;Resumen!$B$11,"",IF(H54="",0,H54)+G55/Resumen!$B$9)</f>
        <v/>
      </c>
      <c r="I55" s="26" t="str">
        <f aca="false">IF(H55="","",H55-AVERAGE(H8:H103))</f>
        <v/>
      </c>
      <c r="J55" s="27" t="str">
        <f aca="false">IF(I55="","",Resumen!$B$10-(MAX(I8:I103)-I55))</f>
        <v/>
      </c>
    </row>
    <row r="56" customFormat="false" ht="15" hidden="false" customHeight="false" outlineLevel="0" collapsed="false">
      <c r="A56" s="24" t="n">
        <v>46261.9583333333</v>
      </c>
      <c r="B56" s="10" t="n">
        <v>1.9189</v>
      </c>
      <c r="C56" s="10" t="n">
        <v>1.812</v>
      </c>
      <c r="D56" s="10" t="n">
        <f aca="false">IF(OR(B56="",C56="",B56&lt;=0.05,C56&lt;=0.05),0,1)</f>
        <v>1</v>
      </c>
      <c r="E56" s="25" t="n">
        <f aca="false">IF(OR(A56&lt;Resumen!$B$6,A56&gt;=Resumen!$B$7),0,MAX(0,AVERAGEIFS(B8:B104,D8:D104,1)-Resumen!$B$5*AVERAGEIFS(C8:C104,D8:D104,1)))</f>
        <v>0</v>
      </c>
      <c r="F56" s="10" t="n">
        <f aca="false">IF(B56="","",(B56-E56)/Resumen!$B$5)</f>
        <v>1.5241461477363</v>
      </c>
      <c r="G56" s="10" t="n">
        <f aca="false">IF(OR(F56="",C56=""),0,(F56-C56)*0.9)</f>
        <v>-0.259068467037331</v>
      </c>
      <c r="H56" s="26" t="str">
        <f aca="false">IF(A56&lt;Resumen!$B$11,"",IF(H55="",0,H55)+G56/Resumen!$B$9)</f>
        <v/>
      </c>
      <c r="I56" s="26" t="str">
        <f aca="false">IF(H56="","",H56-AVERAGE(H8:H104))</f>
        <v/>
      </c>
      <c r="J56" s="27" t="str">
        <f aca="false">IF(I56="","",Resumen!$B$10-(MAX(I8:I104)-I56))</f>
        <v/>
      </c>
    </row>
    <row r="57" customFormat="false" ht="15" hidden="false" customHeight="false" outlineLevel="0" collapsed="false">
      <c r="A57" s="24" t="n">
        <v>46261.96875</v>
      </c>
      <c r="B57" s="10" t="n">
        <v>1.8881</v>
      </c>
      <c r="C57" s="10" t="n">
        <v>1.9046</v>
      </c>
      <c r="D57" s="10" t="n">
        <f aca="false">IF(OR(B57="",C57="",B57&lt;=0.05,C57&lt;=0.05),0,1)</f>
        <v>1</v>
      </c>
      <c r="E57" s="25" t="n">
        <f aca="false">IF(OR(A57&lt;Resumen!$B$6,A57&gt;=Resumen!$B$7),0,MAX(0,AVERAGEIFS(B9:B105,D9:D105,1)-Resumen!$B$5*AVERAGEIFS(C9:C105,D9:D105,1)))</f>
        <v>0</v>
      </c>
      <c r="F57" s="10" t="n">
        <f aca="false">IF(B57="","",(B57-E57)/Resumen!$B$5)</f>
        <v>1.49968228752979</v>
      </c>
      <c r="G57" s="10" t="n">
        <f aca="false">IF(OR(F57="",C57=""),0,(F57-C57)*0.9)</f>
        <v>-0.364425941223193</v>
      </c>
      <c r="H57" s="26" t="str">
        <f aca="false">IF(A57&lt;Resumen!$B$11,"",IF(H56="",0,H56)+G57/Resumen!$B$9)</f>
        <v/>
      </c>
      <c r="I57" s="26" t="str">
        <f aca="false">IF(H57="","",H57-AVERAGE(H9:H105))</f>
        <v/>
      </c>
      <c r="J57" s="27" t="str">
        <f aca="false">IF(I57="","",Resumen!$B$10-(MAX(I9:I105)-I57))</f>
        <v/>
      </c>
    </row>
    <row r="58" customFormat="false" ht="15" hidden="false" customHeight="false" outlineLevel="0" collapsed="false">
      <c r="A58" s="24" t="n">
        <v>46261.9791666667</v>
      </c>
      <c r="B58" s="10" t="n">
        <v>1.52</v>
      </c>
      <c r="C58" s="10" t="n">
        <v>1.562</v>
      </c>
      <c r="D58" s="10" t="n">
        <f aca="false">IF(OR(B58="",C58="",B58&lt;=0.05,C58&lt;=0.05),0,1)</f>
        <v>1</v>
      </c>
      <c r="E58" s="25" t="n">
        <f aca="false">IF(OR(A58&lt;Resumen!$B$6,A58&gt;=Resumen!$B$7),0,MAX(0,AVERAGEIFS(B10:B106,D10:D106,1)-Resumen!$B$5*AVERAGEIFS(C10:C106,D10:D106,1)))</f>
        <v>0</v>
      </c>
      <c r="F58" s="10" t="n">
        <f aca="false">IF(B58="","",(B58-E58)/Resumen!$B$5)</f>
        <v>1.20730738681493</v>
      </c>
      <c r="G58" s="10" t="n">
        <f aca="false">IF(OR(F58="",C58=""),0,(F58-C58)*0.9)</f>
        <v>-0.319223351866561</v>
      </c>
      <c r="H58" s="26" t="str">
        <f aca="false">IF(A58&lt;Resumen!$B$11,"",IF(H57="",0,H57)+G58/Resumen!$B$9)</f>
        <v/>
      </c>
      <c r="I58" s="26" t="str">
        <f aca="false">IF(H58="","",H58-AVERAGE(H10:H106))</f>
        <v/>
      </c>
      <c r="J58" s="27" t="str">
        <f aca="false">IF(I58="","",Resumen!$B$10-(MAX(I10:I106)-I58))</f>
        <v/>
      </c>
    </row>
    <row r="59" customFormat="false" ht="15" hidden="false" customHeight="false" outlineLevel="0" collapsed="false">
      <c r="A59" s="24" t="n">
        <v>46261.9895833333</v>
      </c>
      <c r="B59" s="10" t="n">
        <v>1.6538</v>
      </c>
      <c r="C59" s="10" t="n">
        <v>1.4899</v>
      </c>
      <c r="D59" s="10" t="n">
        <f aca="false">IF(OR(B59="",C59="",B59&lt;=0.05,C59&lt;=0.05),0,1)</f>
        <v>1</v>
      </c>
      <c r="E59" s="25" t="n">
        <f aca="false">IF(OR(A59&lt;Resumen!$B$6,A59&gt;=Resumen!$B$7),0,MAX(0,AVERAGEIFS(B11:B107,D11:D107,1)-Resumen!$B$5*AVERAGEIFS(C11:C107,D11:D107,1)))</f>
        <v>0</v>
      </c>
      <c r="F59" s="10" t="n">
        <f aca="false">IF(B59="","",(B59-E59)/Resumen!$B$5)</f>
        <v>1.31358220810167</v>
      </c>
      <c r="G59" s="10" t="n">
        <f aca="false">IF(OR(F59="",C59=""),0,(F59-C59)*0.9)</f>
        <v>-0.158686012708499</v>
      </c>
      <c r="H59" s="26" t="str">
        <f aca="false">IF(A59&lt;Resumen!$B$11,"",IF(H58="",0,H58)+G59/Resumen!$B$9)</f>
        <v/>
      </c>
      <c r="I59" s="26" t="str">
        <f aca="false">IF(H59="","",H59-AVERAGE(H11:H107))</f>
        <v/>
      </c>
      <c r="J59" s="27" t="str">
        <f aca="false">IF(I59="","",Resumen!$B$10-(MAX(I11:I107)-I59))</f>
        <v/>
      </c>
    </row>
    <row r="60" customFormat="false" ht="15" hidden="false" customHeight="false" outlineLevel="0" collapsed="false">
      <c r="A60" s="24" t="n">
        <v>46262</v>
      </c>
      <c r="B60" s="10" t="n">
        <v>1.6087</v>
      </c>
      <c r="C60" s="10" t="n">
        <v>1.3783</v>
      </c>
      <c r="D60" s="10" t="n">
        <f aca="false">IF(OR(B60="",C60="",B60&lt;=0.05,C60&lt;=0.05),0,1)</f>
        <v>1</v>
      </c>
      <c r="E60" s="25" t="n">
        <f aca="false">IF(OR(A60&lt;Resumen!$B$6,A60&gt;=Resumen!$B$7),0,MAX(0,AVERAGEIFS(B12:B108,D12:D108,1)-Resumen!$B$5*AVERAGEIFS(C12:C108,D12:D108,1)))</f>
        <v>0</v>
      </c>
      <c r="F60" s="10" t="n">
        <f aca="false">IF(B60="","",(B60-E60)/Resumen!$B$5)</f>
        <v>1.27776012708499</v>
      </c>
      <c r="G60" s="10" t="n">
        <f aca="false">IF(OR(F60="",C60=""),0,(F60-C60)*0.9)</f>
        <v>-0.0904858856235108</v>
      </c>
      <c r="H60" s="26" t="str">
        <f aca="false">IF(A60&lt;Resumen!$B$11,"",IF(H59="",0,H59)+G60/Resumen!$B$9)</f>
        <v/>
      </c>
      <c r="I60" s="26" t="str">
        <f aca="false">IF(H60="","",H60-AVERAGE(H12:H108))</f>
        <v/>
      </c>
      <c r="J60" s="27" t="str">
        <f aca="false">IF(I60="","",Resumen!$B$10-(MAX(I12:I108)-I60))</f>
        <v/>
      </c>
    </row>
    <row r="61" customFormat="false" ht="15" hidden="false" customHeight="false" outlineLevel="0" collapsed="false">
      <c r="A61" s="24" t="n">
        <v>46262.0104166667</v>
      </c>
      <c r="B61" s="10" t="n">
        <v>1.4327</v>
      </c>
      <c r="C61" s="10" t="n">
        <v>1.3083</v>
      </c>
      <c r="D61" s="10" t="n">
        <f aca="false">IF(OR(B61="",C61="",B61&lt;=0.05,C61&lt;=0.05),0,1)</f>
        <v>1</v>
      </c>
      <c r="E61" s="25" t="n">
        <f aca="false">IF(OR(A61&lt;Resumen!$B$6,A61&gt;=Resumen!$B$7),0,MAX(0,AVERAGEIFS(B13:B109,D13:D109,1)-Resumen!$B$5*AVERAGEIFS(C13:C109,D13:D109,1)))</f>
        <v>0</v>
      </c>
      <c r="F61" s="10" t="n">
        <f aca="false">IF(B61="","",(B61-E61)/Resumen!$B$5)</f>
        <v>1.13796664019063</v>
      </c>
      <c r="G61" s="10" t="n">
        <f aca="false">IF(OR(F61="",C61=""),0,(F61-C61)*0.9)</f>
        <v>-0.153300023828435</v>
      </c>
      <c r="H61" s="26" t="str">
        <f aca="false">IF(A61&lt;Resumen!$B$11,"",IF(H60="",0,H60)+G61/Resumen!$B$9)</f>
        <v/>
      </c>
      <c r="I61" s="26" t="str">
        <f aca="false">IF(H61="","",H61-AVERAGE(H13:H109))</f>
        <v/>
      </c>
      <c r="J61" s="27" t="str">
        <f aca="false">IF(I61="","",Resumen!$B$10-(MAX(I13:I109)-I61))</f>
        <v/>
      </c>
    </row>
    <row r="62" customFormat="false" ht="15" hidden="false" customHeight="false" outlineLevel="0" collapsed="false">
      <c r="A62" s="24" t="n">
        <v>46262.0208333333</v>
      </c>
      <c r="B62" s="10" t="n">
        <v>1.9126</v>
      </c>
      <c r="C62" s="10" t="n">
        <v>1.4636</v>
      </c>
      <c r="D62" s="10" t="n">
        <f aca="false">IF(OR(B62="",C62="",B62&lt;=0.05,C62&lt;=0.05),0,1)</f>
        <v>1</v>
      </c>
      <c r="E62" s="25" t="n">
        <f aca="false">IF(OR(A62&lt;Resumen!$B$6,A62&gt;=Resumen!$B$7),0,MAX(0,AVERAGEIFS(B14:B110,D14:D110,1)-Resumen!$B$5*AVERAGEIFS(C14:C110,D14:D110,1)))</f>
        <v>0</v>
      </c>
      <c r="F62" s="10" t="n">
        <f aca="false">IF(B62="","",(B62-E62)/Resumen!$B$5)</f>
        <v>1.51914217633042</v>
      </c>
      <c r="G62" s="10" t="n">
        <f aca="false">IF(OR(F62="",C62=""),0,(F62-C62)*0.9)</f>
        <v>0.049987958697379</v>
      </c>
      <c r="H62" s="26" t="str">
        <f aca="false">IF(A62&lt;Resumen!$B$11,"",IF(H61="",0,H61)+G62/Resumen!$B$9)</f>
        <v/>
      </c>
      <c r="I62" s="26" t="str">
        <f aca="false">IF(H62="","",H62-AVERAGE(H14:H110))</f>
        <v/>
      </c>
      <c r="J62" s="27" t="str">
        <f aca="false">IF(I62="","",Resumen!$B$10-(MAX(I14:I110)-I62))</f>
        <v/>
      </c>
    </row>
    <row r="63" customFormat="false" ht="15" hidden="false" customHeight="false" outlineLevel="0" collapsed="false">
      <c r="A63" s="24" t="n">
        <v>46262.03125</v>
      </c>
      <c r="B63" s="10" t="n">
        <v>1.6228</v>
      </c>
      <c r="C63" s="10" t="n">
        <v>1.3493</v>
      </c>
      <c r="D63" s="10" t="n">
        <f aca="false">IF(OR(B63="",C63="",B63&lt;=0.05,C63&lt;=0.05),0,1)</f>
        <v>1</v>
      </c>
      <c r="E63" s="25" t="n">
        <f aca="false">IF(OR(A63&lt;Resumen!$B$6,A63&gt;=Resumen!$B$7),0,MAX(0,AVERAGEIFS(B15:B111,D15:D111,1)-Resumen!$B$5*AVERAGEIFS(C15:C111,D15:D111,1)))</f>
        <v>0</v>
      </c>
      <c r="F63" s="10" t="n">
        <f aca="false">IF(B63="","",(B63-E63)/Resumen!$B$5)</f>
        <v>1.28895949166005</v>
      </c>
      <c r="G63" s="10" t="n">
        <f aca="false">IF(OR(F63="",C63=""),0,(F63-C63)*0.9)</f>
        <v>-0.054306457505957</v>
      </c>
      <c r="H63" s="26" t="str">
        <f aca="false">IF(A63&lt;Resumen!$B$11,"",IF(H62="",0,H62)+G63/Resumen!$B$9)</f>
        <v/>
      </c>
      <c r="I63" s="26" t="str">
        <f aca="false">IF(H63="","",H63-AVERAGE(H15:H111))</f>
        <v/>
      </c>
      <c r="J63" s="27" t="str">
        <f aca="false">IF(I63="","",Resumen!$B$10-(MAX(I15:I111)-I63))</f>
        <v/>
      </c>
    </row>
    <row r="64" customFormat="false" ht="15" hidden="false" customHeight="false" outlineLevel="0" collapsed="false">
      <c r="A64" s="24" t="n">
        <v>46262.0416666667</v>
      </c>
      <c r="B64" s="10" t="n">
        <v>1.7847</v>
      </c>
      <c r="C64" s="10" t="n">
        <v>1.3679</v>
      </c>
      <c r="D64" s="10" t="n">
        <f aca="false">IF(OR(B64="",C64="",B64&lt;=0.05,C64&lt;=0.05),0,1)</f>
        <v>1</v>
      </c>
      <c r="E64" s="25" t="n">
        <f aca="false">IF(OR(A64&lt;Resumen!$B$6,A64&gt;=Resumen!$B$7),0,MAX(0,AVERAGEIFS(B16:B112,D16:D112,1)-Resumen!$B$5*AVERAGEIFS(C16:C112,D16:D112,1)))</f>
        <v>0</v>
      </c>
      <c r="F64" s="10" t="n">
        <f aca="false">IF(B64="","",(B64-E64)/Resumen!$B$5)</f>
        <v>1.41755361397935</v>
      </c>
      <c r="G64" s="10" t="n">
        <f aca="false">IF(OR(F64="",C64=""),0,(F64-C64)*0.9)</f>
        <v>0.044688252581414</v>
      </c>
      <c r="H64" s="26" t="str">
        <f aca="false">IF(A64&lt;Resumen!$B$11,"",IF(H63="",0,H63)+G64/Resumen!$B$9)</f>
        <v/>
      </c>
      <c r="I64" s="26" t="str">
        <f aca="false">IF(H64="","",H64-AVERAGE(H16:H112))</f>
        <v/>
      </c>
      <c r="J64" s="27" t="str">
        <f aca="false">IF(I64="","",Resumen!$B$10-(MAX(I16:I112)-I64))</f>
        <v/>
      </c>
    </row>
    <row r="65" customFormat="false" ht="15" hidden="false" customHeight="false" outlineLevel="0" collapsed="false">
      <c r="A65" s="24" t="n">
        <v>46262.0520833333</v>
      </c>
      <c r="B65" s="10" t="n">
        <v>1.7387</v>
      </c>
      <c r="C65" s="10" t="n">
        <v>1.42</v>
      </c>
      <c r="D65" s="10" t="n">
        <f aca="false">IF(OR(B65="",C65="",B65&lt;=0.05,C65&lt;=0.05),0,1)</f>
        <v>1</v>
      </c>
      <c r="E65" s="25" t="n">
        <f aca="false">IF(OR(A65&lt;Resumen!$B$6,A65&gt;=Resumen!$B$7),0,MAX(0,AVERAGEIFS(B17:B113,D17:D113,1)-Resumen!$B$5*AVERAGEIFS(C17:C113,D17:D113,1)))</f>
        <v>0</v>
      </c>
      <c r="F65" s="10" t="n">
        <f aca="false">IF(B65="","",(B65-E65)/Resumen!$B$5)</f>
        <v>1.38101667990469</v>
      </c>
      <c r="G65" s="10" t="n">
        <f aca="false">IF(OR(F65="",C65=""),0,(F65-C65)*0.9)</f>
        <v>-0.0350849880857822</v>
      </c>
      <c r="H65" s="26" t="str">
        <f aca="false">IF(A65&lt;Resumen!$B$11,"",IF(H64="",0,H64)+G65/Resumen!$B$9)</f>
        <v/>
      </c>
      <c r="I65" s="26" t="str">
        <f aca="false">IF(H65="","",H65-AVERAGE(H17:H113))</f>
        <v/>
      </c>
      <c r="J65" s="27" t="str">
        <f aca="false">IF(I65="","",Resumen!$B$10-(MAX(I17:I113)-I65))</f>
        <v/>
      </c>
    </row>
    <row r="66" customFormat="false" ht="15" hidden="false" customHeight="false" outlineLevel="0" collapsed="false">
      <c r="A66" s="24" t="n">
        <v>46262.0625</v>
      </c>
      <c r="B66" s="10" t="n">
        <v>1.6253</v>
      </c>
      <c r="C66" s="10" t="n">
        <v>1.2806</v>
      </c>
      <c r="D66" s="10" t="n">
        <f aca="false">IF(OR(B66="",C66="",B66&lt;=0.05,C66&lt;=0.05),0,1)</f>
        <v>1</v>
      </c>
      <c r="E66" s="25" t="n">
        <f aca="false">IF(OR(A66&lt;Resumen!$B$6,A66&gt;=Resumen!$B$7),0,MAX(0,AVERAGEIFS(B18:B114,D18:D114,1)-Resumen!$B$5*AVERAGEIFS(C18:C114,D18:D114,1)))</f>
        <v>0</v>
      </c>
      <c r="F66" s="10" t="n">
        <f aca="false">IF(B66="","",(B66-E66)/Resumen!$B$5)</f>
        <v>1.29094519459889</v>
      </c>
      <c r="G66" s="10" t="n">
        <f aca="false">IF(OR(F66="",C66=""),0,(F66-C66)*0.9)</f>
        <v>0.00931067513899935</v>
      </c>
      <c r="H66" s="26" t="str">
        <f aca="false">IF(A66&lt;Resumen!$B$11,"",IF(H65="",0,H65)+G66/Resumen!$B$9)</f>
        <v/>
      </c>
      <c r="I66" s="26" t="str">
        <f aca="false">IF(H66="","",H66-AVERAGE(H18:H114))</f>
        <v/>
      </c>
      <c r="J66" s="27" t="str">
        <f aca="false">IF(I66="","",Resumen!$B$10-(MAX(I18:I114)-I66))</f>
        <v/>
      </c>
    </row>
    <row r="67" customFormat="false" ht="15" hidden="false" customHeight="false" outlineLevel="0" collapsed="false">
      <c r="A67" s="24" t="n">
        <v>46262.0729166667</v>
      </c>
      <c r="B67" s="10" t="n">
        <v>1.6508</v>
      </c>
      <c r="C67" s="10" t="n">
        <v>1.3627</v>
      </c>
      <c r="D67" s="10" t="n">
        <f aca="false">IF(OR(B67="",C67="",B67&lt;=0.05,C67&lt;=0.05),0,1)</f>
        <v>1</v>
      </c>
      <c r="E67" s="25" t="n">
        <f aca="false">IF(OR(A67&lt;Resumen!$B$6,A67&gt;=Resumen!$B$7),0,MAX(0,AVERAGEIFS(B19:B115,D19:D115,1)-Resumen!$B$5*AVERAGEIFS(C19:C115,D19:D115,1)))</f>
        <v>0</v>
      </c>
      <c r="F67" s="10" t="n">
        <f aca="false">IF(B67="","",(B67-E67)/Resumen!$B$5)</f>
        <v>1.31119936457506</v>
      </c>
      <c r="G67" s="10" t="n">
        <f aca="false">IF(OR(F67="",C67=""),0,(F67-C67)*0.9)</f>
        <v>-0.0463505718824463</v>
      </c>
      <c r="H67" s="26" t="str">
        <f aca="false">IF(A67&lt;Resumen!$B$11,"",IF(H66="",0,H66)+G67/Resumen!$B$9)</f>
        <v/>
      </c>
      <c r="I67" s="26" t="str">
        <f aca="false">IF(H67="","",H67-AVERAGE(H19:H115))</f>
        <v/>
      </c>
      <c r="J67" s="27" t="str">
        <f aca="false">IF(I67="","",Resumen!$B$10-(MAX(I19:I115)-I67))</f>
        <v/>
      </c>
    </row>
    <row r="68" customFormat="false" ht="15" hidden="false" customHeight="false" outlineLevel="0" collapsed="false">
      <c r="A68" s="24" t="n">
        <v>46262.0833333333</v>
      </c>
      <c r="B68" s="10" t="n">
        <v>1.6666</v>
      </c>
      <c r="C68" s="10" t="n">
        <v>1.3275</v>
      </c>
      <c r="D68" s="10" t="n">
        <f aca="false">IF(OR(B68="",C68="",B68&lt;=0.05,C68&lt;=0.05),0,1)</f>
        <v>1</v>
      </c>
      <c r="E68" s="25" t="n">
        <f aca="false">IF(OR(A68&lt;Resumen!$B$6,A68&gt;=Resumen!$B$7),0,MAX(0,AVERAGEIFS(B20:B116,D20:D116,1)-Resumen!$B$5*AVERAGEIFS(C20:C116,D20:D116,1)))</f>
        <v>0</v>
      </c>
      <c r="F68" s="10" t="n">
        <f aca="false">IF(B68="","",(B68-E68)/Resumen!$B$5)</f>
        <v>1.32374900714853</v>
      </c>
      <c r="G68" s="10" t="n">
        <f aca="false">IF(OR(F68="",C68=""),0,(F68-C68)*0.9)</f>
        <v>-0.00337589356632226</v>
      </c>
      <c r="H68" s="26" t="str">
        <f aca="false">IF(A68&lt;Resumen!$B$11,"",IF(H67="",0,H67)+G68/Resumen!$B$9)</f>
        <v/>
      </c>
      <c r="I68" s="26" t="str">
        <f aca="false">IF(H68="","",H68-AVERAGE(H20:H116))</f>
        <v/>
      </c>
      <c r="J68" s="27" t="str">
        <f aca="false">IF(I68="","",Resumen!$B$10-(MAX(I20:I116)-I68))</f>
        <v/>
      </c>
    </row>
    <row r="69" customFormat="false" ht="15" hidden="false" customHeight="false" outlineLevel="0" collapsed="false">
      <c r="A69" s="24" t="n">
        <v>46262.09375</v>
      </c>
      <c r="B69" s="10" t="n">
        <v>1.6409</v>
      </c>
      <c r="C69" s="10" t="n">
        <v>1.2819</v>
      </c>
      <c r="D69" s="10" t="n">
        <f aca="false">IF(OR(B69="",C69="",B69&lt;=0.05,C69&lt;=0.05),0,1)</f>
        <v>1</v>
      </c>
      <c r="E69" s="25" t="n">
        <f aca="false">IF(OR(A69&lt;Resumen!$B$6,A69&gt;=Resumen!$B$7),0,MAX(0,AVERAGEIFS(B21:B117,D21:D117,1)-Resumen!$B$5*AVERAGEIFS(C21:C117,D21:D117,1)))</f>
        <v>0</v>
      </c>
      <c r="F69" s="10" t="n">
        <f aca="false">IF(B69="","",(B69-E69)/Resumen!$B$5)</f>
        <v>1.30333598093725</v>
      </c>
      <c r="G69" s="10" t="n">
        <f aca="false">IF(OR(F69="",C69=""),0,(F69-C69)*0.9)</f>
        <v>0.0192923828435268</v>
      </c>
      <c r="H69" s="26" t="str">
        <f aca="false">IF(A69&lt;Resumen!$B$11,"",IF(H68="",0,H68)+G69/Resumen!$B$9)</f>
        <v/>
      </c>
      <c r="I69" s="26" t="str">
        <f aca="false">IF(H69="","",H69-AVERAGE(H21:H117))</f>
        <v/>
      </c>
      <c r="J69" s="27" t="str">
        <f aca="false">IF(I69="","",Resumen!$B$10-(MAX(I21:I117)-I69))</f>
        <v/>
      </c>
    </row>
    <row r="70" customFormat="false" ht="15" hidden="false" customHeight="false" outlineLevel="0" collapsed="false">
      <c r="A70" s="24" t="n">
        <v>46262.1041666667</v>
      </c>
      <c r="B70" s="10" t="n">
        <v>1.6433</v>
      </c>
      <c r="C70" s="10" t="n">
        <v>1.2847</v>
      </c>
      <c r="D70" s="10" t="n">
        <f aca="false">IF(OR(B70="",C70="",B70&lt;=0.05,C70&lt;=0.05),0,1)</f>
        <v>1</v>
      </c>
      <c r="E70" s="25" t="n">
        <f aca="false">IF(OR(A70&lt;Resumen!$B$6,A70&gt;=Resumen!$B$7),0,MAX(0,AVERAGEIFS(B22:B118,D22:D118,1)-Resumen!$B$5*AVERAGEIFS(C22:C118,D22:D118,1)))</f>
        <v>0</v>
      </c>
      <c r="F70" s="10" t="n">
        <f aca="false">IF(B70="","",(B70-E70)/Resumen!$B$5)</f>
        <v>1.30524225575854</v>
      </c>
      <c r="G70" s="10" t="n">
        <f aca="false">IF(OR(F70="",C70=""),0,(F70-C70)*0.9)</f>
        <v>0.0184880301826848</v>
      </c>
      <c r="H70" s="26" t="str">
        <f aca="false">IF(A70&lt;Resumen!$B$11,"",IF(H69="",0,H69)+G70/Resumen!$B$9)</f>
        <v/>
      </c>
      <c r="I70" s="26" t="str">
        <f aca="false">IF(H70="","",H70-AVERAGE(H22:H118))</f>
        <v/>
      </c>
      <c r="J70" s="27" t="str">
        <f aca="false">IF(I70="","",Resumen!$B$10-(MAX(I22:I118)-I70))</f>
        <v/>
      </c>
    </row>
    <row r="71" customFormat="false" ht="15" hidden="false" customHeight="false" outlineLevel="0" collapsed="false">
      <c r="A71" s="24" t="n">
        <v>46262.1145833333</v>
      </c>
      <c r="B71" s="10" t="n">
        <v>1.834</v>
      </c>
      <c r="C71" s="10" t="n">
        <v>1.4923</v>
      </c>
      <c r="D71" s="10" t="n">
        <f aca="false">IF(OR(B71="",C71="",B71&lt;=0.05,C71&lt;=0.05),0,1)</f>
        <v>1</v>
      </c>
      <c r="E71" s="25" t="n">
        <f aca="false">IF(OR(A71&lt;Resumen!$B$6,A71&gt;=Resumen!$B$7),0,MAX(0,AVERAGEIFS(B23:B119,D23:D119,1)-Resumen!$B$5*AVERAGEIFS(C23:C119,D23:D119,1)))</f>
        <v>0</v>
      </c>
      <c r="F71" s="10" t="n">
        <f aca="false">IF(B71="","",(B71-E71)/Resumen!$B$5)</f>
        <v>1.45671167593328</v>
      </c>
      <c r="G71" s="10" t="n">
        <f aca="false">IF(OR(F71="",C71=""),0,(F71-C71)*0.9)</f>
        <v>-0.0320294916600475</v>
      </c>
      <c r="H71" s="26" t="str">
        <f aca="false">IF(A71&lt;Resumen!$B$11,"",IF(H70="",0,H70)+G71/Resumen!$B$9)</f>
        <v/>
      </c>
      <c r="I71" s="26" t="str">
        <f aca="false">IF(H71="","",H71-AVERAGE(H23:H119))</f>
        <v/>
      </c>
      <c r="J71" s="27" t="str">
        <f aca="false">IF(I71="","",Resumen!$B$10-(MAX(I23:I119)-I71))</f>
        <v/>
      </c>
    </row>
    <row r="72" customFormat="false" ht="15" hidden="false" customHeight="false" outlineLevel="0" collapsed="false">
      <c r="A72" s="24" t="n">
        <v>46262.125</v>
      </c>
      <c r="B72" s="10" t="n">
        <v>1.6339</v>
      </c>
      <c r="C72" s="10" t="n">
        <v>1.2654</v>
      </c>
      <c r="D72" s="10" t="n">
        <f aca="false">IF(OR(B72="",C72="",B72&lt;=0.05,C72&lt;=0.05),0,1)</f>
        <v>1</v>
      </c>
      <c r="E72" s="25" t="n">
        <f aca="false">IF(OR(A72&lt;Resumen!$B$6,A72&gt;=Resumen!$B$7),0,MAX(0,AVERAGEIFS(B24:B120,D24:D120,1)-Resumen!$B$5*AVERAGEIFS(C24:C120,D24:D120,1)))</f>
        <v>0</v>
      </c>
      <c r="F72" s="10" t="n">
        <f aca="false">IF(B72="","",(B72-E72)/Resumen!$B$5)</f>
        <v>1.2977760127085</v>
      </c>
      <c r="G72" s="10" t="n">
        <f aca="false">IF(OR(F72="",C72=""),0,(F72-C72)*0.9)</f>
        <v>0.0291384114376488</v>
      </c>
      <c r="H72" s="26" t="str">
        <f aca="false">IF(A72&lt;Resumen!$B$11,"",IF(H71="",0,H71)+G72/Resumen!$B$9)</f>
        <v/>
      </c>
      <c r="I72" s="26" t="str">
        <f aca="false">IF(H72="","",H72-AVERAGE(H24:H120))</f>
        <v/>
      </c>
      <c r="J72" s="27" t="str">
        <f aca="false">IF(I72="","",Resumen!$B$10-(MAX(I24:I120)-I72))</f>
        <v/>
      </c>
    </row>
    <row r="73" customFormat="false" ht="15" hidden="false" customHeight="false" outlineLevel="0" collapsed="false">
      <c r="A73" s="24" t="n">
        <v>46262.1354166667</v>
      </c>
      <c r="B73" s="10" t="n">
        <v>1.5959</v>
      </c>
      <c r="C73" s="10" t="n">
        <v>1.291</v>
      </c>
      <c r="D73" s="10" t="n">
        <f aca="false">IF(OR(B73="",C73="",B73&lt;=0.05,C73&lt;=0.05),0,1)</f>
        <v>1</v>
      </c>
      <c r="E73" s="25" t="n">
        <f aca="false">IF(OR(A73&lt;Resumen!$B$6,A73&gt;=Resumen!$B$7),0,MAX(0,AVERAGEIFS(B25:B121,D25:D121,1)-Resumen!$B$5*AVERAGEIFS(C25:C121,D25:D121,1)))</f>
        <v>0</v>
      </c>
      <c r="F73" s="10" t="n">
        <f aca="false">IF(B73="","",(B73-E73)/Resumen!$B$5)</f>
        <v>1.26759332803813</v>
      </c>
      <c r="G73" s="10" t="n">
        <f aca="false">IF(OR(F73="",C73=""),0,(F73-C73)*0.9)</f>
        <v>-0.0210660047656868</v>
      </c>
      <c r="H73" s="26" t="str">
        <f aca="false">IF(A73&lt;Resumen!$B$11,"",IF(H72="",0,H72)+G73/Resumen!$B$9)</f>
        <v/>
      </c>
      <c r="I73" s="26" t="str">
        <f aca="false">IF(H73="","",H73-AVERAGE(H25:H121))</f>
        <v/>
      </c>
      <c r="J73" s="27" t="str">
        <f aca="false">IF(I73="","",Resumen!$B$10-(MAX(I25:I121)-I73))</f>
        <v/>
      </c>
    </row>
    <row r="74" customFormat="false" ht="15" hidden="false" customHeight="false" outlineLevel="0" collapsed="false">
      <c r="A74" s="24" t="n">
        <v>46262.1458333333</v>
      </c>
      <c r="B74" s="10" t="n">
        <v>1.6178</v>
      </c>
      <c r="C74" s="10" t="n">
        <v>1.305</v>
      </c>
      <c r="D74" s="10" t="n">
        <f aca="false">IF(OR(B74="",C74="",B74&lt;=0.05,C74&lt;=0.05),0,1)</f>
        <v>1</v>
      </c>
      <c r="E74" s="25" t="n">
        <f aca="false">IF(OR(A74&lt;Resumen!$B$6,A74&gt;=Resumen!$B$7),0,MAX(0,AVERAGEIFS(B26:B122,D26:D122,1)-Resumen!$B$5*AVERAGEIFS(C26:C122,D26:D122,1)))</f>
        <v>0</v>
      </c>
      <c r="F74" s="10" t="n">
        <f aca="false">IF(B74="","",(B74-E74)/Resumen!$B$5)</f>
        <v>1.28498808578237</v>
      </c>
      <c r="G74" s="10" t="n">
        <f aca="false">IF(OR(F74="",C74=""),0,(F74-C74)*0.9)</f>
        <v>-0.0180107227958696</v>
      </c>
      <c r="H74" s="26" t="str">
        <f aca="false">IF(A74&lt;Resumen!$B$11,"",IF(H73="",0,H73)+G74/Resumen!$B$9)</f>
        <v/>
      </c>
      <c r="I74" s="26" t="str">
        <f aca="false">IF(H74="","",H74-AVERAGE(H26:H122))</f>
        <v/>
      </c>
      <c r="J74" s="27" t="str">
        <f aca="false">IF(I74="","",Resumen!$B$10-(MAX(I26:I122)-I74))</f>
        <v/>
      </c>
    </row>
    <row r="75" customFormat="false" ht="15" hidden="false" customHeight="false" outlineLevel="0" collapsed="false">
      <c r="A75" s="24" t="n">
        <v>46262.15625</v>
      </c>
      <c r="B75" s="10" t="n">
        <v>1.771</v>
      </c>
      <c r="C75" s="10" t="n">
        <v>1.355</v>
      </c>
      <c r="D75" s="10" t="n">
        <f aca="false">IF(OR(B75="",C75="",B75&lt;=0.05,C75&lt;=0.05),0,1)</f>
        <v>1</v>
      </c>
      <c r="E75" s="25" t="n">
        <f aca="false">IF(OR(A75&lt;Resumen!$B$6,A75&gt;=Resumen!$B$7),0,MAX(0,AVERAGEIFS(B27:B123,D27:D123,1)-Resumen!$B$5*AVERAGEIFS(C27:C123,D27:D123,1)))</f>
        <v>0</v>
      </c>
      <c r="F75" s="10" t="n">
        <f aca="false">IF(B75="","",(B75-E75)/Resumen!$B$5)</f>
        <v>1.4066719618745</v>
      </c>
      <c r="G75" s="10" t="n">
        <f aca="false">IF(OR(F75="",C75=""),0,(F75-C75)*0.9)</f>
        <v>0.0465047656870533</v>
      </c>
      <c r="H75" s="26" t="str">
        <f aca="false">IF(A75&lt;Resumen!$B$11,"",IF(H74="",0,H74)+G75/Resumen!$B$9)</f>
        <v/>
      </c>
      <c r="I75" s="26" t="str">
        <f aca="false">IF(H75="","",H75-AVERAGE(H27:H123))</f>
        <v/>
      </c>
      <c r="J75" s="27" t="str">
        <f aca="false">IF(I75="","",Resumen!$B$10-(MAX(I27:I123)-I75))</f>
        <v/>
      </c>
    </row>
    <row r="76" customFormat="false" ht="15" hidden="false" customHeight="false" outlineLevel="0" collapsed="false">
      <c r="A76" s="24" t="n">
        <v>46262.1666666667</v>
      </c>
      <c r="B76" s="10" t="n">
        <v>1.652</v>
      </c>
      <c r="C76" s="10" t="n">
        <v>1.3901</v>
      </c>
      <c r="D76" s="10" t="n">
        <f aca="false">IF(OR(B76="",C76="",B76&lt;=0.05,C76&lt;=0.05),0,1)</f>
        <v>1</v>
      </c>
      <c r="E76" s="25" t="n">
        <f aca="false">IF(OR(A76&lt;Resumen!$B$6,A76&gt;=Resumen!$B$7),0,MAX(0,AVERAGEIFS(B28:B124,D28:D124,1)-Resumen!$B$5*AVERAGEIFS(C28:C124,D28:D124,1)))</f>
        <v>0</v>
      </c>
      <c r="F76" s="10" t="n">
        <f aca="false">IF(B76="","",(B76-E76)/Resumen!$B$5)</f>
        <v>1.3121525019857</v>
      </c>
      <c r="G76" s="10" t="n">
        <f aca="false">IF(OR(F76="",C76=""),0,(F76-C76)*0.9)</f>
        <v>-0.0701527482128672</v>
      </c>
      <c r="H76" s="26" t="str">
        <f aca="false">IF(A76&lt;Resumen!$B$11,"",IF(H75="",0,H75)+G76/Resumen!$B$9)</f>
        <v/>
      </c>
      <c r="I76" s="26" t="str">
        <f aca="false">IF(H76="","",H76-AVERAGE(H28:H124))</f>
        <v/>
      </c>
      <c r="J76" s="27" t="str">
        <f aca="false">IF(I76="","",Resumen!$B$10-(MAX(I28:I124)-I76))</f>
        <v/>
      </c>
    </row>
    <row r="77" customFormat="false" ht="15" hidden="false" customHeight="false" outlineLevel="0" collapsed="false">
      <c r="A77" s="24" t="n">
        <v>46262.1770833333</v>
      </c>
      <c r="B77" s="10" t="n">
        <v>1.8479</v>
      </c>
      <c r="C77" s="10" t="n">
        <v>1.3977</v>
      </c>
      <c r="D77" s="10" t="n">
        <f aca="false">IF(OR(B77="",C77="",B77&lt;=0.05,C77&lt;=0.05),0,1)</f>
        <v>1</v>
      </c>
      <c r="E77" s="25" t="n">
        <f aca="false">IF(OR(A77&lt;Resumen!$B$6,A77&gt;=Resumen!$B$7),0,MAX(0,AVERAGEIFS(B29:B125,D29:D125,1)-Resumen!$B$5*AVERAGEIFS(C29:C125,D29:D125,1)))</f>
        <v>0</v>
      </c>
      <c r="F77" s="10" t="n">
        <f aca="false">IF(B77="","",(B77-E77)/Resumen!$B$5)</f>
        <v>1.46775218427323</v>
      </c>
      <c r="G77" s="10" t="n">
        <f aca="false">IF(OR(F77="",C77=""),0,(F77-C77)*0.9)</f>
        <v>0.0630469658459096</v>
      </c>
      <c r="H77" s="26" t="str">
        <f aca="false">IF(A77&lt;Resumen!$B$11,"",IF(H76="",0,H76)+G77/Resumen!$B$9)</f>
        <v/>
      </c>
      <c r="I77" s="26" t="str">
        <f aca="false">IF(H77="","",H77-AVERAGE(H29:H125))</f>
        <v/>
      </c>
      <c r="J77" s="27" t="str">
        <f aca="false">IF(I77="","",Resumen!$B$10-(MAX(I29:I125)-I77))</f>
        <v/>
      </c>
    </row>
    <row r="78" customFormat="false" ht="15" hidden="false" customHeight="false" outlineLevel="0" collapsed="false">
      <c r="A78" s="24" t="n">
        <v>46262.1875</v>
      </c>
      <c r="B78" s="10" t="n">
        <v>2.2216</v>
      </c>
      <c r="C78" s="10" t="n">
        <v>1.9711</v>
      </c>
      <c r="D78" s="10" t="n">
        <f aca="false">IF(OR(B78="",C78="",B78&lt;=0.05,C78&lt;=0.05),0,1)</f>
        <v>1</v>
      </c>
      <c r="E78" s="25" t="n">
        <f aca="false">IF(OR(A78&lt;Resumen!$B$6,A78&gt;=Resumen!$B$7),0,MAX(0,AVERAGEIFS(B30:B126,D30:D126,1)-Resumen!$B$5*AVERAGEIFS(C30:C126,D30:D126,1)))</f>
        <v>0</v>
      </c>
      <c r="F78" s="10" t="n">
        <f aca="false">IF(B78="","",(B78-E78)/Resumen!$B$5)</f>
        <v>1.76457505957109</v>
      </c>
      <c r="G78" s="10" t="n">
        <f aca="false">IF(OR(F78="",C78=""),0,(F78-C78)*0.9)</f>
        <v>-0.185872446386021</v>
      </c>
      <c r="H78" s="26" t="str">
        <f aca="false">IF(A78&lt;Resumen!$B$11,"",IF(H77="",0,H77)+G78/Resumen!$B$9)</f>
        <v/>
      </c>
      <c r="I78" s="26" t="str">
        <f aca="false">IF(H78="","",H78-AVERAGE(H30:H126))</f>
        <v/>
      </c>
      <c r="J78" s="27" t="str">
        <f aca="false">IF(I78="","",Resumen!$B$10-(MAX(I30:I126)-I78))</f>
        <v/>
      </c>
    </row>
    <row r="79" customFormat="false" ht="15" hidden="false" customHeight="false" outlineLevel="0" collapsed="false">
      <c r="A79" s="24" t="n">
        <v>46262.1979166667</v>
      </c>
      <c r="B79" s="10" t="n">
        <v>2.0551</v>
      </c>
      <c r="C79" s="10" t="n">
        <v>1.5867</v>
      </c>
      <c r="D79" s="10" t="n">
        <f aca="false">IF(OR(B79="",C79="",B79&lt;=0.05,C79&lt;=0.05),0,1)</f>
        <v>1</v>
      </c>
      <c r="E79" s="25" t="n">
        <f aca="false">IF(OR(A79&lt;Resumen!$B$6,A79&gt;=Resumen!$B$7),0,MAX(0,AVERAGEIFS(B31:B127,D31:D127,1)-Resumen!$B$5*AVERAGEIFS(C31:C127,D31:D127,1)))</f>
        <v>0</v>
      </c>
      <c r="F79" s="10" t="n">
        <f aca="false">IF(B79="","",(B79-E79)/Resumen!$B$5)</f>
        <v>1.63232724384432</v>
      </c>
      <c r="G79" s="10" t="n">
        <f aca="false">IF(OR(F79="",C79=""),0,(F79-C79)*0.9)</f>
        <v>0.0410645194598889</v>
      </c>
      <c r="H79" s="26" t="str">
        <f aca="false">IF(A79&lt;Resumen!$B$11,"",IF(H78="",0,H78)+G79/Resumen!$B$9)</f>
        <v/>
      </c>
      <c r="I79" s="26" t="str">
        <f aca="false">IF(H79="","",H79-AVERAGE(H31:H127))</f>
        <v/>
      </c>
      <c r="J79" s="27" t="str">
        <f aca="false">IF(I79="","",Resumen!$B$10-(MAX(I31:I127)-I79))</f>
        <v/>
      </c>
    </row>
    <row r="80" customFormat="false" ht="15" hidden="false" customHeight="false" outlineLevel="0" collapsed="false">
      <c r="A80" s="24" t="n">
        <v>46262.2083333333</v>
      </c>
      <c r="B80" s="10" t="n">
        <v>3.0973</v>
      </c>
      <c r="C80" s="10" t="n">
        <v>2.2728</v>
      </c>
      <c r="D80" s="10" t="n">
        <f aca="false">IF(OR(B80="",C80="",B80&lt;=0.05,C80&lt;=0.05),0,1)</f>
        <v>1</v>
      </c>
      <c r="E80" s="25" t="n">
        <f aca="false">IF(OR(A80&lt;Resumen!$B$6,A80&gt;=Resumen!$B$7),0,MAX(0,AVERAGEIFS(B32:B128,D32:D128,1)-Resumen!$B$5*AVERAGEIFS(C32:C128,D32:D128,1)))</f>
        <v>0</v>
      </c>
      <c r="F80" s="10" t="n">
        <f aca="false">IF(B80="","",(B80-E80)/Resumen!$B$5)</f>
        <v>2.46012708498809</v>
      </c>
      <c r="G80" s="10" t="n">
        <f aca="false">IF(OR(F80="",C80=""),0,(F80-C80)*0.9)</f>
        <v>0.168594376489278</v>
      </c>
      <c r="H80" s="26" t="str">
        <f aca="false">IF(A80&lt;Resumen!$B$11,"",IF(H79="",0,H79)+G80/Resumen!$B$9)</f>
        <v/>
      </c>
      <c r="I80" s="26" t="str">
        <f aca="false">IF(H80="","",H80-AVERAGE(H32:H128))</f>
        <v/>
      </c>
      <c r="J80" s="27" t="str">
        <f aca="false">IF(I80="","",Resumen!$B$10-(MAX(I32:I128)-I80))</f>
        <v/>
      </c>
    </row>
    <row r="81" customFormat="false" ht="15" hidden="false" customHeight="false" outlineLevel="0" collapsed="false">
      <c r="A81" s="24" t="n">
        <v>46262.21875</v>
      </c>
      <c r="B81" s="10" t="n">
        <v>3.1459</v>
      </c>
      <c r="C81" s="10" t="n">
        <v>2.3856</v>
      </c>
      <c r="D81" s="10" t="n">
        <f aca="false">IF(OR(B81="",C81="",B81&lt;=0.05,C81&lt;=0.05),0,1)</f>
        <v>1</v>
      </c>
      <c r="E81" s="25" t="n">
        <f aca="false">IF(OR(A81&lt;Resumen!$B$6,A81&gt;=Resumen!$B$7),0,MAX(0,AVERAGEIFS(B33:B129,D33:D129,1)-Resumen!$B$5*AVERAGEIFS(C33:C129,D33:D129,1)))</f>
        <v>0</v>
      </c>
      <c r="F81" s="10" t="n">
        <f aca="false">IF(B81="","",(B81-E81)/Resumen!$B$5)</f>
        <v>2.49872915011914</v>
      </c>
      <c r="G81" s="10" t="n">
        <f aca="false">IF(OR(F81="",C81=""),0,(F81-C81)*0.9)</f>
        <v>0.101816235107228</v>
      </c>
      <c r="H81" s="26" t="str">
        <f aca="false">IF(A81&lt;Resumen!$B$11,"",IF(H80="",0,H80)+G81/Resumen!$B$9)</f>
        <v/>
      </c>
      <c r="I81" s="26" t="str">
        <f aca="false">IF(H81="","",H81-AVERAGE(H33:H129))</f>
        <v/>
      </c>
      <c r="J81" s="27" t="str">
        <f aca="false">IF(I81="","",Resumen!$B$10-(MAX(I33:I129)-I81))</f>
        <v/>
      </c>
    </row>
    <row r="82" customFormat="false" ht="15" hidden="false" customHeight="false" outlineLevel="0" collapsed="false">
      <c r="A82" s="24" t="n">
        <v>46262.2291666667</v>
      </c>
      <c r="B82" s="10" t="n">
        <v>2.8124</v>
      </c>
      <c r="C82" s="10" t="n">
        <v>2.686</v>
      </c>
      <c r="D82" s="10" t="n">
        <f aca="false">IF(OR(B82="",C82="",B82&lt;=0.05,C82&lt;=0.05),0,1)</f>
        <v>1</v>
      </c>
      <c r="E82" s="25" t="n">
        <f aca="false">IF(OR(A82&lt;Resumen!$B$6,A82&gt;=Resumen!$B$7),0,MAX(0,AVERAGEIFS(B34:B130,D34:D130,1)-Resumen!$B$5*AVERAGEIFS(C34:C130,D34:D130,1)))</f>
        <v>0</v>
      </c>
      <c r="F82" s="10" t="n">
        <f aca="false">IF(B82="","",(B82-E82)/Resumen!$B$5)</f>
        <v>2.23383637807784</v>
      </c>
      <c r="G82" s="10" t="n">
        <f aca="false">IF(OR(F82="",C82=""),0,(F82-C82)*0.9)</f>
        <v>-0.406947259729945</v>
      </c>
      <c r="H82" s="26" t="str">
        <f aca="false">IF(A82&lt;Resumen!$B$11,"",IF(H81="",0,H81)+G82/Resumen!$B$9)</f>
        <v/>
      </c>
      <c r="I82" s="26" t="str">
        <f aca="false">IF(H82="","",H82-AVERAGE(H34:H130))</f>
        <v/>
      </c>
      <c r="J82" s="27" t="str">
        <f aca="false">IF(I82="","",Resumen!$B$10-(MAX(I34:I130)-I82))</f>
        <v/>
      </c>
    </row>
    <row r="83" customFormat="false" ht="15" hidden="false" customHeight="false" outlineLevel="0" collapsed="false">
      <c r="A83" s="24" t="n">
        <v>46262.2395833333</v>
      </c>
      <c r="B83" s="10" t="n">
        <v>4.1457</v>
      </c>
      <c r="C83" s="10" t="n">
        <v>3.4338</v>
      </c>
      <c r="D83" s="10" t="n">
        <f aca="false">IF(OR(B83="",C83="",B83&lt;=0.05,C83&lt;=0.05),0,1)</f>
        <v>1</v>
      </c>
      <c r="E83" s="25" t="n">
        <f aca="false">IF(OR(A83&lt;Resumen!$B$6,A83&gt;=Resumen!$B$7),0,MAX(0,AVERAGEIFS(B35:B131,D35:D131,1)-Resumen!$B$5*AVERAGEIFS(C35:C131,D35:D131,1)))</f>
        <v>0</v>
      </c>
      <c r="F83" s="10" t="n">
        <f aca="false">IF(B83="","",(B83-E83)/Resumen!$B$5)</f>
        <v>3.29285146942018</v>
      </c>
      <c r="G83" s="10" t="n">
        <f aca="false">IF(OR(F83="",C83=""),0,(F83-C83)*0.9)</f>
        <v>-0.126853677521843</v>
      </c>
      <c r="H83" s="26" t="str">
        <f aca="false">IF(A83&lt;Resumen!$B$11,"",IF(H82="",0,H82)+G83/Resumen!$B$9)</f>
        <v/>
      </c>
      <c r="I83" s="26" t="str">
        <f aca="false">IF(H83="","",H83-AVERAGE(H35:H131))</f>
        <v/>
      </c>
      <c r="J83" s="27" t="str">
        <f aca="false">IF(I83="","",Resumen!$B$10-(MAX(I35:I131)-I83))</f>
        <v/>
      </c>
    </row>
    <row r="84" customFormat="false" ht="15" hidden="false" customHeight="false" outlineLevel="0" collapsed="false">
      <c r="A84" s="24" t="n">
        <v>46262.25</v>
      </c>
      <c r="B84" s="10" t="n">
        <v>3.2617</v>
      </c>
      <c r="C84" s="10" t="n">
        <v>3.0056</v>
      </c>
      <c r="D84" s="10" t="n">
        <f aca="false">IF(OR(B84="",C84="",B84&lt;=0.05,C84&lt;=0.05),0,1)</f>
        <v>1</v>
      </c>
      <c r="E84" s="25" t="n">
        <f aca="false">IF(OR(A84&lt;Resumen!$B$6,A84&gt;=Resumen!$B$7),0,MAX(0,AVERAGEIFS(B36:B132,D36:D132,1)-Resumen!$B$5*AVERAGEIFS(C36:C132,D36:D132,1)))</f>
        <v>0</v>
      </c>
      <c r="F84" s="10" t="n">
        <f aca="false">IF(B84="","",(B84-E84)/Resumen!$B$5)</f>
        <v>2.59070691024623</v>
      </c>
      <c r="G84" s="10" t="n">
        <f aca="false">IF(OR(F84="",C84=""),0,(F84-C84)*0.9)</f>
        <v>-0.373403780778395</v>
      </c>
      <c r="H84" s="26" t="str">
        <f aca="false">IF(A84&lt;Resumen!$B$11,"",IF(H83="",0,H83)+G84/Resumen!$B$9)</f>
        <v/>
      </c>
      <c r="I84" s="26" t="str">
        <f aca="false">IF(H84="","",H84-AVERAGE(H36:H132))</f>
        <v/>
      </c>
      <c r="J84" s="27" t="str">
        <f aca="false">IF(I84="","",Resumen!$B$10-(MAX(I36:I132)-I84))</f>
        <v/>
      </c>
    </row>
    <row r="85" customFormat="false" ht="15" hidden="false" customHeight="false" outlineLevel="0" collapsed="false">
      <c r="A85" s="24" t="n">
        <v>46262.2604166667</v>
      </c>
      <c r="B85" s="10" t="n">
        <v>4.1069</v>
      </c>
      <c r="C85" s="10" t="n">
        <v>3.0571</v>
      </c>
      <c r="D85" s="10" t="n">
        <f aca="false">IF(OR(B85="",C85="",B85&lt;=0.05,C85&lt;=0.05),0,1)</f>
        <v>1</v>
      </c>
      <c r="E85" s="25" t="n">
        <f aca="false">IF(OR(A85&lt;Resumen!$B$6,A85&gt;=Resumen!$B$7),0,MAX(0,AVERAGEIFS(B37:B133,D37:D133,1)-Resumen!$B$5*AVERAGEIFS(C37:C133,D37:D133,1)))</f>
        <v>0</v>
      </c>
      <c r="F85" s="10" t="n">
        <f aca="false">IF(B85="","",(B85-E85)/Resumen!$B$5)</f>
        <v>3.26203335980937</v>
      </c>
      <c r="G85" s="10" t="n">
        <f aca="false">IF(OR(F85="",C85=""),0,(F85-C85)*0.9)</f>
        <v>0.184440023828436</v>
      </c>
      <c r="H85" s="26" t="str">
        <f aca="false">IF(A85&lt;Resumen!$B$11,"",IF(H84="",0,H84)+G85/Resumen!$B$9)</f>
        <v/>
      </c>
      <c r="I85" s="26" t="str">
        <f aca="false">IF(H85="","",H85-AVERAGE(H37:H133))</f>
        <v/>
      </c>
      <c r="J85" s="27" t="str">
        <f aca="false">IF(I85="","",Resumen!$B$10-(MAX(I37:I133)-I85))</f>
        <v/>
      </c>
    </row>
    <row r="86" customFormat="false" ht="15" hidden="false" customHeight="false" outlineLevel="0" collapsed="false">
      <c r="A86" s="24" t="n">
        <v>46262.2708333333</v>
      </c>
      <c r="B86" s="10" t="n">
        <v>4.6559</v>
      </c>
      <c r="C86" s="10" t="n">
        <v>3.9223</v>
      </c>
      <c r="D86" s="10" t="n">
        <f aca="false">IF(OR(B86="",C86="",B86&lt;=0.05,C86&lt;=0.05),0,1)</f>
        <v>1</v>
      </c>
      <c r="E86" s="25" t="n">
        <f aca="false">IF(OR(A86&lt;Resumen!$B$6,A86&gt;=Resumen!$B$7),0,MAX(0,AVERAGEIFS(B38:B134,D38:D134,1)-Resumen!$B$5*AVERAGEIFS(C38:C134,D38:D134,1)))</f>
        <v>0</v>
      </c>
      <c r="F86" s="10" t="n">
        <f aca="false">IF(B86="","",(B86-E86)/Resumen!$B$5)</f>
        <v>3.69809372517871</v>
      </c>
      <c r="G86" s="10" t="n">
        <f aca="false">IF(OR(F86="",C86=""),0,(F86-C86)*0.9)</f>
        <v>-0.201785647339158</v>
      </c>
      <c r="H86" s="26" t="str">
        <f aca="false">IF(A86&lt;Resumen!$B$11,"",IF(H85="",0,H85)+G86/Resumen!$B$9)</f>
        <v/>
      </c>
      <c r="I86" s="26" t="str">
        <f aca="false">IF(H86="","",H86-AVERAGE(H38:H134))</f>
        <v/>
      </c>
      <c r="J86" s="27" t="str">
        <f aca="false">IF(I86="","",Resumen!$B$10-(MAX(I38:I134)-I86))</f>
        <v/>
      </c>
    </row>
    <row r="87" customFormat="false" ht="15" hidden="false" customHeight="false" outlineLevel="0" collapsed="false">
      <c r="A87" s="24" t="n">
        <v>46262.28125</v>
      </c>
      <c r="B87" s="10" t="n">
        <v>3.9314</v>
      </c>
      <c r="C87" s="10" t="n">
        <v>3.0309</v>
      </c>
      <c r="D87" s="10" t="n">
        <f aca="false">IF(OR(B87="",C87="",B87&lt;=0.05,C87&lt;=0.05),0,1)</f>
        <v>1</v>
      </c>
      <c r="E87" s="25" t="n">
        <f aca="false">IF(OR(A87&lt;Resumen!$B$6,A87&gt;=Resumen!$B$7),0,MAX(0,AVERAGEIFS(B39:B135,D39:D135,1)-Resumen!$B$5*AVERAGEIFS(C39:C135,D39:D135,1)))</f>
        <v>0</v>
      </c>
      <c r="F87" s="10" t="n">
        <f aca="false">IF(B87="","",(B87-E87)/Resumen!$B$5)</f>
        <v>3.12263701350278</v>
      </c>
      <c r="G87" s="10" t="n">
        <f aca="false">IF(OR(F87="",C87=""),0,(F87-C87)*0.9)</f>
        <v>0.0825633121525024</v>
      </c>
      <c r="H87" s="26" t="str">
        <f aca="false">IF(A87&lt;Resumen!$B$11,"",IF(H86="",0,H86)+G87/Resumen!$B$9)</f>
        <v/>
      </c>
      <c r="I87" s="26" t="str">
        <f aca="false">IF(H87="","",H87-AVERAGE(H39:H135))</f>
        <v/>
      </c>
      <c r="J87" s="27" t="str">
        <f aca="false">IF(I87="","",Resumen!$B$10-(MAX(I39:I135)-I87))</f>
        <v/>
      </c>
    </row>
    <row r="88" customFormat="false" ht="15" hidden="false" customHeight="false" outlineLevel="0" collapsed="false">
      <c r="A88" s="24" t="n">
        <v>46262.2916666667</v>
      </c>
      <c r="B88" s="10" t="n">
        <v>3.4824</v>
      </c>
      <c r="C88" s="10" t="n">
        <v>3.2801</v>
      </c>
      <c r="D88" s="10" t="n">
        <f aca="false">IF(OR(B88="",C88="",B88&lt;=0.05,C88&lt;=0.05),0,1)</f>
        <v>1</v>
      </c>
      <c r="E88" s="25" t="n">
        <f aca="false">IF(OR(A88&lt;Resumen!$B$6,A88&gt;=Resumen!$B$7),0,MAX(0,AVERAGEIFS(B40:B136,D40:D136,1)-Resumen!$B$5*AVERAGEIFS(C40:C136,D40:D136,1)))</f>
        <v>0</v>
      </c>
      <c r="F88" s="10" t="n">
        <f aca="false">IF(B88="","",(B88-E88)/Resumen!$B$5)</f>
        <v>2.76600476568705</v>
      </c>
      <c r="G88" s="10" t="n">
        <f aca="false">IF(OR(F88="",C88=""),0,(F88-C88)*0.9)</f>
        <v>-0.462685710881652</v>
      </c>
      <c r="H88" s="26" t="str">
        <f aca="false">IF(A88&lt;Resumen!$B$11,"",IF(H87="",0,H87)+G88/Resumen!$B$9)</f>
        <v/>
      </c>
      <c r="I88" s="26" t="str">
        <f aca="false">IF(H88="","",H88-AVERAGE(H40:H136))</f>
        <v/>
      </c>
      <c r="J88" s="27" t="str">
        <f aca="false">IF(I88="","",Resumen!$B$10-(MAX(I40:I136)-I88))</f>
        <v/>
      </c>
    </row>
    <row r="89" customFormat="false" ht="15" hidden="false" customHeight="false" outlineLevel="0" collapsed="false">
      <c r="A89" s="24" t="n">
        <v>46262.3020833333</v>
      </c>
      <c r="B89" s="10" t="n">
        <v>4.3048</v>
      </c>
      <c r="C89" s="10" t="n">
        <v>3.6128</v>
      </c>
      <c r="D89" s="10" t="n">
        <f aca="false">IF(OR(B89="",C89="",B89&lt;=0.05,C89&lt;=0.05),0,1)</f>
        <v>1</v>
      </c>
      <c r="E89" s="25" t="n">
        <f aca="false">IF(OR(A89&lt;Resumen!$B$6,A89&gt;=Resumen!$B$7),0,MAX(0,AVERAGEIFS(B41:B137,D41:D137,1)-Resumen!$B$5*AVERAGEIFS(C41:C137,D41:D137,1)))</f>
        <v>0</v>
      </c>
      <c r="F89" s="10" t="n">
        <f aca="false">IF(B89="","",(B89-E89)/Resumen!$B$5)</f>
        <v>3.41922160444798</v>
      </c>
      <c r="G89" s="10" t="n">
        <f aca="false">IF(OR(F89="",C89=""),0,(F89-C89)*0.9)</f>
        <v>-0.174220555996822</v>
      </c>
      <c r="H89" s="26" t="str">
        <f aca="false">IF(A89&lt;Resumen!$B$11,"",IF(H88="",0,H88)+G89/Resumen!$B$9)</f>
        <v/>
      </c>
      <c r="I89" s="26" t="str">
        <f aca="false">IF(H89="","",H89-AVERAGE(H41:H137))</f>
        <v/>
      </c>
      <c r="J89" s="27" t="str">
        <f aca="false">IF(I89="","",Resumen!$B$10-(MAX(I41:I137)-I89))</f>
        <v/>
      </c>
    </row>
    <row r="90" customFormat="false" ht="15" hidden="false" customHeight="false" outlineLevel="0" collapsed="false">
      <c r="A90" s="24" t="n">
        <v>46262.3125</v>
      </c>
      <c r="B90" s="10" t="n">
        <v>3.7884</v>
      </c>
      <c r="C90" s="10" t="n">
        <v>3.2657</v>
      </c>
      <c r="D90" s="10" t="n">
        <f aca="false">IF(OR(B90="",C90="",B90&lt;=0.05,C90&lt;=0.05),0,1)</f>
        <v>1</v>
      </c>
      <c r="E90" s="25" t="n">
        <f aca="false">IF(OR(A90&lt;Resumen!$B$6,A90&gt;=Resumen!$B$7),0,MAX(0,AVERAGEIFS(B42:B138,D42:D138,1)-Resumen!$B$5*AVERAGEIFS(C42:C138,D42:D138,1)))</f>
        <v>0</v>
      </c>
      <c r="F90" s="10" t="n">
        <f aca="false">IF(B90="","",(B90-E90)/Resumen!$B$5)</f>
        <v>3.00905480540111</v>
      </c>
      <c r="G90" s="10" t="n">
        <f aca="false">IF(OR(F90="",C90=""),0,(F90-C90)*0.9)</f>
        <v>-0.230980675138999</v>
      </c>
      <c r="H90" s="26" t="str">
        <f aca="false">IF(A90&lt;Resumen!$B$11,"",IF(H89="",0,H89)+G90/Resumen!$B$9)</f>
        <v/>
      </c>
      <c r="I90" s="26" t="str">
        <f aca="false">IF(H90="","",H90-AVERAGE(H42:H138))</f>
        <v/>
      </c>
      <c r="J90" s="27" t="str">
        <f aca="false">IF(I90="","",Resumen!$B$10-(MAX(I42:I138)-I90))</f>
        <v/>
      </c>
    </row>
    <row r="91" customFormat="false" ht="15" hidden="false" customHeight="false" outlineLevel="0" collapsed="false">
      <c r="A91" s="24" t="n">
        <v>46262.3229166667</v>
      </c>
      <c r="B91" s="10" t="n">
        <v>3.5724</v>
      </c>
      <c r="C91" s="10" t="n">
        <v>2.3896</v>
      </c>
      <c r="D91" s="10" t="n">
        <f aca="false">IF(OR(B91="",C91="",B91&lt;=0.05,C91&lt;=0.05),0,1)</f>
        <v>1</v>
      </c>
      <c r="E91" s="25" t="n">
        <f aca="false">IF(OR(A91&lt;Resumen!$B$6,A91&gt;=Resumen!$B$7),0,MAX(0,AVERAGEIFS(B43:B139,D43:D139,1)-Resumen!$B$5*AVERAGEIFS(C43:C139,D43:D139,1)))</f>
        <v>0</v>
      </c>
      <c r="F91" s="10" t="n">
        <f aca="false">IF(B91="","",(B91-E91)/Resumen!$B$5)</f>
        <v>2.83749007148531</v>
      </c>
      <c r="G91" s="10" t="n">
        <f aca="false">IF(OR(F91="",C91=""),0,(F91-C91)*0.9)</f>
        <v>0.403101064336775</v>
      </c>
      <c r="H91" s="26" t="str">
        <f aca="false">IF(A91&lt;Resumen!$B$11,"",IF(H90="",0,H90)+G91/Resumen!$B$9)</f>
        <v/>
      </c>
      <c r="I91" s="26" t="str">
        <f aca="false">IF(H91="","",H91-AVERAGE(H43:H139))</f>
        <v/>
      </c>
      <c r="J91" s="27" t="str">
        <f aca="false">IF(I91="","",Resumen!$B$10-(MAX(I43:I139)-I91))</f>
        <v/>
      </c>
    </row>
    <row r="92" customFormat="false" ht="15" hidden="false" customHeight="false" outlineLevel="0" collapsed="false">
      <c r="A92" s="24" t="n">
        <v>46262.3333333333</v>
      </c>
      <c r="B92" s="10" t="n">
        <v>4.4304</v>
      </c>
      <c r="C92" s="10" t="n">
        <v>2.9615</v>
      </c>
      <c r="D92" s="10" t="n">
        <f aca="false">IF(OR(B92="",C92="",B92&lt;=0.05,C92&lt;=0.05),0,1)</f>
        <v>1</v>
      </c>
      <c r="E92" s="25" t="n">
        <f aca="false">IF(OR(A92&lt;Resumen!$B$6,A92&gt;=Resumen!$B$7),0,MAX(0,AVERAGEIFS(B44:B140,D44:D140,1)-Resumen!$B$5*AVERAGEIFS(C44:C140,D44:D140,1)))</f>
        <v>0</v>
      </c>
      <c r="F92" s="10" t="n">
        <f aca="false">IF(B92="","",(B92-E92)/Resumen!$B$5)</f>
        <v>3.51898332009531</v>
      </c>
      <c r="G92" s="10" t="n">
        <f aca="false">IF(OR(F92="",C92=""),0,(F92-C92)*0.9)</f>
        <v>0.501734988085782</v>
      </c>
      <c r="H92" s="26" t="str">
        <f aca="false">IF(A92&lt;Resumen!$B$11,"",IF(H91="",0,H91)+G92/Resumen!$B$9)</f>
        <v/>
      </c>
      <c r="I92" s="26" t="str">
        <f aca="false">IF(H92="","",H92-AVERAGE(H44:H140))</f>
        <v/>
      </c>
      <c r="J92" s="27" t="str">
        <f aca="false">IF(I92="","",Resumen!$B$10-(MAX(I44:I140)-I92))</f>
        <v/>
      </c>
    </row>
    <row r="93" customFormat="false" ht="15" hidden="false" customHeight="false" outlineLevel="0" collapsed="false">
      <c r="A93" s="24" t="n">
        <v>46262.34375</v>
      </c>
      <c r="B93" s="10" t="n">
        <v>4.5998</v>
      </c>
      <c r="C93" s="10" t="n">
        <v>3.4135</v>
      </c>
      <c r="D93" s="10" t="n">
        <f aca="false">IF(OR(B93="",C93="",B93&lt;=0.05,C93&lt;=0.05),0,1)</f>
        <v>1</v>
      </c>
      <c r="E93" s="25" t="n">
        <f aca="false">IF(OR(A93&lt;Resumen!$B$6,A93&gt;=Resumen!$B$7),0,MAX(0,AVERAGEIFS(B45:B141,D45:D141,1)-Resumen!$B$5*AVERAGEIFS(C45:C141,D45:D141,1)))</f>
        <v>0</v>
      </c>
      <c r="F93" s="10" t="n">
        <f aca="false">IF(B93="","",(B93-E93)/Resumen!$B$5)</f>
        <v>3.65353455123114</v>
      </c>
      <c r="G93" s="10" t="n">
        <f aca="false">IF(OR(F93="",C93=""),0,(F93-C93)*0.9)</f>
        <v>0.216031096108023</v>
      </c>
      <c r="H93" s="26" t="str">
        <f aca="false">IF(A93&lt;Resumen!$B$11,"",IF(H92="",0,H92)+G93/Resumen!$B$9)</f>
        <v/>
      </c>
      <c r="I93" s="26" t="str">
        <f aca="false">IF(H93="","",H93-AVERAGE(H45:H141))</f>
        <v/>
      </c>
      <c r="J93" s="27" t="str">
        <f aca="false">IF(I93="","",Resumen!$B$10-(MAX(I45:I141)-I93))</f>
        <v/>
      </c>
    </row>
    <row r="94" customFormat="false" ht="15" hidden="false" customHeight="false" outlineLevel="0" collapsed="false">
      <c r="A94" s="24" t="n">
        <v>46262.3541666667</v>
      </c>
      <c r="B94" s="10" t="n">
        <v>3.1571</v>
      </c>
      <c r="C94" s="10" t="n">
        <v>2.7593</v>
      </c>
      <c r="D94" s="10" t="n">
        <f aca="false">IF(OR(B94="",C94="",B94&lt;=0.05,C94&lt;=0.05),0,1)</f>
        <v>1</v>
      </c>
      <c r="E94" s="25" t="n">
        <f aca="false">IF(OR(A94&lt;Resumen!$B$6,A94&gt;=Resumen!$B$7),0,MAX(0,AVERAGEIFS(B46:B142,D46:D142,1)-Resumen!$B$5*AVERAGEIFS(C46:C142,D46:D142,1)))</f>
        <v>0</v>
      </c>
      <c r="F94" s="10" t="n">
        <f aca="false">IF(B94="","",(B94-E94)/Resumen!$B$5)</f>
        <v>2.50762509928515</v>
      </c>
      <c r="G94" s="10" t="n">
        <f aca="false">IF(OR(F94="",C94=""),0,(F94-C94)*0.9)</f>
        <v>-0.226507410643368</v>
      </c>
      <c r="H94" s="26" t="str">
        <f aca="false">IF(A94&lt;Resumen!$B$11,"",IF(H93="",0,H93)+G94/Resumen!$B$9)</f>
        <v/>
      </c>
      <c r="I94" s="26" t="str">
        <f aca="false">IF(H94="","",H94-AVERAGE(H46:H142))</f>
        <v/>
      </c>
      <c r="J94" s="27" t="str">
        <f aca="false">IF(I94="","",Resumen!$B$10-(MAX(I46:I142)-I94))</f>
        <v/>
      </c>
    </row>
    <row r="95" customFormat="false" ht="15" hidden="false" customHeight="false" outlineLevel="0" collapsed="false">
      <c r="A95" s="24" t="n">
        <v>46262.3645833333</v>
      </c>
      <c r="B95" s="10" t="n">
        <v>3.4599</v>
      </c>
      <c r="C95" s="10" t="n">
        <v>2.8722</v>
      </c>
      <c r="D95" s="10" t="n">
        <f aca="false">IF(OR(B95="",C95="",B95&lt;=0.05,C95&lt;=0.05),0,1)</f>
        <v>1</v>
      </c>
      <c r="E95" s="25" t="n">
        <f aca="false">IF(OR(A95&lt;Resumen!$B$6,A95&gt;=Resumen!$B$7),0,MAX(0,AVERAGEIFS(B47:B143,D47:D143,1)-Resumen!$B$5*AVERAGEIFS(C47:C143,D47:D143,1)))</f>
        <v>0</v>
      </c>
      <c r="F95" s="10" t="n">
        <f aca="false">IF(B95="","",(B95-E95)/Resumen!$B$5)</f>
        <v>2.74813343923749</v>
      </c>
      <c r="G95" s="10" t="n">
        <f aca="false">IF(OR(F95="",C95=""),0,(F95-C95)*0.9)</f>
        <v>-0.111659904686258</v>
      </c>
      <c r="H95" s="26" t="str">
        <f aca="false">IF(A95&lt;Resumen!$B$11,"",IF(H94="",0,H94)+G95/Resumen!$B$9)</f>
        <v/>
      </c>
      <c r="I95" s="26" t="str">
        <f aca="false">IF(H95="","",H95-AVERAGE(H47:H143))</f>
        <v/>
      </c>
      <c r="J95" s="27" t="str">
        <f aca="false">IF(I95="","",Resumen!$B$10-(MAX(I47:I143)-I95))</f>
        <v/>
      </c>
    </row>
    <row r="96" customFormat="false" ht="15" hidden="false" customHeight="false" outlineLevel="0" collapsed="false">
      <c r="A96" s="24" t="n">
        <v>46262.375</v>
      </c>
      <c r="B96" s="10" t="n">
        <v>3.7492</v>
      </c>
      <c r="C96" s="10" t="n">
        <v>3.133</v>
      </c>
      <c r="D96" s="10" t="n">
        <f aca="false">IF(OR(B96="",C96="",B96&lt;=0.05,C96&lt;=0.05),0,1)</f>
        <v>1</v>
      </c>
      <c r="E96" s="25" t="n">
        <f aca="false">IF(OR(A96&lt;Resumen!$B$6,A96&gt;=Resumen!$B$7),0,MAX(0,AVERAGEIFS(B48:B144,D48:D144,1)-Resumen!$B$5*AVERAGEIFS(C48:C144,D48:D144,1)))</f>
        <v>0</v>
      </c>
      <c r="F96" s="10" t="n">
        <f aca="false">IF(B96="","",(B96-E96)/Resumen!$B$5)</f>
        <v>2.9779189833201</v>
      </c>
      <c r="G96" s="10" t="n">
        <f aca="false">IF(OR(F96="",C96=""),0,(F96-C96)*0.9)</f>
        <v>-0.139572915011914</v>
      </c>
      <c r="H96" s="26" t="str">
        <f aca="false">IF(A96&lt;Resumen!$B$11,"",IF(H95="",0,H95)+G96/Resumen!$B$9)</f>
        <v/>
      </c>
      <c r="I96" s="26" t="str">
        <f aca="false">IF(H96="","",H96-AVERAGE(H48:H144))</f>
        <v/>
      </c>
      <c r="J96" s="27" t="str">
        <f aca="false">IF(I96="","",Resumen!$B$10-(MAX(I48:I144)-I96))</f>
        <v/>
      </c>
    </row>
    <row r="97" customFormat="false" ht="15" hidden="false" customHeight="false" outlineLevel="0" collapsed="false">
      <c r="A97" s="24" t="n">
        <v>46262.3854166667</v>
      </c>
      <c r="B97" s="10" t="n">
        <v>-0.1745</v>
      </c>
      <c r="C97" s="10" t="n">
        <v>2.6012</v>
      </c>
      <c r="D97" s="10" t="n">
        <f aca="false">IF(OR(B97="",C97="",B97&lt;=0.05,C97&lt;=0.05),0,1)</f>
        <v>0</v>
      </c>
      <c r="E97" s="25" t="n">
        <f aca="false">IF(OR(A97&lt;Resumen!$B$6,A97&gt;=Resumen!$B$7),0,MAX(0,AVERAGEIFS(B49:B145,D49:D145,1)-Resumen!$B$5*AVERAGEIFS(C49:C145,D49:D145,1)))</f>
        <v>0</v>
      </c>
      <c r="F97" s="10" t="n">
        <f aca="false">IF(B97="","",(B97-E97)/Resumen!$B$5)</f>
        <v>-0.138602065131056</v>
      </c>
      <c r="G97" s="10" t="n">
        <f aca="false">IF(OR(F97="",C97=""),0,(F97-C97)*0.9)</f>
        <v>-2.46582185861795</v>
      </c>
      <c r="H97" s="26" t="str">
        <f aca="false">IF(A97&lt;Resumen!$B$11,"",IF(H96="",0,H96)+G97/Resumen!$B$9)</f>
        <v/>
      </c>
      <c r="I97" s="26" t="str">
        <f aca="false">IF(H97="","",H97-AVERAGE(H49:H145))</f>
        <v/>
      </c>
      <c r="J97" s="27" t="str">
        <f aca="false">IF(I97="","",Resumen!$B$10-(MAX(I49:I145)-I97))</f>
        <v/>
      </c>
    </row>
    <row r="98" customFormat="false" ht="15" hidden="false" customHeight="false" outlineLevel="0" collapsed="false">
      <c r="A98" s="24" t="n">
        <v>46262.3958333333</v>
      </c>
      <c r="B98" s="10" t="n">
        <v>0</v>
      </c>
      <c r="C98" s="10" t="n">
        <v>2.7258</v>
      </c>
      <c r="D98" s="10" t="n">
        <f aca="false">IF(OR(B98="",C98="",B98&lt;=0.05,C98&lt;=0.05),0,1)</f>
        <v>0</v>
      </c>
      <c r="E98" s="25" t="n">
        <f aca="false">IF(OR(A98&lt;Resumen!$B$6,A98&gt;=Resumen!$B$7),0,MAX(0,AVERAGEIFS(B50:B146,D50:D146,1)-Resumen!$B$5*AVERAGEIFS(C50:C146,D50:D146,1)))</f>
        <v>0</v>
      </c>
      <c r="F98" s="10" t="n">
        <f aca="false">IF(B98="","",(B98-E98)/Resumen!$B$5)</f>
        <v>0</v>
      </c>
      <c r="G98" s="10" t="n">
        <f aca="false">IF(OR(F98="",C98=""),0,(F98-C98)*0.9)</f>
        <v>-2.45322</v>
      </c>
      <c r="H98" s="26" t="str">
        <f aca="false">IF(A98&lt;Resumen!$B$11,"",IF(H97="",0,H97)+G98/Resumen!$B$9)</f>
        <v/>
      </c>
      <c r="I98" s="26" t="str">
        <f aca="false">IF(H98="","",H98-AVERAGE(H50:H146))</f>
        <v/>
      </c>
      <c r="J98" s="27" t="str">
        <f aca="false">IF(I98="","",Resumen!$B$10-(MAX(I50:I146)-I98))</f>
        <v/>
      </c>
    </row>
    <row r="99" customFormat="false" ht="15" hidden="false" customHeight="false" outlineLevel="0" collapsed="false">
      <c r="A99" s="24" t="n">
        <v>46262.40625</v>
      </c>
      <c r="B99" s="10" t="n">
        <v>0</v>
      </c>
      <c r="C99" s="10" t="n">
        <v>3.4766</v>
      </c>
      <c r="D99" s="10" t="n">
        <f aca="false">IF(OR(B99="",C99="",B99&lt;=0.05,C99&lt;=0.05),0,1)</f>
        <v>0</v>
      </c>
      <c r="E99" s="25" t="n">
        <f aca="false">IF(OR(A99&lt;Resumen!$B$6,A99&gt;=Resumen!$B$7),0,MAX(0,AVERAGEIFS(B51:B147,D51:D147,1)-Resumen!$B$5*AVERAGEIFS(C51:C147,D51:D147,1)))</f>
        <v>0</v>
      </c>
      <c r="F99" s="10" t="n">
        <f aca="false">IF(B99="","",(B99-E99)/Resumen!$B$5)</f>
        <v>0</v>
      </c>
      <c r="G99" s="10" t="n">
        <f aca="false">IF(OR(F99="",C99=""),0,(F99-C99)*0.9)</f>
        <v>-3.12894</v>
      </c>
      <c r="H99" s="26" t="str">
        <f aca="false">IF(A99&lt;Resumen!$B$11,"",IF(H98="",0,H98)+G99/Resumen!$B$9)</f>
        <v/>
      </c>
      <c r="I99" s="26" t="str">
        <f aca="false">IF(H99="","",H99-AVERAGE(H51:H147))</f>
        <v/>
      </c>
      <c r="J99" s="27" t="str">
        <f aca="false">IF(I99="","",Resumen!$B$10-(MAX(I51:I147)-I99))</f>
        <v/>
      </c>
    </row>
    <row r="100" customFormat="false" ht="15" hidden="false" customHeight="false" outlineLevel="0" collapsed="false">
      <c r="A100" s="24" t="n">
        <v>46262.4166666667</v>
      </c>
      <c r="B100" s="10" t="n">
        <v>0</v>
      </c>
      <c r="C100" s="10" t="n">
        <v>3.1298</v>
      </c>
      <c r="D100" s="10" t="n">
        <f aca="false">IF(OR(B100="",C100="",B100&lt;=0.05,C100&lt;=0.05),0,1)</f>
        <v>0</v>
      </c>
      <c r="E100" s="25" t="n">
        <f aca="false">IF(OR(A100&lt;Resumen!$B$6,A100&gt;=Resumen!$B$7),0,MAX(0,AVERAGEIFS(B52:B148,D52:D148,1)-Resumen!$B$5*AVERAGEIFS(C52:C148,D52:D148,1)))</f>
        <v>0</v>
      </c>
      <c r="F100" s="10" t="n">
        <f aca="false">IF(B100="","",(B100-E100)/Resumen!$B$5)</f>
        <v>0</v>
      </c>
      <c r="G100" s="10" t="n">
        <f aca="false">IF(OR(F100="",C100=""),0,(F100-C100)*0.9)</f>
        <v>-2.81682</v>
      </c>
      <c r="H100" s="26" t="str">
        <f aca="false">IF(A100&lt;Resumen!$B$11,"",IF(H99="",0,H99)+G100/Resumen!$B$9)</f>
        <v/>
      </c>
      <c r="I100" s="26" t="str">
        <f aca="false">IF(H100="","",H100-AVERAGE(H52:H148))</f>
        <v/>
      </c>
      <c r="J100" s="27" t="str">
        <f aca="false">IF(I100="","",Resumen!$B$10-(MAX(I52:I148)-I100))</f>
        <v/>
      </c>
    </row>
    <row r="101" customFormat="false" ht="15" hidden="false" customHeight="false" outlineLevel="0" collapsed="false">
      <c r="A101" s="24" t="n">
        <v>46262.4270833333</v>
      </c>
      <c r="B101" s="10" t="n">
        <v>0</v>
      </c>
      <c r="C101" s="10" t="n">
        <v>3.6222</v>
      </c>
      <c r="D101" s="10" t="n">
        <f aca="false">IF(OR(B101="",C101="",B101&lt;=0.05,C101&lt;=0.05),0,1)</f>
        <v>0</v>
      </c>
      <c r="E101" s="25" t="n">
        <f aca="false">IF(OR(A101&lt;Resumen!$B$6,A101&gt;=Resumen!$B$7),0,MAX(0,AVERAGEIFS(B53:B149,D53:D149,1)-Resumen!$B$5*AVERAGEIFS(C53:C149,D53:D149,1)))</f>
        <v>0</v>
      </c>
      <c r="F101" s="10" t="n">
        <f aca="false">IF(B101="","",(B101-E101)/Resumen!$B$5)</f>
        <v>0</v>
      </c>
      <c r="G101" s="10" t="n">
        <f aca="false">IF(OR(F101="",C101=""),0,(F101-C101)*0.9)</f>
        <v>-3.25998</v>
      </c>
      <c r="H101" s="26" t="str">
        <f aca="false">IF(A101&lt;Resumen!$B$11,"",IF(H100="",0,H100)+G101/Resumen!$B$9)</f>
        <v/>
      </c>
      <c r="I101" s="26" t="str">
        <f aca="false">IF(H101="","",H101-AVERAGE(H53:H149))</f>
        <v/>
      </c>
      <c r="J101" s="27" t="str">
        <f aca="false">IF(I101="","",Resumen!$B$10-(MAX(I53:I149)-I101))</f>
        <v/>
      </c>
    </row>
    <row r="102" customFormat="false" ht="15" hidden="false" customHeight="false" outlineLevel="0" collapsed="false">
      <c r="A102" s="24" t="n">
        <v>46262.4375</v>
      </c>
      <c r="B102" s="10" t="n">
        <v>0</v>
      </c>
      <c r="C102" s="10" t="n">
        <v>2.3371</v>
      </c>
      <c r="D102" s="10" t="n">
        <f aca="false">IF(OR(B102="",C102="",B102&lt;=0.05,C102&lt;=0.05),0,1)</f>
        <v>0</v>
      </c>
      <c r="E102" s="25" t="n">
        <f aca="false">IF(OR(A102&lt;Resumen!$B$6,A102&gt;=Resumen!$B$7),0,MAX(0,AVERAGEIFS(B54:B150,D54:D150,1)-Resumen!$B$5*AVERAGEIFS(C54:C150,D54:D150,1)))</f>
        <v>0</v>
      </c>
      <c r="F102" s="10" t="n">
        <f aca="false">IF(B102="","",(B102-E102)/Resumen!$B$5)</f>
        <v>0</v>
      </c>
      <c r="G102" s="10" t="n">
        <f aca="false">IF(OR(F102="",C102=""),0,(F102-C102)*0.9)</f>
        <v>-2.10339</v>
      </c>
      <c r="H102" s="26" t="str">
        <f aca="false">IF(A102&lt;Resumen!$B$11,"",IF(H101="",0,H101)+G102/Resumen!$B$9)</f>
        <v/>
      </c>
      <c r="I102" s="26" t="str">
        <f aca="false">IF(H102="","",H102-AVERAGE(H54:H150))</f>
        <v/>
      </c>
      <c r="J102" s="27" t="str">
        <f aca="false">IF(I102="","",Resumen!$B$10-(MAX(I54:I150)-I102))</f>
        <v/>
      </c>
    </row>
    <row r="103" customFormat="false" ht="15" hidden="false" customHeight="false" outlineLevel="0" collapsed="false">
      <c r="A103" s="24" t="n">
        <v>46262.4479166667</v>
      </c>
      <c r="B103" s="10" t="n">
        <v>0</v>
      </c>
      <c r="C103" s="10" t="n">
        <v>3.3241</v>
      </c>
      <c r="D103" s="10" t="n">
        <f aca="false">IF(OR(B103="",C103="",B103&lt;=0.05,C103&lt;=0.05),0,1)</f>
        <v>0</v>
      </c>
      <c r="E103" s="25" t="n">
        <f aca="false">IF(OR(A103&lt;Resumen!$B$6,A103&gt;=Resumen!$B$7),0,MAX(0,AVERAGEIFS(B55:B151,D55:D151,1)-Resumen!$B$5*AVERAGEIFS(C55:C151,D55:D151,1)))</f>
        <v>0</v>
      </c>
      <c r="F103" s="10" t="n">
        <f aca="false">IF(B103="","",(B103-E103)/Resumen!$B$5)</f>
        <v>0</v>
      </c>
      <c r="G103" s="10" t="n">
        <f aca="false">IF(OR(F103="",C103=""),0,(F103-C103)*0.9)</f>
        <v>-2.99169</v>
      </c>
      <c r="H103" s="26" t="str">
        <f aca="false">IF(A103&lt;Resumen!$B$11,"",IF(H102="",0,H102)+G103/Resumen!$B$9)</f>
        <v/>
      </c>
      <c r="I103" s="26" t="str">
        <f aca="false">IF(H103="","",H103-AVERAGE(H55:H151))</f>
        <v/>
      </c>
      <c r="J103" s="27" t="str">
        <f aca="false">IF(I103="","",Resumen!$B$10-(MAX(I55:I151)-I103))</f>
        <v/>
      </c>
    </row>
    <row r="104" customFormat="false" ht="15" hidden="false" customHeight="false" outlineLevel="0" collapsed="false">
      <c r="A104" s="24" t="n">
        <v>46262.4583333333</v>
      </c>
      <c r="B104" s="10" t="n">
        <v>0</v>
      </c>
      <c r="C104" s="10" t="n">
        <v>3.6075</v>
      </c>
      <c r="D104" s="10" t="n">
        <f aca="false">IF(OR(B104="",C104="",B104&lt;=0.05,C104&lt;=0.05),0,1)</f>
        <v>0</v>
      </c>
      <c r="E104" s="25" t="n">
        <f aca="false">IF(OR(A104&lt;Resumen!$B$6,A104&gt;=Resumen!$B$7),0,MAX(0,AVERAGEIFS(B56:B152,D56:D152,1)-Resumen!$B$5*AVERAGEIFS(C56:C152,D56:D152,1)))</f>
        <v>0</v>
      </c>
      <c r="F104" s="10" t="n">
        <f aca="false">IF(B104="","",(B104-E104)/Resumen!$B$5)</f>
        <v>0</v>
      </c>
      <c r="G104" s="10" t="n">
        <f aca="false">IF(OR(F104="",C104=""),0,(F104-C104)*0.9)</f>
        <v>-3.24675</v>
      </c>
      <c r="H104" s="26" t="str">
        <f aca="false">IF(A104&lt;Resumen!$B$11,"",IF(H103="",0,H103)+G104/Resumen!$B$9)</f>
        <v/>
      </c>
      <c r="I104" s="26" t="str">
        <f aca="false">IF(H104="","",H104-AVERAGE(H56:H152))</f>
        <v/>
      </c>
      <c r="J104" s="27" t="str">
        <f aca="false">IF(I104="","",Resumen!$B$10-(MAX(I56:I152)-I104))</f>
        <v/>
      </c>
    </row>
    <row r="105" customFormat="false" ht="15" hidden="false" customHeight="false" outlineLevel="0" collapsed="false">
      <c r="A105" s="24" t="n">
        <v>46262.46875</v>
      </c>
      <c r="B105" s="10" t="n">
        <v>0</v>
      </c>
      <c r="C105" s="10" t="n">
        <v>3.8801</v>
      </c>
      <c r="D105" s="10" t="n">
        <f aca="false">IF(OR(B105="",C105="",B105&lt;=0.05,C105&lt;=0.05),0,1)</f>
        <v>0</v>
      </c>
      <c r="E105" s="25" t="n">
        <f aca="false">IF(OR(A105&lt;Resumen!$B$6,A105&gt;=Resumen!$B$7),0,MAX(0,AVERAGEIFS(B57:B153,D57:D153,1)-Resumen!$B$5*AVERAGEIFS(C57:C153,D57:D153,1)))</f>
        <v>0</v>
      </c>
      <c r="F105" s="10" t="n">
        <f aca="false">IF(B105="","",(B105-E105)/Resumen!$B$5)</f>
        <v>0</v>
      </c>
      <c r="G105" s="10" t="n">
        <f aca="false">IF(OR(F105="",C105=""),0,(F105-C105)*0.9)</f>
        <v>-3.49209</v>
      </c>
      <c r="H105" s="26" t="str">
        <f aca="false">IF(A105&lt;Resumen!$B$11,"",IF(H104="",0,H104)+G105/Resumen!$B$9)</f>
        <v/>
      </c>
      <c r="I105" s="26" t="str">
        <f aca="false">IF(H105="","",H105-AVERAGE(H57:H153))</f>
        <v/>
      </c>
      <c r="J105" s="27" t="str">
        <f aca="false">IF(I105="","",Resumen!$B$10-(MAX(I57:I153)-I105))</f>
        <v/>
      </c>
    </row>
    <row r="106" customFormat="false" ht="15" hidden="false" customHeight="false" outlineLevel="0" collapsed="false">
      <c r="A106" s="24" t="n">
        <v>46262.4791666667</v>
      </c>
      <c r="B106" s="10" t="n">
        <v>0</v>
      </c>
      <c r="C106" s="10" t="n">
        <v>3.0481</v>
      </c>
      <c r="D106" s="10" t="n">
        <f aca="false">IF(OR(B106="",C106="",B106&lt;=0.05,C106&lt;=0.05),0,1)</f>
        <v>0</v>
      </c>
      <c r="E106" s="25" t="n">
        <f aca="false">IF(OR(A106&lt;Resumen!$B$6,A106&gt;=Resumen!$B$7),0,MAX(0,AVERAGEIFS(B58:B154,D58:D154,1)-Resumen!$B$5*AVERAGEIFS(C58:C154,D58:D154,1)))</f>
        <v>0</v>
      </c>
      <c r="F106" s="10" t="n">
        <f aca="false">IF(B106="","",(B106-E106)/Resumen!$B$5)</f>
        <v>0</v>
      </c>
      <c r="G106" s="10" t="n">
        <f aca="false">IF(OR(F106="",C106=""),0,(F106-C106)*0.9)</f>
        <v>-2.74329</v>
      </c>
      <c r="H106" s="26" t="str">
        <f aca="false">IF(A106&lt;Resumen!$B$11,"",IF(H105="",0,H105)+G106/Resumen!$B$9)</f>
        <v/>
      </c>
      <c r="I106" s="26" t="str">
        <f aca="false">IF(H106="","",H106-AVERAGE(H58:H154))</f>
        <v/>
      </c>
      <c r="J106" s="27" t="str">
        <f aca="false">IF(I106="","",Resumen!$B$10-(MAX(I58:I154)-I106))</f>
        <v/>
      </c>
    </row>
    <row r="107" customFormat="false" ht="15" hidden="false" customHeight="false" outlineLevel="0" collapsed="false">
      <c r="A107" s="24" t="n">
        <v>46262.4895833333</v>
      </c>
      <c r="B107" s="10" t="n">
        <v>0</v>
      </c>
      <c r="C107" s="10" t="n">
        <v>3.0052</v>
      </c>
      <c r="D107" s="10" t="n">
        <f aca="false">IF(OR(B107="",C107="",B107&lt;=0.05,C107&lt;=0.05),0,1)</f>
        <v>0</v>
      </c>
      <c r="E107" s="25" t="n">
        <f aca="false">IF(OR(A107&lt;Resumen!$B$6,A107&gt;=Resumen!$B$7),0,MAX(0,AVERAGEIFS(B59:B155,D59:D155,1)-Resumen!$B$5*AVERAGEIFS(C59:C155,D59:D155,1)))</f>
        <v>0</v>
      </c>
      <c r="F107" s="10" t="n">
        <f aca="false">IF(B107="","",(B107-E107)/Resumen!$B$5)</f>
        <v>0</v>
      </c>
      <c r="G107" s="10" t="n">
        <f aca="false">IF(OR(F107="",C107=""),0,(F107-C107)*0.9)</f>
        <v>-2.70468</v>
      </c>
      <c r="H107" s="26" t="str">
        <f aca="false">IF(A107&lt;Resumen!$B$11,"",IF(H106="",0,H106)+G107/Resumen!$B$9)</f>
        <v/>
      </c>
      <c r="I107" s="26" t="str">
        <f aca="false">IF(H107="","",H107-AVERAGE(H59:H155))</f>
        <v/>
      </c>
      <c r="J107" s="27" t="str">
        <f aca="false">IF(I107="","",Resumen!$B$10-(MAX(I59:I155)-I107))</f>
        <v/>
      </c>
    </row>
    <row r="108" customFormat="false" ht="15" hidden="false" customHeight="false" outlineLevel="0" collapsed="false">
      <c r="A108" s="24" t="n">
        <v>46262.5</v>
      </c>
      <c r="B108" s="10" t="n">
        <v>0</v>
      </c>
      <c r="C108" s="10" t="n">
        <v>0</v>
      </c>
      <c r="D108" s="10" t="n">
        <f aca="false">IF(OR(B108="",C108="",B108&lt;=0.05,C108&lt;=0.05),0,1)</f>
        <v>0</v>
      </c>
      <c r="E108" s="25" t="n">
        <f aca="false">IF(OR(A108&lt;Resumen!$B$6,A108&gt;=Resumen!$B$7),0,MAX(0,AVERAGEIFS(B60:B156,D60:D156,1)-Resumen!$B$5*AVERAGEIFS(C60:C156,D60:D156,1)))</f>
        <v>0</v>
      </c>
      <c r="F108" s="10" t="n">
        <f aca="false">IF(B108="","",(B108-E108)/Resumen!$B$5)</f>
        <v>0</v>
      </c>
      <c r="G108" s="10" t="n">
        <f aca="false">IF(OR(F108="",C108=""),0,(F108-C108)*0.9)</f>
        <v>0</v>
      </c>
      <c r="H108" s="26" t="str">
        <f aca="false">IF(A108&lt;Resumen!$B$11,"",IF(H107="",0,H107)+G108/Resumen!$B$9)</f>
        <v/>
      </c>
      <c r="I108" s="26" t="str">
        <f aca="false">IF(H108="","",H108-AVERAGE(H60:H156))</f>
        <v/>
      </c>
      <c r="J108" s="27" t="str">
        <f aca="false">IF(I108="","",Resumen!$B$10-(MAX(I60:I156)-I108))</f>
        <v/>
      </c>
    </row>
    <row r="109" customFormat="false" ht="15" hidden="false" customHeight="false" outlineLevel="0" collapsed="false">
      <c r="A109" s="24" t="n">
        <v>46262.5104166667</v>
      </c>
      <c r="B109" s="10" t="n">
        <v>0</v>
      </c>
      <c r="C109" s="10" t="n">
        <v>0</v>
      </c>
      <c r="D109" s="10" t="n">
        <f aca="false">IF(OR(B109="",C109="",B109&lt;=0.05,C109&lt;=0.05),0,1)</f>
        <v>0</v>
      </c>
      <c r="E109" s="25" t="n">
        <f aca="false">IF(OR(A109&lt;Resumen!$B$6,A109&gt;=Resumen!$B$7),0,MAX(0,AVERAGEIFS(B61:B157,D61:D157,1)-Resumen!$B$5*AVERAGEIFS(C61:C157,D61:D157,1)))</f>
        <v>0</v>
      </c>
      <c r="F109" s="10" t="n">
        <f aca="false">IF(B109="","",(B109-E109)/Resumen!$B$5)</f>
        <v>0</v>
      </c>
      <c r="G109" s="10" t="n">
        <f aca="false">IF(OR(F109="",C109=""),0,(F109-C109)*0.9)</f>
        <v>0</v>
      </c>
      <c r="H109" s="26" t="str">
        <f aca="false">IF(A109&lt;Resumen!$B$11,"",IF(H108="",0,H108)+G109/Resumen!$B$9)</f>
        <v/>
      </c>
      <c r="I109" s="26" t="str">
        <f aca="false">IF(H109="","",H109-AVERAGE(H61:H157))</f>
        <v/>
      </c>
      <c r="J109" s="27" t="str">
        <f aca="false">IF(I109="","",Resumen!$B$10-(MAX(I61:I157)-I109))</f>
        <v/>
      </c>
    </row>
    <row r="110" customFormat="false" ht="15" hidden="false" customHeight="false" outlineLevel="0" collapsed="false">
      <c r="A110" s="24" t="n">
        <v>46262.5208333333</v>
      </c>
      <c r="B110" s="10" t="n">
        <v>0</v>
      </c>
      <c r="C110" s="10" t="n">
        <v>5.3059</v>
      </c>
      <c r="D110" s="10" t="n">
        <f aca="false">IF(OR(B110="",C110="",B110&lt;=0.05,C110&lt;=0.05),0,1)</f>
        <v>0</v>
      </c>
      <c r="E110" s="25" t="n">
        <f aca="false">IF(OR(A110&lt;Resumen!$B$6,A110&gt;=Resumen!$B$7),0,MAX(0,AVERAGEIFS(B62:B158,D62:D158,1)-Resumen!$B$5*AVERAGEIFS(C62:C158,D62:D158,1)))</f>
        <v>0</v>
      </c>
      <c r="F110" s="10" t="n">
        <f aca="false">IF(B110="","",(B110-E110)/Resumen!$B$5)</f>
        <v>0</v>
      </c>
      <c r="G110" s="10" t="n">
        <f aca="false">IF(OR(F110="",C110=""),0,(F110-C110)*0.9)</f>
        <v>-4.77531</v>
      </c>
      <c r="H110" s="26" t="str">
        <f aca="false">IF(A110&lt;Resumen!$B$11,"",IF(H109="",0,H109)+G110/Resumen!$B$9)</f>
        <v/>
      </c>
      <c r="I110" s="26" t="str">
        <f aca="false">IF(H110="","",H110-AVERAGE(H62:H158))</f>
        <v/>
      </c>
      <c r="J110" s="27" t="str">
        <f aca="false">IF(I110="","",Resumen!$B$10-(MAX(I62:I158)-I110))</f>
        <v/>
      </c>
    </row>
    <row r="111" customFormat="false" ht="15" hidden="false" customHeight="false" outlineLevel="0" collapsed="false">
      <c r="A111" s="24" t="n">
        <v>46262.53125</v>
      </c>
      <c r="B111" s="10" t="n">
        <v>3.1764</v>
      </c>
      <c r="C111" s="10" t="n">
        <v>2.3139</v>
      </c>
      <c r="D111" s="10" t="n">
        <f aca="false">IF(OR(B111="",C111="",B111&lt;=0.05,C111&lt;=0.05),0,1)</f>
        <v>1</v>
      </c>
      <c r="E111" s="25" t="n">
        <f aca="false">IF(OR(A111&lt;Resumen!$B$6,A111&gt;=Resumen!$B$7),0,MAX(0,AVERAGEIFS(B63:B159,D63:D159,1)-Resumen!$B$5*AVERAGEIFS(C63:C159,D63:D159,1)))</f>
        <v>0</v>
      </c>
      <c r="F111" s="10" t="n">
        <f aca="false">IF(B111="","",(B111-E111)/Resumen!$B$5)</f>
        <v>2.52295472597299</v>
      </c>
      <c r="G111" s="10" t="n">
        <f aca="false">IF(OR(F111="",C111=""),0,(F111-C111)*0.9)</f>
        <v>0.188149253375695</v>
      </c>
      <c r="H111" s="26" t="str">
        <f aca="false">IF(A111&lt;Resumen!$B$11,"",IF(H110="",0,H110)+G111/Resumen!$B$9)</f>
        <v/>
      </c>
      <c r="I111" s="26" t="str">
        <f aca="false">IF(H111="","",H111-AVERAGE(H63:H159))</f>
        <v/>
      </c>
      <c r="J111" s="27" t="str">
        <f aca="false">IF(I111="","",Resumen!$B$10-(MAX(I63:I159)-I111))</f>
        <v/>
      </c>
    </row>
    <row r="112" customFormat="false" ht="15" hidden="false" customHeight="false" outlineLevel="0" collapsed="false">
      <c r="A112" s="24" t="n">
        <v>46262.5416666667</v>
      </c>
      <c r="B112" s="10" t="n">
        <v>4.2525</v>
      </c>
      <c r="C112" s="10" t="n">
        <v>3.4363</v>
      </c>
      <c r="D112" s="10" t="n">
        <f aca="false">IF(OR(B112="",C112="",B112&lt;=0.05,C112&lt;=0.05),0,1)</f>
        <v>1</v>
      </c>
      <c r="E112" s="25" t="n">
        <f aca="false">IF(OR(A112&lt;Resumen!$B$6,A112&gt;=Resumen!$B$7),0,MAX(0,AVERAGEIFS(B64:B160,D64:D160,1)-Resumen!$B$5*AVERAGEIFS(C64:C160,D64:D160,1)))</f>
        <v>0</v>
      </c>
      <c r="F112" s="10" t="n">
        <f aca="false">IF(B112="","",(B112-E112)/Resumen!$B$5)</f>
        <v>3.37768069896744</v>
      </c>
      <c r="G112" s="10" t="n">
        <f aca="false">IF(OR(F112="",C112=""),0,(F112-C112)*0.9)</f>
        <v>-0.0527573709293084</v>
      </c>
      <c r="H112" s="26" t="str">
        <f aca="false">IF(A112&lt;Resumen!$B$11,"",IF(H111="",0,H111)+G112/Resumen!$B$9)</f>
        <v/>
      </c>
      <c r="I112" s="26" t="str">
        <f aca="false">IF(H112="","",H112-AVERAGE(H64:H160))</f>
        <v/>
      </c>
      <c r="J112" s="27" t="str">
        <f aca="false">IF(I112="","",Resumen!$B$10-(MAX(I64:I160)-I112))</f>
        <v/>
      </c>
    </row>
    <row r="113" customFormat="false" ht="15" hidden="false" customHeight="false" outlineLevel="0" collapsed="false">
      <c r="A113" s="24" t="n">
        <v>46262.5520833333</v>
      </c>
      <c r="B113" s="10" t="n">
        <v>3.7406</v>
      </c>
      <c r="C113" s="10" t="n">
        <v>2.8845</v>
      </c>
      <c r="D113" s="10" t="n">
        <f aca="false">IF(OR(B113="",C113="",B113&lt;=0.05,C113&lt;=0.05),0,1)</f>
        <v>1</v>
      </c>
      <c r="E113" s="25" t="n">
        <f aca="false">IF(OR(A113&lt;Resumen!$B$6,A113&gt;=Resumen!$B$7),0,MAX(0,AVERAGEIFS(B65:B161,D65:D161,1)-Resumen!$B$5*AVERAGEIFS(C65:C161,D65:D161,1)))</f>
        <v>0</v>
      </c>
      <c r="F113" s="10" t="n">
        <f aca="false">IF(B113="","",(B113-E113)/Resumen!$B$5)</f>
        <v>2.97108816521049</v>
      </c>
      <c r="G113" s="10" t="n">
        <f aca="false">IF(OR(F113="",C113=""),0,(F113-C113)*0.9)</f>
        <v>0.0779293486894363</v>
      </c>
      <c r="H113" s="26" t="str">
        <f aca="false">IF(A113&lt;Resumen!$B$11,"",IF(H112="",0,H112)+G113/Resumen!$B$9)</f>
        <v/>
      </c>
      <c r="I113" s="26" t="str">
        <f aca="false">IF(H113="","",H113-AVERAGE(H65:H161))</f>
        <v/>
      </c>
      <c r="J113" s="27" t="str">
        <f aca="false">IF(I113="","",Resumen!$B$10-(MAX(I65:I161)-I113))</f>
        <v/>
      </c>
    </row>
    <row r="114" customFormat="false" ht="15" hidden="false" customHeight="false" outlineLevel="0" collapsed="false">
      <c r="A114" s="24" t="n">
        <v>46262.5625</v>
      </c>
      <c r="B114" s="10" t="n">
        <v>4.6008</v>
      </c>
      <c r="C114" s="10" t="n">
        <v>3.6764</v>
      </c>
      <c r="D114" s="10" t="n">
        <f aca="false">IF(OR(B114="",C114="",B114&lt;=0.05,C114&lt;=0.05),0,1)</f>
        <v>1</v>
      </c>
      <c r="E114" s="25" t="n">
        <f aca="false">IF(OR(A114&lt;Resumen!$B$6,A114&gt;=Resumen!$B$7),0,MAX(0,AVERAGEIFS(B66:B162,D66:D162,1)-Resumen!$B$5*AVERAGEIFS(C66:C162,D66:D162,1)))</f>
        <v>0</v>
      </c>
      <c r="F114" s="10" t="n">
        <f aca="false">IF(B114="","",(B114-E114)/Resumen!$B$5)</f>
        <v>3.65432883240667</v>
      </c>
      <c r="G114" s="10" t="n">
        <f aca="false">IF(OR(F114="",C114=""),0,(F114-C114)*0.9)</f>
        <v>-0.0198640508339953</v>
      </c>
      <c r="H114" s="26" t="str">
        <f aca="false">IF(A114&lt;Resumen!$B$11,"",IF(H113="",0,H113)+G114/Resumen!$B$9)</f>
        <v/>
      </c>
      <c r="I114" s="26" t="str">
        <f aca="false">IF(H114="","",H114-AVERAGE(H66:H162))</f>
        <v/>
      </c>
      <c r="J114" s="27" t="str">
        <f aca="false">IF(I114="","",Resumen!$B$10-(MAX(I66:I162)-I114))</f>
        <v/>
      </c>
    </row>
    <row r="115" customFormat="false" ht="15" hidden="false" customHeight="false" outlineLevel="0" collapsed="false">
      <c r="A115" s="24" t="n">
        <v>46262.5729166667</v>
      </c>
      <c r="B115" s="10" t="n">
        <v>0</v>
      </c>
      <c r="C115" s="10" t="n">
        <v>3.3059</v>
      </c>
      <c r="D115" s="10" t="n">
        <f aca="false">IF(OR(B115="",C115="",B115&lt;=0.05,C115&lt;=0.05),0,1)</f>
        <v>0</v>
      </c>
      <c r="E115" s="25" t="n">
        <f aca="false">IF(OR(A115&lt;Resumen!$B$6,A115&gt;=Resumen!$B$7),0,MAX(0,AVERAGEIFS(B67:B163,D67:D163,1)-Resumen!$B$5*AVERAGEIFS(C67:C163,D67:D163,1)))</f>
        <v>0</v>
      </c>
      <c r="F115" s="10" t="n">
        <f aca="false">IF(B115="","",(B115-E115)/Resumen!$B$5)</f>
        <v>0</v>
      </c>
      <c r="G115" s="10" t="n">
        <f aca="false">IF(OR(F115="",C115=""),0,(F115-C115)*0.9)</f>
        <v>-2.97531</v>
      </c>
      <c r="H115" s="26" t="str">
        <f aca="false">IF(A115&lt;Resumen!$B$11,"",IF(H114="",0,H114)+G115/Resumen!$B$9)</f>
        <v/>
      </c>
      <c r="I115" s="26" t="str">
        <f aca="false">IF(H115="","",H115-AVERAGE(H67:H163))</f>
        <v/>
      </c>
      <c r="J115" s="27" t="str">
        <f aca="false">IF(I115="","",Resumen!$B$10-(MAX(I67:I163)-I115))</f>
        <v/>
      </c>
    </row>
    <row r="116" customFormat="false" ht="15" hidden="false" customHeight="false" outlineLevel="0" collapsed="false">
      <c r="A116" s="24" t="n">
        <v>46262.5833333333</v>
      </c>
      <c r="B116" s="10" t="n">
        <v>2.2051</v>
      </c>
      <c r="C116" s="10" t="n">
        <v>3.5013</v>
      </c>
      <c r="D116" s="10" t="n">
        <f aca="false">IF(OR(B116="",C116="",B116&lt;=0.05,C116&lt;=0.05),0,1)</f>
        <v>1</v>
      </c>
      <c r="E116" s="25" t="n">
        <f aca="false">IF(OR(A116&lt;Resumen!$B$6,A116&gt;=Resumen!$B$7),0,MAX(0,AVERAGEIFS(B68:B164,D68:D164,1)-Resumen!$B$5*AVERAGEIFS(C68:C164,D68:D164,1)))</f>
        <v>0</v>
      </c>
      <c r="F116" s="10" t="n">
        <f aca="false">IF(B116="","",(B116-E116)/Resumen!$B$5)</f>
        <v>1.75146942017474</v>
      </c>
      <c r="G116" s="10" t="n">
        <f aca="false">IF(OR(F116="",C116=""),0,(F116-C116)*0.9)</f>
        <v>-1.57484752184273</v>
      </c>
      <c r="H116" s="26" t="str">
        <f aca="false">IF(A116&lt;Resumen!$B$11,"",IF(H115="",0,H115)+G116/Resumen!$B$9)</f>
        <v/>
      </c>
      <c r="I116" s="26" t="str">
        <f aca="false">IF(H116="","",H116-AVERAGE(H68:H164))</f>
        <v/>
      </c>
      <c r="J116" s="27" t="str">
        <f aca="false">IF(I116="","",Resumen!$B$10-(MAX(I68:I164)-I116))</f>
        <v/>
      </c>
    </row>
    <row r="117" customFormat="false" ht="15" hidden="false" customHeight="false" outlineLevel="0" collapsed="false">
      <c r="A117" s="24" t="n">
        <v>46262.59375</v>
      </c>
      <c r="B117" s="10" t="n">
        <v>0</v>
      </c>
      <c r="C117" s="10" t="n">
        <v>0</v>
      </c>
      <c r="D117" s="10" t="n">
        <f aca="false">IF(OR(B117="",C117="",B117&lt;=0.05,C117&lt;=0.05),0,1)</f>
        <v>0</v>
      </c>
      <c r="E117" s="25" t="n">
        <f aca="false">IF(OR(A117&lt;Resumen!$B$6,A117&gt;=Resumen!$B$7),0,MAX(0,AVERAGEIFS(B69:B165,D69:D165,1)-Resumen!$B$5*AVERAGEIFS(C69:C165,D69:D165,1)))</f>
        <v>0</v>
      </c>
      <c r="F117" s="10" t="n">
        <f aca="false">IF(B117="","",(B117-E117)/Resumen!$B$5)</f>
        <v>0</v>
      </c>
      <c r="G117" s="10" t="n">
        <f aca="false">IF(OR(F117="",C117=""),0,(F117-C117)*0.9)</f>
        <v>0</v>
      </c>
      <c r="H117" s="26" t="str">
        <f aca="false">IF(A117&lt;Resumen!$B$11,"",IF(H116="",0,H116)+G117/Resumen!$B$9)</f>
        <v/>
      </c>
      <c r="I117" s="26" t="str">
        <f aca="false">IF(H117="","",H117-AVERAGE(H69:H165))</f>
        <v/>
      </c>
      <c r="J117" s="27" t="str">
        <f aca="false">IF(I117="","",Resumen!$B$10-(MAX(I69:I165)-I117))</f>
        <v/>
      </c>
    </row>
    <row r="118" customFormat="false" ht="15" hidden="false" customHeight="false" outlineLevel="0" collapsed="false">
      <c r="A118" s="24" t="n">
        <v>46262.6041666667</v>
      </c>
      <c r="B118" s="10" t="n">
        <v>0</v>
      </c>
      <c r="C118" s="10" t="n">
        <v>0</v>
      </c>
      <c r="D118" s="10" t="n">
        <f aca="false">IF(OR(B118="",C118="",B118&lt;=0.05,C118&lt;=0.05),0,1)</f>
        <v>0</v>
      </c>
      <c r="E118" s="25" t="n">
        <f aca="false">IF(OR(A118&lt;Resumen!$B$6,A118&gt;=Resumen!$B$7),0,MAX(0,AVERAGEIFS(B70:B166,D70:D166,1)-Resumen!$B$5*AVERAGEIFS(C70:C166,D70:D166,1)))</f>
        <v>0</v>
      </c>
      <c r="F118" s="10" t="n">
        <f aca="false">IF(B118="","",(B118-E118)/Resumen!$B$5)</f>
        <v>0</v>
      </c>
      <c r="G118" s="10" t="n">
        <f aca="false">IF(OR(F118="",C118=""),0,(F118-C118)*0.9)</f>
        <v>0</v>
      </c>
      <c r="H118" s="26" t="str">
        <f aca="false">IF(A118&lt;Resumen!$B$11,"",IF(H117="",0,H117)+G118/Resumen!$B$9)</f>
        <v/>
      </c>
      <c r="I118" s="26" t="str">
        <f aca="false">IF(H118="","",H118-AVERAGE(H70:H166))</f>
        <v/>
      </c>
      <c r="J118" s="27" t="str">
        <f aca="false">IF(I118="","",Resumen!$B$10-(MAX(I70:I166)-I118))</f>
        <v/>
      </c>
    </row>
    <row r="119" customFormat="false" ht="15" hidden="false" customHeight="false" outlineLevel="0" collapsed="false">
      <c r="A119" s="24" t="n">
        <v>46262.6145833333</v>
      </c>
      <c r="B119" s="10" t="n">
        <v>0</v>
      </c>
      <c r="C119" s="10" t="n">
        <v>0</v>
      </c>
      <c r="D119" s="10" t="n">
        <f aca="false">IF(OR(B119="",C119="",B119&lt;=0.05,C119&lt;=0.05),0,1)</f>
        <v>0</v>
      </c>
      <c r="E119" s="25" t="n">
        <f aca="false">IF(OR(A119&lt;Resumen!$B$6,A119&gt;=Resumen!$B$7),0,MAX(0,AVERAGEIFS(B71:B167,D71:D167,1)-Resumen!$B$5*AVERAGEIFS(C71:C167,D71:D167,1)))</f>
        <v>0</v>
      </c>
      <c r="F119" s="10" t="n">
        <f aca="false">IF(B119="","",(B119-E119)/Resumen!$B$5)</f>
        <v>0</v>
      </c>
      <c r="G119" s="10" t="n">
        <f aca="false">IF(OR(F119="",C119=""),0,(F119-C119)*0.9)</f>
        <v>0</v>
      </c>
      <c r="H119" s="26" t="str">
        <f aca="false">IF(A119&lt;Resumen!$B$11,"",IF(H118="",0,H118)+G119/Resumen!$B$9)</f>
        <v/>
      </c>
      <c r="I119" s="26" t="str">
        <f aca="false">IF(H119="","",H119-AVERAGE(H71:H167))</f>
        <v/>
      </c>
      <c r="J119" s="27" t="str">
        <f aca="false">IF(I119="","",Resumen!$B$10-(MAX(I71:I167)-I119))</f>
        <v/>
      </c>
    </row>
    <row r="120" customFormat="false" ht="15" hidden="false" customHeight="false" outlineLevel="0" collapsed="false">
      <c r="A120" s="24" t="n">
        <v>46262.625</v>
      </c>
      <c r="B120" s="10" t="n">
        <v>0</v>
      </c>
      <c r="C120" s="10" t="n">
        <v>0</v>
      </c>
      <c r="D120" s="10" t="n">
        <f aca="false">IF(OR(B120="",C120="",B120&lt;=0.05,C120&lt;=0.05),0,1)</f>
        <v>0</v>
      </c>
      <c r="E120" s="25" t="n">
        <f aca="false">IF(OR(A120&lt;Resumen!$B$6,A120&gt;=Resumen!$B$7),0,MAX(0,AVERAGEIFS(B72:B168,D72:D168,1)-Resumen!$B$5*AVERAGEIFS(C72:C168,D72:D168,1)))</f>
        <v>0</v>
      </c>
      <c r="F120" s="10" t="n">
        <f aca="false">IF(B120="","",(B120-E120)/Resumen!$B$5)</f>
        <v>0</v>
      </c>
      <c r="G120" s="10" t="n">
        <f aca="false">IF(OR(F120="",C120=""),0,(F120-C120)*0.9)</f>
        <v>0</v>
      </c>
      <c r="H120" s="26" t="str">
        <f aca="false">IF(A120&lt;Resumen!$B$11,"",IF(H119="",0,H119)+G120/Resumen!$B$9)</f>
        <v/>
      </c>
      <c r="I120" s="26" t="str">
        <f aca="false">IF(H120="","",H120-AVERAGE(H72:H168))</f>
        <v/>
      </c>
      <c r="J120" s="27" t="str">
        <f aca="false">IF(I120="","",Resumen!$B$10-(MAX(I72:I168)-I120))</f>
        <v/>
      </c>
    </row>
    <row r="121" customFormat="false" ht="15" hidden="false" customHeight="false" outlineLevel="0" collapsed="false">
      <c r="A121" s="24" t="n">
        <v>46262.6354166667</v>
      </c>
      <c r="B121" s="10" t="n">
        <v>0</v>
      </c>
      <c r="C121" s="10" t="n">
        <v>0</v>
      </c>
      <c r="D121" s="10" t="n">
        <f aca="false">IF(OR(B121="",C121="",B121&lt;=0.05,C121&lt;=0.05),0,1)</f>
        <v>0</v>
      </c>
      <c r="E121" s="25" t="n">
        <f aca="false">IF(OR(A121&lt;Resumen!$B$6,A121&gt;=Resumen!$B$7),0,MAX(0,AVERAGEIFS(B73:B169,D73:D169,1)-Resumen!$B$5*AVERAGEIFS(C73:C169,D73:D169,1)))</f>
        <v>0</v>
      </c>
      <c r="F121" s="10" t="n">
        <f aca="false">IF(B121="","",(B121-E121)/Resumen!$B$5)</f>
        <v>0</v>
      </c>
      <c r="G121" s="10" t="n">
        <f aca="false">IF(OR(F121="",C121=""),0,(F121-C121)*0.9)</f>
        <v>0</v>
      </c>
      <c r="H121" s="26" t="str">
        <f aca="false">IF(A121&lt;Resumen!$B$11,"",IF(H120="",0,H120)+G121/Resumen!$B$9)</f>
        <v/>
      </c>
      <c r="I121" s="26" t="str">
        <f aca="false">IF(H121="","",H121-AVERAGE(H73:H169))</f>
        <v/>
      </c>
      <c r="J121" s="27" t="str">
        <f aca="false">IF(I121="","",Resumen!$B$10-(MAX(I73:I169)-I121))</f>
        <v/>
      </c>
    </row>
    <row r="122" customFormat="false" ht="15" hidden="false" customHeight="false" outlineLevel="0" collapsed="false">
      <c r="A122" s="24" t="n">
        <v>46262.6458333333</v>
      </c>
      <c r="B122" s="10" t="n">
        <v>0</v>
      </c>
      <c r="C122" s="10" t="n">
        <v>0</v>
      </c>
      <c r="D122" s="10" t="n">
        <f aca="false">IF(OR(B122="",C122="",B122&lt;=0.05,C122&lt;=0.05),0,1)</f>
        <v>0</v>
      </c>
      <c r="E122" s="25" t="n">
        <f aca="false">IF(OR(A122&lt;Resumen!$B$6,A122&gt;=Resumen!$B$7),0,MAX(0,AVERAGEIFS(B74:B170,D74:D170,1)-Resumen!$B$5*AVERAGEIFS(C74:C170,D74:D170,1)))</f>
        <v>0</v>
      </c>
      <c r="F122" s="10" t="n">
        <f aca="false">IF(B122="","",(B122-E122)/Resumen!$B$5)</f>
        <v>0</v>
      </c>
      <c r="G122" s="10" t="n">
        <f aca="false">IF(OR(F122="",C122=""),0,(F122-C122)*0.9)</f>
        <v>0</v>
      </c>
      <c r="H122" s="26" t="str">
        <f aca="false">IF(A122&lt;Resumen!$B$11,"",IF(H121="",0,H121)+G122/Resumen!$B$9)</f>
        <v/>
      </c>
      <c r="I122" s="26" t="str">
        <f aca="false">IF(H122="","",H122-AVERAGE(H74:H170))</f>
        <v/>
      </c>
      <c r="J122" s="27" t="str">
        <f aca="false">IF(I122="","",Resumen!$B$10-(MAX(I74:I170)-I122))</f>
        <v/>
      </c>
    </row>
    <row r="123" customFormat="false" ht="15" hidden="false" customHeight="false" outlineLevel="0" collapsed="false">
      <c r="A123" s="24" t="n">
        <v>46262.65625</v>
      </c>
      <c r="B123" s="10" t="n">
        <v>0</v>
      </c>
      <c r="C123" s="10" t="n">
        <v>0</v>
      </c>
      <c r="D123" s="10" t="n">
        <f aca="false">IF(OR(B123="",C123="",B123&lt;=0.05,C123&lt;=0.05),0,1)</f>
        <v>0</v>
      </c>
      <c r="E123" s="25" t="n">
        <f aca="false">IF(OR(A123&lt;Resumen!$B$6,A123&gt;=Resumen!$B$7),0,MAX(0,AVERAGEIFS(B75:B171,D75:D171,1)-Resumen!$B$5*AVERAGEIFS(C75:C171,D75:D171,1)))</f>
        <v>0</v>
      </c>
      <c r="F123" s="10" t="n">
        <f aca="false">IF(B123="","",(B123-E123)/Resumen!$B$5)</f>
        <v>0</v>
      </c>
      <c r="G123" s="10" t="n">
        <f aca="false">IF(OR(F123="",C123=""),0,(F123-C123)*0.9)</f>
        <v>0</v>
      </c>
      <c r="H123" s="26" t="str">
        <f aca="false">IF(A123&lt;Resumen!$B$11,"",IF(H122="",0,H122)+G123/Resumen!$B$9)</f>
        <v/>
      </c>
      <c r="I123" s="26" t="str">
        <f aca="false">IF(H123="","",H123-AVERAGE(H75:H171))</f>
        <v/>
      </c>
      <c r="J123" s="27" t="str">
        <f aca="false">IF(I123="","",Resumen!$B$10-(MAX(I75:I171)-I123))</f>
        <v/>
      </c>
    </row>
    <row r="124" customFormat="false" ht="15" hidden="false" customHeight="false" outlineLevel="0" collapsed="false">
      <c r="A124" s="24" t="n">
        <v>46262.6666666667</v>
      </c>
      <c r="B124" s="10" t="n">
        <v>0</v>
      </c>
      <c r="C124" s="10" t="n">
        <v>0</v>
      </c>
      <c r="D124" s="10" t="n">
        <f aca="false">IF(OR(B124="",C124="",B124&lt;=0.05,C124&lt;=0.05),0,1)</f>
        <v>0</v>
      </c>
      <c r="E124" s="25" t="n">
        <f aca="false">IF(OR(A124&lt;Resumen!$B$6,A124&gt;=Resumen!$B$7),0,MAX(0,AVERAGEIFS(B76:B172,D76:D172,1)-Resumen!$B$5*AVERAGEIFS(C76:C172,D76:D172,1)))</f>
        <v>0</v>
      </c>
      <c r="F124" s="10" t="n">
        <f aca="false">IF(B124="","",(B124-E124)/Resumen!$B$5)</f>
        <v>0</v>
      </c>
      <c r="G124" s="10" t="n">
        <f aca="false">IF(OR(F124="",C124=""),0,(F124-C124)*0.9)</f>
        <v>0</v>
      </c>
      <c r="H124" s="26" t="str">
        <f aca="false">IF(A124&lt;Resumen!$B$11,"",IF(H123="",0,H123)+G124/Resumen!$B$9)</f>
        <v/>
      </c>
      <c r="I124" s="26" t="str">
        <f aca="false">IF(H124="","",H124-AVERAGE(H76:H172))</f>
        <v/>
      </c>
      <c r="J124" s="27" t="str">
        <f aca="false">IF(I124="","",Resumen!$B$10-(MAX(I76:I172)-I124))</f>
        <v/>
      </c>
    </row>
    <row r="125" customFormat="false" ht="15" hidden="false" customHeight="false" outlineLevel="0" collapsed="false">
      <c r="A125" s="24" t="n">
        <v>46262.6770833333</v>
      </c>
      <c r="B125" s="10" t="n">
        <v>0</v>
      </c>
      <c r="C125" s="10" t="n">
        <v>0</v>
      </c>
      <c r="D125" s="10" t="n">
        <f aca="false">IF(OR(B125="",C125="",B125&lt;=0.05,C125&lt;=0.05),0,1)</f>
        <v>0</v>
      </c>
      <c r="E125" s="25" t="n">
        <f aca="false">IF(OR(A125&lt;Resumen!$B$6,A125&gt;=Resumen!$B$7),0,MAX(0,AVERAGEIFS(B77:B173,D77:D173,1)-Resumen!$B$5*AVERAGEIFS(C77:C173,D77:D173,1)))</f>
        <v>0</v>
      </c>
      <c r="F125" s="10" t="n">
        <f aca="false">IF(B125="","",(B125-E125)/Resumen!$B$5)</f>
        <v>0</v>
      </c>
      <c r="G125" s="10" t="n">
        <f aca="false">IF(OR(F125="",C125=""),0,(F125-C125)*0.9)</f>
        <v>0</v>
      </c>
      <c r="H125" s="26" t="str">
        <f aca="false">IF(A125&lt;Resumen!$B$11,"",IF(H124="",0,H124)+G125/Resumen!$B$9)</f>
        <v/>
      </c>
      <c r="I125" s="26" t="str">
        <f aca="false">IF(H125="","",H125-AVERAGE(H77:H173))</f>
        <v/>
      </c>
      <c r="J125" s="27" t="str">
        <f aca="false">IF(I125="","",Resumen!$B$10-(MAX(I77:I173)-I125))</f>
        <v/>
      </c>
    </row>
    <row r="126" customFormat="false" ht="15" hidden="false" customHeight="false" outlineLevel="0" collapsed="false">
      <c r="A126" s="24" t="n">
        <v>46262.6875</v>
      </c>
      <c r="B126" s="10" t="n">
        <v>0</v>
      </c>
      <c r="C126" s="10" t="n">
        <v>0</v>
      </c>
      <c r="D126" s="10" t="n">
        <f aca="false">IF(OR(B126="",C126="",B126&lt;=0.05,C126&lt;=0.05),0,1)</f>
        <v>0</v>
      </c>
      <c r="E126" s="25" t="n">
        <f aca="false">IF(OR(A126&lt;Resumen!$B$6,A126&gt;=Resumen!$B$7),0,MAX(0,AVERAGEIFS(B78:B174,D78:D174,1)-Resumen!$B$5*AVERAGEIFS(C78:C174,D78:D174,1)))</f>
        <v>0</v>
      </c>
      <c r="F126" s="10" t="n">
        <f aca="false">IF(B126="","",(B126-E126)/Resumen!$B$5)</f>
        <v>0</v>
      </c>
      <c r="G126" s="10" t="n">
        <f aca="false">IF(OR(F126="",C126=""),0,(F126-C126)*0.9)</f>
        <v>0</v>
      </c>
      <c r="H126" s="26" t="str">
        <f aca="false">IF(A126&lt;Resumen!$B$11,"",IF(H125="",0,H125)+G126/Resumen!$B$9)</f>
        <v/>
      </c>
      <c r="I126" s="26" t="str">
        <f aca="false">IF(H126="","",H126-AVERAGE(H78:H174))</f>
        <v/>
      </c>
      <c r="J126" s="27" t="str">
        <f aca="false">IF(I126="","",Resumen!$B$10-(MAX(I78:I174)-I126))</f>
        <v/>
      </c>
    </row>
    <row r="127" customFormat="false" ht="15" hidden="false" customHeight="false" outlineLevel="0" collapsed="false">
      <c r="A127" s="24" t="n">
        <v>46262.6979166667</v>
      </c>
      <c r="B127" s="10" t="n">
        <v>0</v>
      </c>
      <c r="C127" s="10" t="n">
        <v>0</v>
      </c>
      <c r="D127" s="10" t="n">
        <f aca="false">IF(OR(B127="",C127="",B127&lt;=0.05,C127&lt;=0.05),0,1)</f>
        <v>0</v>
      </c>
      <c r="E127" s="25" t="n">
        <f aca="false">IF(OR(A127&lt;Resumen!$B$6,A127&gt;=Resumen!$B$7),0,MAX(0,AVERAGEIFS(B79:B175,D79:D175,1)-Resumen!$B$5*AVERAGEIFS(C79:C175,D79:D175,1)))</f>
        <v>0</v>
      </c>
      <c r="F127" s="10" t="n">
        <f aca="false">IF(B127="","",(B127-E127)/Resumen!$B$5)</f>
        <v>0</v>
      </c>
      <c r="G127" s="10" t="n">
        <f aca="false">IF(OR(F127="",C127=""),0,(F127-C127)*0.9)</f>
        <v>0</v>
      </c>
      <c r="H127" s="26" t="str">
        <f aca="false">IF(A127&lt;Resumen!$B$11,"",IF(H126="",0,H126)+G127/Resumen!$B$9)</f>
        <v/>
      </c>
      <c r="I127" s="26" t="str">
        <f aca="false">IF(H127="","",H127-AVERAGE(H79:H175))</f>
        <v/>
      </c>
      <c r="J127" s="27" t="str">
        <f aca="false">IF(I127="","",Resumen!$B$10-(MAX(I79:I175)-I127))</f>
        <v/>
      </c>
    </row>
    <row r="128" customFormat="false" ht="15" hidden="false" customHeight="false" outlineLevel="0" collapsed="false">
      <c r="A128" s="24" t="n">
        <v>46262.7083333333</v>
      </c>
      <c r="B128" s="10" t="n">
        <v>0</v>
      </c>
      <c r="C128" s="10" t="n">
        <v>0</v>
      </c>
      <c r="D128" s="10" t="n">
        <f aca="false">IF(OR(B128="",C128="",B128&lt;=0.05,C128&lt;=0.05),0,1)</f>
        <v>0</v>
      </c>
      <c r="E128" s="25" t="n">
        <f aca="false">IF(OR(A128&lt;Resumen!$B$6,A128&gt;=Resumen!$B$7),0,MAX(0,AVERAGEIFS(B80:B176,D80:D176,1)-Resumen!$B$5*AVERAGEIFS(C80:C176,D80:D176,1)))</f>
        <v>0</v>
      </c>
      <c r="F128" s="10" t="n">
        <f aca="false">IF(B128="","",(B128-E128)/Resumen!$B$5)</f>
        <v>0</v>
      </c>
      <c r="G128" s="10" t="n">
        <f aca="false">IF(OR(F128="",C128=""),0,(F128-C128)*0.9)</f>
        <v>0</v>
      </c>
      <c r="H128" s="26" t="str">
        <f aca="false">IF(A128&lt;Resumen!$B$11,"",IF(H127="",0,H127)+G128/Resumen!$B$9)</f>
        <v/>
      </c>
      <c r="I128" s="26" t="str">
        <f aca="false">IF(H128="","",H128-AVERAGE(H80:H176))</f>
        <v/>
      </c>
      <c r="J128" s="27" t="str">
        <f aca="false">IF(I128="","",Resumen!$B$10-(MAX(I80:I176)-I128))</f>
        <v/>
      </c>
    </row>
    <row r="129" customFormat="false" ht="15" hidden="false" customHeight="false" outlineLevel="0" collapsed="false">
      <c r="A129" s="24" t="n">
        <v>46262.71875</v>
      </c>
      <c r="B129" s="10" t="n">
        <v>0</v>
      </c>
      <c r="C129" s="10" t="n">
        <v>0</v>
      </c>
      <c r="D129" s="10" t="n">
        <f aca="false">IF(OR(B129="",C129="",B129&lt;=0.05,C129&lt;=0.05),0,1)</f>
        <v>0</v>
      </c>
      <c r="E129" s="25" t="n">
        <f aca="false">IF(OR(A129&lt;Resumen!$B$6,A129&gt;=Resumen!$B$7),0,MAX(0,AVERAGEIFS(B81:B177,D81:D177,1)-Resumen!$B$5*AVERAGEIFS(C81:C177,D81:D177,1)))</f>
        <v>0</v>
      </c>
      <c r="F129" s="10" t="n">
        <f aca="false">IF(B129="","",(B129-E129)/Resumen!$B$5)</f>
        <v>0</v>
      </c>
      <c r="G129" s="10" t="n">
        <f aca="false">IF(OR(F129="",C129=""),0,(F129-C129)*0.9)</f>
        <v>0</v>
      </c>
      <c r="H129" s="26" t="str">
        <f aca="false">IF(A129&lt;Resumen!$B$11,"",IF(H128="",0,H128)+G129/Resumen!$B$9)</f>
        <v/>
      </c>
      <c r="I129" s="26" t="str">
        <f aca="false">IF(H129="","",H129-AVERAGE(H81:H177))</f>
        <v/>
      </c>
      <c r="J129" s="27" t="str">
        <f aca="false">IF(I129="","",Resumen!$B$10-(MAX(I81:I177)-I129))</f>
        <v/>
      </c>
    </row>
    <row r="130" customFormat="false" ht="15" hidden="false" customHeight="false" outlineLevel="0" collapsed="false">
      <c r="A130" s="24" t="n">
        <v>46262.7291666667</v>
      </c>
      <c r="B130" s="10" t="n">
        <v>3.2811</v>
      </c>
      <c r="C130" s="10" t="n">
        <v>0</v>
      </c>
      <c r="D130" s="10" t="n">
        <f aca="false">IF(OR(B130="",C130="",B130&lt;=0.05,C130&lt;=0.05),0,1)</f>
        <v>0</v>
      </c>
      <c r="E130" s="25" t="n">
        <f aca="false">IF(OR(A130&lt;Resumen!$B$6,A130&gt;=Resumen!$B$7),0,MAX(0,AVERAGEIFS(B82:B178,D82:D178,1)-Resumen!$B$5*AVERAGEIFS(C82:C178,D82:D178,1)))</f>
        <v>0</v>
      </c>
      <c r="F130" s="10" t="n">
        <f aca="false">IF(B130="","",(B130-E130)/Resumen!$B$5)</f>
        <v>2.60611596505163</v>
      </c>
      <c r="G130" s="10" t="n">
        <f aca="false">IF(OR(F130="",C130=""),0,(F130-C130)*0.9)</f>
        <v>2.34550436854647</v>
      </c>
      <c r="H130" s="26" t="str">
        <f aca="false">IF(A130&lt;Resumen!$B$11,"",IF(H129="",0,H129)+G130/Resumen!$B$9)</f>
        <v/>
      </c>
      <c r="I130" s="26" t="str">
        <f aca="false">IF(H130="","",H130-AVERAGE(H82:H178))</f>
        <v/>
      </c>
      <c r="J130" s="27" t="str">
        <f aca="false">IF(I130="","",Resumen!$B$10-(MAX(I82:I178)-I130))</f>
        <v/>
      </c>
    </row>
    <row r="131" customFormat="false" ht="15" hidden="false" customHeight="false" outlineLevel="0" collapsed="false">
      <c r="A131" s="24" t="n">
        <v>46262.7395833333</v>
      </c>
      <c r="B131" s="10" t="n">
        <v>2.2102</v>
      </c>
      <c r="C131" s="10" t="n">
        <v>0</v>
      </c>
      <c r="D131" s="10" t="n">
        <f aca="false">IF(OR(B131="",C131="",B131&lt;=0.05,C131&lt;=0.05),0,1)</f>
        <v>0</v>
      </c>
      <c r="E131" s="25" t="n">
        <f aca="false">IF(OR(A131&lt;Resumen!$B$6,A131&gt;=Resumen!$B$7),0,MAX(0,AVERAGEIFS(B83:B179,D83:D179,1)-Resumen!$B$5*AVERAGEIFS(C83:C179,D83:D179,1)))</f>
        <v>0</v>
      </c>
      <c r="F131" s="10" t="n">
        <f aca="false">IF(B131="","",(B131-E131)/Resumen!$B$5)</f>
        <v>1.75552025416998</v>
      </c>
      <c r="G131" s="10" t="n">
        <f aca="false">IF(OR(F131="",C131=""),0,(F131-C131)*0.9)</f>
        <v>1.57996822875298</v>
      </c>
      <c r="H131" s="26" t="str">
        <f aca="false">IF(A131&lt;Resumen!$B$11,"",IF(H130="",0,H130)+G131/Resumen!$B$9)</f>
        <v/>
      </c>
      <c r="I131" s="26" t="str">
        <f aca="false">IF(H131="","",H131-AVERAGE(H83:H179))</f>
        <v/>
      </c>
      <c r="J131" s="27" t="str">
        <f aca="false">IF(I131="","",Resumen!$B$10-(MAX(I83:I179)-I131))</f>
        <v/>
      </c>
    </row>
    <row r="132" customFormat="false" ht="15" hidden="false" customHeight="false" outlineLevel="0" collapsed="false">
      <c r="A132" s="24" t="n">
        <v>46262.75</v>
      </c>
      <c r="B132" s="10" t="n">
        <v>2.0773</v>
      </c>
      <c r="C132" s="10" t="n">
        <v>0</v>
      </c>
      <c r="D132" s="10" t="n">
        <f aca="false">IF(OR(B132="",C132="",B132&lt;=0.05,C132&lt;=0.05),0,1)</f>
        <v>0</v>
      </c>
      <c r="E132" s="25" t="n">
        <f aca="false">IF(OR(A132&lt;Resumen!$B$6,A132&gt;=Resumen!$B$7),0,MAX(0,AVERAGEIFS(B84:B180,D84:D180,1)-Resumen!$B$5*AVERAGEIFS(C84:C180,D84:D180,1)))</f>
        <v>0</v>
      </c>
      <c r="F132" s="10" t="n">
        <f aca="false">IF(B132="","",(B132-E132)/Resumen!$B$5)</f>
        <v>1.64996028594122</v>
      </c>
      <c r="G132" s="10" t="n">
        <f aca="false">IF(OR(F132="",C132=""),0,(F132-C132)*0.9)</f>
        <v>1.4849642573471</v>
      </c>
      <c r="H132" s="26" t="str">
        <f aca="false">IF(A132&lt;Resumen!$B$11,"",IF(H131="",0,H131)+G132/Resumen!$B$9)</f>
        <v/>
      </c>
      <c r="I132" s="26" t="str">
        <f aca="false">IF(H132="","",H132-AVERAGE(H84:H180))</f>
        <v/>
      </c>
      <c r="J132" s="27" t="str">
        <f aca="false">IF(I132="","",Resumen!$B$10-(MAX(I84:I180)-I132))</f>
        <v/>
      </c>
    </row>
    <row r="133" customFormat="false" ht="15" hidden="false" customHeight="false" outlineLevel="0" collapsed="false">
      <c r="A133" s="24" t="n">
        <v>46262.7604166667</v>
      </c>
      <c r="B133" s="10" t="n">
        <v>2.2083</v>
      </c>
      <c r="C133" s="10" t="n">
        <v>0</v>
      </c>
      <c r="D133" s="10" t="n">
        <f aca="false">IF(OR(B133="",C133="",B133&lt;=0.05,C133&lt;=0.05),0,1)</f>
        <v>0</v>
      </c>
      <c r="E133" s="25" t="n">
        <f aca="false">IF(OR(A133&lt;Resumen!$B$6,A133&gt;=Resumen!$B$7),0,MAX(0,AVERAGEIFS(B85:B181,D85:D181,1)-Resumen!$B$5*AVERAGEIFS(C85:C181,D85:D181,1)))</f>
        <v>0</v>
      </c>
      <c r="F133" s="10" t="n">
        <f aca="false">IF(B133="","",(B133-E133)/Resumen!$B$5)</f>
        <v>1.75401111993646</v>
      </c>
      <c r="G133" s="10" t="n">
        <f aca="false">IF(OR(F133="",C133=""),0,(F133-C133)*0.9)</f>
        <v>1.57861000794281</v>
      </c>
      <c r="H133" s="26" t="str">
        <f aca="false">IF(A133&lt;Resumen!$B$11,"",IF(H132="",0,H132)+G133/Resumen!$B$9)</f>
        <v/>
      </c>
      <c r="I133" s="26" t="str">
        <f aca="false">IF(H133="","",H133-AVERAGE(H85:H181))</f>
        <v/>
      </c>
      <c r="J133" s="27" t="str">
        <f aca="false">IF(I133="","",Resumen!$B$10-(MAX(I85:I181)-I133))</f>
        <v/>
      </c>
    </row>
    <row r="134" customFormat="false" ht="15" hidden="false" customHeight="false" outlineLevel="0" collapsed="false">
      <c r="A134" s="24" t="n">
        <v>46262.7708333333</v>
      </c>
      <c r="B134" s="10" t="n">
        <v>1.6802</v>
      </c>
      <c r="C134" s="10" t="n">
        <v>0</v>
      </c>
      <c r="D134" s="10" t="n">
        <f aca="false">IF(OR(B134="",C134="",B134&lt;=0.05,C134&lt;=0.05),0,1)</f>
        <v>0</v>
      </c>
      <c r="E134" s="25" t="n">
        <f aca="false">IF(OR(A134&lt;Resumen!$B$6,A134&gt;=Resumen!$B$7),0,MAX(0,AVERAGEIFS(B86:B182,D86:D182,1)-Resumen!$B$5*AVERAGEIFS(C86:C182,D86:D182,1)))</f>
        <v>0</v>
      </c>
      <c r="F134" s="10" t="n">
        <f aca="false">IF(B134="","",(B134-E134)/Resumen!$B$5)</f>
        <v>1.33455123113582</v>
      </c>
      <c r="G134" s="10" t="n">
        <f aca="false">IF(OR(F134="",C134=""),0,(F134-C134)*0.9)</f>
        <v>1.20109610802224</v>
      </c>
      <c r="H134" s="26" t="str">
        <f aca="false">IF(A134&lt;Resumen!$B$11,"",IF(H133="",0,H133)+G134/Resumen!$B$9)</f>
        <v/>
      </c>
      <c r="I134" s="26" t="str">
        <f aca="false">IF(H134="","",H134-AVERAGE(H86:H182))</f>
        <v/>
      </c>
      <c r="J134" s="27" t="str">
        <f aca="false">IF(I134="","",Resumen!$B$10-(MAX(I86:I182)-I134))</f>
        <v/>
      </c>
    </row>
    <row r="135" customFormat="false" ht="15" hidden="false" customHeight="false" outlineLevel="0" collapsed="false">
      <c r="A135" s="24" t="n">
        <v>46262.78125</v>
      </c>
      <c r="B135" s="10" t="n">
        <v>3.2215</v>
      </c>
      <c r="C135" s="10" t="n">
        <v>0</v>
      </c>
      <c r="D135" s="10" t="n">
        <f aca="false">IF(OR(B135="",C135="",B135&lt;=0.05,C135&lt;=0.05),0,1)</f>
        <v>0</v>
      </c>
      <c r="E135" s="25" t="n">
        <f aca="false">IF(OR(A135&lt;Resumen!$B$6,A135&gt;=Resumen!$B$7),0,MAX(0,AVERAGEIFS(B87:B183,D87:D183,1)-Resumen!$B$5*AVERAGEIFS(C87:C183,D87:D183,1)))</f>
        <v>0</v>
      </c>
      <c r="F135" s="10" t="n">
        <f aca="false">IF(B135="","",(B135-E135)/Resumen!$B$5)</f>
        <v>2.55877680698967</v>
      </c>
      <c r="G135" s="10" t="n">
        <f aca="false">IF(OR(F135="",C135=""),0,(F135-C135)*0.9)</f>
        <v>2.30289912629071</v>
      </c>
      <c r="H135" s="26" t="str">
        <f aca="false">IF(A135&lt;Resumen!$B$11,"",IF(H134="",0,H134)+G135/Resumen!$B$9)</f>
        <v/>
      </c>
      <c r="I135" s="26" t="str">
        <f aca="false">IF(H135="","",H135-AVERAGE(H87:H183))</f>
        <v/>
      </c>
      <c r="J135" s="27" t="str">
        <f aca="false">IF(I135="","",Resumen!$B$10-(MAX(I87:I183)-I135))</f>
        <v/>
      </c>
    </row>
    <row r="136" customFormat="false" ht="15" hidden="false" customHeight="false" outlineLevel="0" collapsed="false">
      <c r="A136" s="24" t="n">
        <v>46262.7916666667</v>
      </c>
      <c r="B136" s="10" t="n">
        <v>3.1165</v>
      </c>
      <c r="C136" s="10" t="n">
        <v>0</v>
      </c>
      <c r="D136" s="10" t="n">
        <f aca="false">IF(OR(B136="",C136="",B136&lt;=0.05,C136&lt;=0.05),0,1)</f>
        <v>0</v>
      </c>
      <c r="E136" s="25" t="n">
        <f aca="false">IF(OR(A136&lt;Resumen!$B$6,A136&gt;=Resumen!$B$7),0,MAX(0,AVERAGEIFS(B88:B184,D88:D184,1)-Resumen!$B$5*AVERAGEIFS(C88:C184,D88:D184,1)))</f>
        <v>0</v>
      </c>
      <c r="F136" s="10" t="n">
        <f aca="false">IF(B136="","",(B136-E136)/Resumen!$B$5)</f>
        <v>2.47537728355838</v>
      </c>
      <c r="G136" s="10" t="n">
        <f aca="false">IF(OR(F136="",C136=""),0,(F136-C136)*0.9)</f>
        <v>2.22783955520254</v>
      </c>
      <c r="H136" s="26" t="str">
        <f aca="false">IF(A136&lt;Resumen!$B$11,"",IF(H135="",0,H135)+G136/Resumen!$B$9)</f>
        <v/>
      </c>
      <c r="I136" s="26" t="str">
        <f aca="false">IF(H136="","",H136-AVERAGE(H88:H184))</f>
        <v/>
      </c>
      <c r="J136" s="27" t="str">
        <f aca="false">IF(I136="","",Resumen!$B$10-(MAX(I88:I184)-I136))</f>
        <v/>
      </c>
    </row>
    <row r="137" customFormat="false" ht="15" hidden="false" customHeight="false" outlineLevel="0" collapsed="false">
      <c r="A137" s="24" t="n">
        <v>46262.8020833333</v>
      </c>
      <c r="B137" s="10" t="n">
        <v>3.2435</v>
      </c>
      <c r="C137" s="10" t="n">
        <v>0</v>
      </c>
      <c r="D137" s="10" t="n">
        <f aca="false">IF(OR(B137="",C137="",B137&lt;=0.05,C137&lt;=0.05),0,1)</f>
        <v>0</v>
      </c>
      <c r="E137" s="25" t="n">
        <f aca="false">IF(OR(A137&lt;Resumen!$B$6,A137&gt;=Resumen!$B$7),0,MAX(0,AVERAGEIFS(B89:B185,D89:D185,1)-Resumen!$B$5*AVERAGEIFS(C89:C185,D89:D185,1)))</f>
        <v>0</v>
      </c>
      <c r="F137" s="10" t="n">
        <f aca="false">IF(B137="","",(B137-E137)/Resumen!$B$5)</f>
        <v>2.57625099285147</v>
      </c>
      <c r="G137" s="10" t="n">
        <f aca="false">IF(OR(F137="",C137=""),0,(F137-C137)*0.9)</f>
        <v>2.31862589356632</v>
      </c>
      <c r="H137" s="26" t="str">
        <f aca="false">IF(A137&lt;Resumen!$B$11,"",IF(H136="",0,H136)+G137/Resumen!$B$9)</f>
        <v/>
      </c>
      <c r="I137" s="26" t="str">
        <f aca="false">IF(H137="","",H137-AVERAGE(H89:H185))</f>
        <v/>
      </c>
      <c r="J137" s="27" t="str">
        <f aca="false">IF(I137="","",Resumen!$B$10-(MAX(I89:I185)-I137))</f>
        <v/>
      </c>
    </row>
    <row r="138" customFormat="false" ht="15" hidden="false" customHeight="false" outlineLevel="0" collapsed="false">
      <c r="A138" s="24" t="n">
        <v>46262.8125</v>
      </c>
      <c r="B138" s="10" t="n">
        <v>1.642</v>
      </c>
      <c r="C138" s="10" t="n">
        <v>0</v>
      </c>
      <c r="D138" s="10" t="n">
        <f aca="false">IF(OR(B138="",C138="",B138&lt;=0.05,C138&lt;=0.05),0,1)</f>
        <v>0</v>
      </c>
      <c r="E138" s="25" t="n">
        <f aca="false">IF(OR(A138&lt;Resumen!$B$6,A138&gt;=Resumen!$B$7),0,MAX(0,AVERAGEIFS(B90:B186,D90:D186,1)-Resumen!$B$5*AVERAGEIFS(C90:C186,D90:D186,1)))</f>
        <v>0</v>
      </c>
      <c r="F138" s="10" t="n">
        <f aca="false">IF(B138="","",(B138-E138)/Resumen!$B$5)</f>
        <v>1.30420969023034</v>
      </c>
      <c r="G138" s="10" t="n">
        <f aca="false">IF(OR(F138="",C138=""),0,(F138-C138)*0.9)</f>
        <v>1.17378872120731</v>
      </c>
      <c r="H138" s="26" t="str">
        <f aca="false">IF(A138&lt;Resumen!$B$11,"",IF(H137="",0,H137)+G138/Resumen!$B$9)</f>
        <v/>
      </c>
      <c r="I138" s="26" t="str">
        <f aca="false">IF(H138="","",H138-AVERAGE(H90:H186))</f>
        <v/>
      </c>
      <c r="J138" s="27" t="str">
        <f aca="false">IF(I138="","",Resumen!$B$10-(MAX(I90:I186)-I138))</f>
        <v/>
      </c>
    </row>
    <row r="139" customFormat="false" ht="15" hidden="false" customHeight="false" outlineLevel="0" collapsed="false">
      <c r="A139" s="24" t="n">
        <v>46262.8229166667</v>
      </c>
      <c r="B139" s="10" t="n">
        <v>3.1459</v>
      </c>
      <c r="C139" s="10" t="n">
        <v>0</v>
      </c>
      <c r="D139" s="10" t="n">
        <f aca="false">IF(OR(B139="",C139="",B139&lt;=0.05,C139&lt;=0.05),0,1)</f>
        <v>0</v>
      </c>
      <c r="E139" s="25" t="n">
        <f aca="false">IF(OR(A139&lt;Resumen!$B$6,A139&gt;=Resumen!$B$7),0,MAX(0,AVERAGEIFS(B91:B187,D91:D187,1)-Resumen!$B$5*AVERAGEIFS(C91:C187,D91:D187,1)))</f>
        <v>0</v>
      </c>
      <c r="F139" s="10" t="n">
        <f aca="false">IF(B139="","",(B139-E139)/Resumen!$B$5)</f>
        <v>2.49872915011914</v>
      </c>
      <c r="G139" s="10" t="n">
        <f aca="false">IF(OR(F139="",C139=""),0,(F139-C139)*0.9)</f>
        <v>2.24885623510723</v>
      </c>
      <c r="H139" s="26" t="str">
        <f aca="false">IF(A139&lt;Resumen!$B$11,"",IF(H138="",0,H138)+G139/Resumen!$B$9)</f>
        <v/>
      </c>
      <c r="I139" s="26" t="str">
        <f aca="false">IF(H139="","",H139-AVERAGE(H91:H187))</f>
        <v/>
      </c>
      <c r="J139" s="27" t="str">
        <f aca="false">IF(I139="","",Resumen!$B$10-(MAX(I91:I187)-I139))</f>
        <v/>
      </c>
    </row>
    <row r="140" customFormat="false" ht="15" hidden="false" customHeight="false" outlineLevel="0" collapsed="false">
      <c r="A140" s="24" t="n">
        <v>46262.8333333333</v>
      </c>
      <c r="B140" s="10" t="n">
        <v>1.7537</v>
      </c>
      <c r="C140" s="10" t="n">
        <v>0</v>
      </c>
      <c r="D140" s="10" t="n">
        <f aca="false">IF(OR(B140="",C140="",B140&lt;=0.05,C140&lt;=0.05),0,1)</f>
        <v>0</v>
      </c>
      <c r="E140" s="25" t="n">
        <f aca="false">IF(OR(A140&lt;Resumen!$B$6,A140&gt;=Resumen!$B$7),0,MAX(0,AVERAGEIFS(B92:B188,D92:D188,1)-Resumen!$B$5*AVERAGEIFS(C92:C188,D92:D188,1)))</f>
        <v>0</v>
      </c>
      <c r="F140" s="10" t="n">
        <f aca="false">IF(B140="","",(B140-E140)/Resumen!$B$5)</f>
        <v>1.39293089753773</v>
      </c>
      <c r="G140" s="10" t="n">
        <f aca="false">IF(OR(F140="",C140=""),0,(F140-C140)*0.9)</f>
        <v>1.25363780778396</v>
      </c>
      <c r="H140" s="26" t="str">
        <f aca="false">IF(A140&lt;Resumen!$B$11,"",IF(H139="",0,H139)+G140/Resumen!$B$9)</f>
        <v/>
      </c>
      <c r="I140" s="26" t="str">
        <f aca="false">IF(H140="","",H140-AVERAGE(H92:H188))</f>
        <v/>
      </c>
      <c r="J140" s="27" t="str">
        <f aca="false">IF(I140="","",Resumen!$B$10-(MAX(I92:I188)-I140))</f>
        <v/>
      </c>
    </row>
    <row r="141" customFormat="false" ht="15" hidden="false" customHeight="false" outlineLevel="0" collapsed="false">
      <c r="A141" s="24" t="n">
        <v>46262.84375</v>
      </c>
      <c r="B141" s="10" t="n">
        <v>1.4715</v>
      </c>
      <c r="C141" s="10" t="n">
        <v>0</v>
      </c>
      <c r="D141" s="10" t="n">
        <f aca="false">IF(OR(B141="",C141="",B141&lt;=0.05,C141&lt;=0.05),0,1)</f>
        <v>0</v>
      </c>
      <c r="E141" s="25" t="n">
        <f aca="false">IF(OR(A141&lt;Resumen!$B$6,A141&gt;=Resumen!$B$7),0,MAX(0,AVERAGEIFS(B93:B189,D93:D189,1)-Resumen!$B$5*AVERAGEIFS(C93:C189,D93:D189,1)))</f>
        <v>0</v>
      </c>
      <c r="F141" s="10" t="n">
        <f aca="false">IF(B141="","",(B141-E141)/Resumen!$B$5)</f>
        <v>1.16878474980143</v>
      </c>
      <c r="G141" s="10" t="n">
        <f aca="false">IF(OR(F141="",C141=""),0,(F141-C141)*0.9)</f>
        <v>1.05190627482129</v>
      </c>
      <c r="H141" s="26" t="str">
        <f aca="false">IF(A141&lt;Resumen!$B$11,"",IF(H140="",0,H140)+G141/Resumen!$B$9)</f>
        <v/>
      </c>
      <c r="I141" s="26" t="str">
        <f aca="false">IF(H141="","",H141-AVERAGE(H93:H189))</f>
        <v/>
      </c>
      <c r="J141" s="27" t="str">
        <f aca="false">IF(I141="","",Resumen!$B$10-(MAX(I93:I189)-I141))</f>
        <v/>
      </c>
    </row>
    <row r="142" customFormat="false" ht="15" hidden="false" customHeight="false" outlineLevel="0" collapsed="false">
      <c r="A142" s="24" t="n">
        <v>46262.8541666667</v>
      </c>
      <c r="B142" s="10" t="n">
        <v>2.6964</v>
      </c>
      <c r="C142" s="10" t="n">
        <v>0</v>
      </c>
      <c r="D142" s="10" t="n">
        <f aca="false">IF(OR(B142="",C142="",B142&lt;=0.05,C142&lt;=0.05),0,1)</f>
        <v>0</v>
      </c>
      <c r="E142" s="25" t="n">
        <f aca="false">IF(OR(A142&lt;Resumen!$B$6,A142&gt;=Resumen!$B$7),0,MAX(0,AVERAGEIFS(B94:B190,D94:D190,1)-Resumen!$B$5*AVERAGEIFS(C94:C190,D94:D190,1)))</f>
        <v>0</v>
      </c>
      <c r="F142" s="10" t="n">
        <f aca="false">IF(B142="","",(B142-E142)/Resumen!$B$5)</f>
        <v>2.14169976171565</v>
      </c>
      <c r="G142" s="10" t="n">
        <f aca="false">IF(OR(F142="",C142=""),0,(F142-C142)*0.9)</f>
        <v>1.92752978554408</v>
      </c>
      <c r="H142" s="26" t="str">
        <f aca="false">IF(A142&lt;Resumen!$B$11,"",IF(H141="",0,H141)+G142/Resumen!$B$9)</f>
        <v/>
      </c>
      <c r="I142" s="26" t="str">
        <f aca="false">IF(H142="","",H142-AVERAGE(H94:H190))</f>
        <v/>
      </c>
      <c r="J142" s="27" t="str">
        <f aca="false">IF(I142="","",Resumen!$B$10-(MAX(I94:I190)-I142))</f>
        <v/>
      </c>
    </row>
    <row r="143" customFormat="false" ht="15" hidden="false" customHeight="false" outlineLevel="0" collapsed="false">
      <c r="A143" s="24" t="n">
        <v>46262.8645833333</v>
      </c>
      <c r="B143" s="10" t="n">
        <v>1.9687</v>
      </c>
      <c r="C143" s="10" t="n">
        <v>0</v>
      </c>
      <c r="D143" s="10" t="n">
        <f aca="false">IF(OR(B143="",C143="",B143&lt;=0.05,C143&lt;=0.05),0,1)</f>
        <v>0</v>
      </c>
      <c r="E143" s="25" t="n">
        <f aca="false">IF(OR(A143&lt;Resumen!$B$6,A143&gt;=Resumen!$B$7),0,MAX(0,AVERAGEIFS(B95:B191,D95:D191,1)-Resumen!$B$5*AVERAGEIFS(C95:C191,D95:D191,1)))</f>
        <v>0</v>
      </c>
      <c r="F143" s="10" t="n">
        <f aca="false">IF(B143="","",(B143-E143)/Resumen!$B$5)</f>
        <v>1.563701350278</v>
      </c>
      <c r="G143" s="10" t="n">
        <f aca="false">IF(OR(F143="",C143=""),0,(F143-C143)*0.9)</f>
        <v>1.4073312152502</v>
      </c>
      <c r="H143" s="26" t="str">
        <f aca="false">IF(A143&lt;Resumen!$B$11,"",IF(H142="",0,H142)+G143/Resumen!$B$9)</f>
        <v/>
      </c>
      <c r="I143" s="26" t="str">
        <f aca="false">IF(H143="","",H143-AVERAGE(H95:H191))</f>
        <v/>
      </c>
      <c r="J143" s="27" t="str">
        <f aca="false">IF(I143="","",Resumen!$B$10-(MAX(I95:I191)-I143))</f>
        <v/>
      </c>
    </row>
    <row r="144" customFormat="false" ht="15" hidden="false" customHeight="false" outlineLevel="0" collapsed="false">
      <c r="A144" s="24" t="n">
        <v>46262.875</v>
      </c>
      <c r="B144" s="10" t="n">
        <v>3.0929</v>
      </c>
      <c r="C144" s="10" t="n">
        <v>0</v>
      </c>
      <c r="D144" s="10" t="n">
        <f aca="false">IF(OR(B144="",C144="",B144&lt;=0.05,C144&lt;=0.05),0,1)</f>
        <v>0</v>
      </c>
      <c r="E144" s="25" t="n">
        <f aca="false">IF(OR(A144&lt;Resumen!$B$6,A144&gt;=Resumen!$B$7),0,MAX(0,AVERAGEIFS(B96:B192,D96:D192,1)-Resumen!$B$5*AVERAGEIFS(C96:C192,D96:D192,1)))</f>
        <v>0</v>
      </c>
      <c r="F144" s="10" t="n">
        <f aca="false">IF(B144="","",(B144-E144)/Resumen!$B$5)</f>
        <v>2.45663224781573</v>
      </c>
      <c r="G144" s="10" t="n">
        <f aca="false">IF(OR(F144="",C144=""),0,(F144-C144)*0.9)</f>
        <v>2.21096902303415</v>
      </c>
      <c r="H144" s="26" t="str">
        <f aca="false">IF(A144&lt;Resumen!$B$11,"",IF(H143="",0,H143)+G144/Resumen!$B$9)</f>
        <v/>
      </c>
      <c r="I144" s="26" t="str">
        <f aca="false">IF(H144="","",H144-AVERAGE(H96:H192))</f>
        <v/>
      </c>
      <c r="J144" s="27" t="str">
        <f aca="false">IF(I144="","",Resumen!$B$10-(MAX(I96:I192)-I144))</f>
        <v/>
      </c>
    </row>
    <row r="145" customFormat="false" ht="15" hidden="false" customHeight="false" outlineLevel="0" collapsed="false">
      <c r="A145" s="24" t="n">
        <v>46262.8854166667</v>
      </c>
      <c r="B145" s="10" t="n">
        <v>2.1166</v>
      </c>
      <c r="C145" s="10" t="n">
        <v>0</v>
      </c>
      <c r="D145" s="10" t="n">
        <f aca="false">IF(OR(B145="",C145="",B145&lt;=0.05,C145&lt;=0.05),0,1)</f>
        <v>0</v>
      </c>
      <c r="E145" s="25" t="n">
        <f aca="false">IF(OR(A145&lt;Resumen!$B$6,A145&gt;=Resumen!$B$7),0,MAX(0,AVERAGEIFS(B97:B193,D97:D193,1)-Resumen!$B$5*AVERAGEIFS(C97:C193,D97:D193,1)))</f>
        <v>0</v>
      </c>
      <c r="F145" s="10" t="n">
        <f aca="false">IF(B145="","",(B145-E145)/Resumen!$B$5)</f>
        <v>1.68117553613979</v>
      </c>
      <c r="G145" s="10" t="n">
        <f aca="false">IF(OR(F145="",C145=""),0,(F145-C145)*0.9)</f>
        <v>1.51305798252581</v>
      </c>
      <c r="H145" s="26" t="str">
        <f aca="false">IF(A145&lt;Resumen!$B$11,"",IF(H144="",0,H144)+G145/Resumen!$B$9)</f>
        <v/>
      </c>
      <c r="I145" s="26" t="str">
        <f aca="false">IF(H145="","",H145-AVERAGE(H97:H193))</f>
        <v/>
      </c>
      <c r="J145" s="27" t="str">
        <f aca="false">IF(I145="","",Resumen!$B$10-(MAX(I97:I193)-I145))</f>
        <v/>
      </c>
    </row>
    <row r="146" customFormat="false" ht="15" hidden="false" customHeight="false" outlineLevel="0" collapsed="false">
      <c r="A146" s="24" t="n">
        <v>46262.8958333333</v>
      </c>
      <c r="B146" s="10" t="n">
        <v>3.1969</v>
      </c>
      <c r="C146" s="10" t="n">
        <v>0</v>
      </c>
      <c r="D146" s="10" t="n">
        <f aca="false">IF(OR(B146="",C146="",B146&lt;=0.05,C146&lt;=0.05),0,1)</f>
        <v>0</v>
      </c>
      <c r="E146" s="25" t="n">
        <f aca="false">IF(OR(A146&lt;Resumen!$B$6,A146&gt;=Resumen!$B$7),0,MAX(0,AVERAGEIFS(B98:B194,D98:D194,1)-Resumen!$B$5*AVERAGEIFS(C98:C194,D98:D194,1)))</f>
        <v>0</v>
      </c>
      <c r="F146" s="10" t="n">
        <f aca="false">IF(B146="","",(B146-E146)/Resumen!$B$5)</f>
        <v>2.53923749007149</v>
      </c>
      <c r="G146" s="10" t="n">
        <f aca="false">IF(OR(F146="",C146=""),0,(F146-C146)*0.9)</f>
        <v>2.28531374106434</v>
      </c>
      <c r="H146" s="26" t="str">
        <f aca="false">IF(A146&lt;Resumen!$B$11,"",IF(H145="",0,H145)+G146/Resumen!$B$9)</f>
        <v/>
      </c>
      <c r="I146" s="26" t="str">
        <f aca="false">IF(H146="","",H146-AVERAGE(H98:H194))</f>
        <v/>
      </c>
      <c r="J146" s="27" t="str">
        <f aca="false">IF(I146="","",Resumen!$B$10-(MAX(I98:I194)-I146))</f>
        <v/>
      </c>
    </row>
    <row r="147" customFormat="false" ht="15" hidden="false" customHeight="false" outlineLevel="0" collapsed="false">
      <c r="A147" s="24" t="n">
        <v>46262.90625</v>
      </c>
      <c r="B147" s="10" t="n">
        <v>1.6996</v>
      </c>
      <c r="C147" s="10" t="n">
        <v>0</v>
      </c>
      <c r="D147" s="10" t="n">
        <f aca="false">IF(OR(B147="",C147="",B147&lt;=0.05,C147&lt;=0.05),0,1)</f>
        <v>0</v>
      </c>
      <c r="E147" s="25" t="n">
        <f aca="false">IF(OR(A147&lt;Resumen!$B$6,A147&gt;=Resumen!$B$7),0,MAX(0,AVERAGEIFS(B99:B195,D99:D195,1)-Resumen!$B$5*AVERAGEIFS(C99:C195,D99:D195,1)))</f>
        <v>0</v>
      </c>
      <c r="F147" s="10" t="n">
        <f aca="false">IF(B147="","",(B147-E147)/Resumen!$B$5)</f>
        <v>1.34996028594122</v>
      </c>
      <c r="G147" s="10" t="n">
        <f aca="false">IF(OR(F147="",C147=""),0,(F147-C147)*0.9)</f>
        <v>1.2149642573471</v>
      </c>
      <c r="H147" s="26" t="str">
        <f aca="false">IF(A147&lt;Resumen!$B$11,"",IF(H146="",0,H146)+G147/Resumen!$B$9)</f>
        <v/>
      </c>
      <c r="I147" s="26" t="str">
        <f aca="false">IF(H147="","",H147-AVERAGE(H99:H195))</f>
        <v/>
      </c>
      <c r="J147" s="27" t="str">
        <f aca="false">IF(I147="","",Resumen!$B$10-(MAX(I99:I195)-I147))</f>
        <v/>
      </c>
    </row>
    <row r="148" customFormat="false" ht="15" hidden="false" customHeight="false" outlineLevel="0" collapsed="false">
      <c r="A148" s="24" t="n">
        <v>46262.9166666667</v>
      </c>
      <c r="B148" s="10" t="n">
        <v>2.4118</v>
      </c>
      <c r="C148" s="10" t="n">
        <v>0</v>
      </c>
      <c r="D148" s="10" t="n">
        <f aca="false">IF(OR(B148="",C148="",B148&lt;=0.05,C148&lt;=0.05),0,1)</f>
        <v>0</v>
      </c>
      <c r="E148" s="25" t="n">
        <f aca="false">IF(OR(A148&lt;Resumen!$B$6,A148&gt;=Resumen!$B$7),0,MAX(0,AVERAGEIFS(B100:B196,D100:D196,1)-Resumen!$B$5*AVERAGEIFS(C100:C196,D100:D196,1)))</f>
        <v>0</v>
      </c>
      <c r="F148" s="10" t="n">
        <f aca="false">IF(B148="","",(B148-E148)/Resumen!$B$5)</f>
        <v>1.91564733915806</v>
      </c>
      <c r="G148" s="10" t="n">
        <f aca="false">IF(OR(F148="",C148=""),0,(F148-C148)*0.9)</f>
        <v>1.72408260524226</v>
      </c>
      <c r="H148" s="26" t="str">
        <f aca="false">IF(A148&lt;Resumen!$B$11,"",IF(H147="",0,H147)+G148/Resumen!$B$9)</f>
        <v/>
      </c>
      <c r="I148" s="26" t="str">
        <f aca="false">IF(H148="","",H148-AVERAGE(H100:H196))</f>
        <v/>
      </c>
      <c r="J148" s="27" t="str">
        <f aca="false">IF(I148="","",Resumen!$B$10-(MAX(I100:I196)-I148))</f>
        <v/>
      </c>
    </row>
    <row r="149" customFormat="false" ht="15" hidden="false" customHeight="false" outlineLevel="0" collapsed="false">
      <c r="A149" s="24" t="n">
        <v>46262.9270833333</v>
      </c>
      <c r="B149" s="10" t="n">
        <v>2.7801</v>
      </c>
      <c r="C149" s="10" t="n">
        <v>0</v>
      </c>
      <c r="D149" s="10" t="n">
        <f aca="false">IF(OR(B149="",C149="",B149&lt;=0.05,C149&lt;=0.05),0,1)</f>
        <v>0</v>
      </c>
      <c r="E149" s="25" t="n">
        <f aca="false">IF(OR(A149&lt;Resumen!$B$6,A149&gt;=Resumen!$B$7),0,MAX(0,AVERAGEIFS(B101:B197,D101:D197,1)-Resumen!$B$5*AVERAGEIFS(C101:C197,D101:D197,1)))</f>
        <v>0</v>
      </c>
      <c r="F149" s="10" t="n">
        <f aca="false">IF(B149="","",(B149-E149)/Resumen!$B$5)</f>
        <v>2.20818109610802</v>
      </c>
      <c r="G149" s="10" t="n">
        <f aca="false">IF(OR(F149="",C149=""),0,(F149-C149)*0.9)</f>
        <v>1.98736298649722</v>
      </c>
      <c r="H149" s="26" t="str">
        <f aca="false">IF(A149&lt;Resumen!$B$11,"",IF(H148="",0,H148)+G149/Resumen!$B$9)</f>
        <v/>
      </c>
      <c r="I149" s="26" t="str">
        <f aca="false">IF(H149="","",H149-AVERAGE(H101:H197))</f>
        <v/>
      </c>
      <c r="J149" s="27" t="str">
        <f aca="false">IF(I149="","",Resumen!$B$10-(MAX(I101:I197)-I149))</f>
        <v/>
      </c>
    </row>
    <row r="150" customFormat="false" ht="15" hidden="false" customHeight="false" outlineLevel="0" collapsed="false">
      <c r="A150" s="24" t="n">
        <v>46262.9375</v>
      </c>
      <c r="B150" s="10" t="n">
        <v>1.4417</v>
      </c>
      <c r="C150" s="10" t="n">
        <v>0</v>
      </c>
      <c r="D150" s="10" t="n">
        <f aca="false">IF(OR(B150="",C150="",B150&lt;=0.05,C150&lt;=0.05),0,1)</f>
        <v>0</v>
      </c>
      <c r="E150" s="25" t="n">
        <f aca="false">IF(OR(A150&lt;Resumen!$B$6,A150&gt;=Resumen!$B$7),0,MAX(0,AVERAGEIFS(B102:B198,D102:D198,1)-Resumen!$B$5*AVERAGEIFS(C102:C198,D102:D198,1)))</f>
        <v>0</v>
      </c>
      <c r="F150" s="10" t="n">
        <f aca="false">IF(B150="","",(B150-E150)/Resumen!$B$5)</f>
        <v>1.14511517077045</v>
      </c>
      <c r="G150" s="10" t="n">
        <f aca="false">IF(OR(F150="",C150=""),0,(F150-C150)*0.9)</f>
        <v>1.03060365369341</v>
      </c>
      <c r="H150" s="26" t="str">
        <f aca="false">IF(A150&lt;Resumen!$B$11,"",IF(H149="",0,H149)+G150/Resumen!$B$9)</f>
        <v/>
      </c>
      <c r="I150" s="26" t="str">
        <f aca="false">IF(H150="","",H150-AVERAGE(H102:H198))</f>
        <v/>
      </c>
      <c r="J150" s="27" t="str">
        <f aca="false">IF(I150="","",Resumen!$B$10-(MAX(I102:I198)-I150))</f>
        <v/>
      </c>
    </row>
    <row r="151" customFormat="false" ht="15" hidden="false" customHeight="false" outlineLevel="0" collapsed="false">
      <c r="A151" s="24" t="n">
        <v>46262.9479166667</v>
      </c>
      <c r="B151" s="10" t="n">
        <v>1.4984</v>
      </c>
      <c r="C151" s="10" t="n">
        <v>0</v>
      </c>
      <c r="D151" s="10" t="n">
        <f aca="false">IF(OR(B151="",C151="",B151&lt;=0.05,C151&lt;=0.05),0,1)</f>
        <v>0</v>
      </c>
      <c r="E151" s="25" t="n">
        <f aca="false">IF(OR(A151&lt;Resumen!$B$6,A151&gt;=Resumen!$B$7),0,MAX(0,AVERAGEIFS(B103:B199,D103:D199,1)-Resumen!$B$5*AVERAGEIFS(C103:C199,D103:D199,1)))</f>
        <v>0</v>
      </c>
      <c r="F151" s="10" t="n">
        <f aca="false">IF(B151="","",(B151-E151)/Resumen!$B$5)</f>
        <v>1.19015091342335</v>
      </c>
      <c r="G151" s="10" t="n">
        <f aca="false">IF(OR(F151="",C151=""),0,(F151-C151)*0.9)</f>
        <v>1.07113582208102</v>
      </c>
      <c r="H151" s="26" t="str">
        <f aca="false">IF(A151&lt;Resumen!$B$11,"",IF(H150="",0,H150)+G151/Resumen!$B$9)</f>
        <v/>
      </c>
      <c r="I151" s="26" t="str">
        <f aca="false">IF(H151="","",H151-AVERAGE(H103:H199))</f>
        <v/>
      </c>
      <c r="J151" s="27" t="str">
        <f aca="false">IF(I151="","",Resumen!$B$10-(MAX(I103:I199)-I151))</f>
        <v/>
      </c>
    </row>
    <row r="152" customFormat="false" ht="15" hidden="false" customHeight="false" outlineLevel="0" collapsed="false">
      <c r="A152" s="24" t="n">
        <v>46262.9583333333</v>
      </c>
      <c r="B152" s="10" t="n">
        <v>1.534</v>
      </c>
      <c r="C152" s="10" t="n">
        <v>0</v>
      </c>
      <c r="D152" s="10" t="n">
        <f aca="false">IF(OR(B152="",C152="",B152&lt;=0.05,C152&lt;=0.05),0,1)</f>
        <v>0</v>
      </c>
      <c r="E152" s="25" t="n">
        <f aca="false">IF(OR(A152&lt;Resumen!$B$6,A152&gt;=Resumen!$B$7),0,MAX(0,AVERAGEIFS(B104:B200,D104:D200,1)-Resumen!$B$5*AVERAGEIFS(C104:C200,D104:D200,1)))</f>
        <v>0</v>
      </c>
      <c r="F152" s="10" t="n">
        <f aca="false">IF(B152="","",(B152-E152)/Resumen!$B$5)</f>
        <v>1.21842732327244</v>
      </c>
      <c r="G152" s="10" t="n">
        <f aca="false">IF(OR(F152="",C152=""),0,(F152-C152)*0.9)</f>
        <v>1.09658459094519</v>
      </c>
      <c r="H152" s="26" t="str">
        <f aca="false">IF(A152&lt;Resumen!$B$11,"",IF(H151="",0,H151)+G152/Resumen!$B$9)</f>
        <v/>
      </c>
      <c r="I152" s="26" t="str">
        <f aca="false">IF(H152="","",H152-AVERAGE(H104:H200))</f>
        <v/>
      </c>
      <c r="J152" s="27" t="str">
        <f aca="false">IF(I152="","",Resumen!$B$10-(MAX(I104:I200)-I152))</f>
        <v/>
      </c>
    </row>
    <row r="153" customFormat="false" ht="15" hidden="false" customHeight="false" outlineLevel="0" collapsed="false">
      <c r="A153" s="24" t="n">
        <v>46262.96875</v>
      </c>
      <c r="B153" s="10" t="n">
        <v>3.4807</v>
      </c>
      <c r="C153" s="10" t="n">
        <v>0</v>
      </c>
      <c r="D153" s="10" t="n">
        <f aca="false">IF(OR(B153="",C153="",B153&lt;=0.05,C153&lt;=0.05),0,1)</f>
        <v>0</v>
      </c>
      <c r="E153" s="25" t="n">
        <f aca="false">IF(OR(A153&lt;Resumen!$B$6,A153&gt;=Resumen!$B$7),0,MAX(0,AVERAGEIFS(B105:B201,D105:D201,1)-Resumen!$B$5*AVERAGEIFS(C105:C201,D105:D201,1)))</f>
        <v>0</v>
      </c>
      <c r="F153" s="10" t="n">
        <f aca="false">IF(B153="","",(B153-E153)/Resumen!$B$5)</f>
        <v>2.76465448768864</v>
      </c>
      <c r="G153" s="10" t="n">
        <f aca="false">IF(OR(F153="",C153=""),0,(F153-C153)*0.9)</f>
        <v>2.48818903891978</v>
      </c>
      <c r="H153" s="26" t="str">
        <f aca="false">IF(A153&lt;Resumen!$B$11,"",IF(H152="",0,H152)+G153/Resumen!$B$9)</f>
        <v/>
      </c>
      <c r="I153" s="26" t="str">
        <f aca="false">IF(H153="","",H153-AVERAGE(H105:H201))</f>
        <v/>
      </c>
      <c r="J153" s="27" t="str">
        <f aca="false">IF(I153="","",Resumen!$B$10-(MAX(I105:I201)-I153))</f>
        <v/>
      </c>
    </row>
    <row r="154" customFormat="false" ht="15" hidden="false" customHeight="false" outlineLevel="0" collapsed="false">
      <c r="A154" s="24" t="n">
        <v>46262.9791666667</v>
      </c>
      <c r="B154" s="10" t="n">
        <v>2.4857</v>
      </c>
      <c r="C154" s="10" t="n">
        <v>0</v>
      </c>
      <c r="D154" s="10" t="n">
        <f aca="false">IF(OR(B154="",C154="",B154&lt;=0.05,C154&lt;=0.05),0,1)</f>
        <v>0</v>
      </c>
      <c r="E154" s="25" t="n">
        <f aca="false">IF(OR(A154&lt;Resumen!$B$6,A154&gt;=Resumen!$B$7),0,MAX(0,AVERAGEIFS(B106:B202,D106:D202,1)-Resumen!$B$5*AVERAGEIFS(C106:C202,D106:D202,1)))</f>
        <v>0</v>
      </c>
      <c r="F154" s="10" t="n">
        <f aca="false">IF(B154="","",(B154-E154)/Resumen!$B$5)</f>
        <v>1.97434471803018</v>
      </c>
      <c r="G154" s="10" t="n">
        <f aca="false">IF(OR(F154="",C154=""),0,(F154-C154)*0.9)</f>
        <v>1.77691024622716</v>
      </c>
      <c r="H154" s="26" t="str">
        <f aca="false">IF(A154&lt;Resumen!$B$11,"",IF(H153="",0,H153)+G154/Resumen!$B$9)</f>
        <v/>
      </c>
      <c r="I154" s="26" t="str">
        <f aca="false">IF(H154="","",H154-AVERAGE(H106:H202))</f>
        <v/>
      </c>
      <c r="J154" s="27" t="str">
        <f aca="false">IF(I154="","",Resumen!$B$10-(MAX(I106:I202)-I154))</f>
        <v/>
      </c>
    </row>
    <row r="155" customFormat="false" ht="15" hidden="false" customHeight="false" outlineLevel="0" collapsed="false">
      <c r="A155" s="24" t="n">
        <v>46262.9895833333</v>
      </c>
      <c r="B155" s="10" t="n">
        <v>2.2267</v>
      </c>
      <c r="C155" s="10" t="n">
        <v>0</v>
      </c>
      <c r="D155" s="10" t="n">
        <f aca="false">IF(OR(B155="",C155="",B155&lt;=0.05,C155&lt;=0.05),0,1)</f>
        <v>0</v>
      </c>
      <c r="E155" s="25" t="n">
        <f aca="false">IF(OR(A155&lt;Resumen!$B$6,A155&gt;=Resumen!$B$7),0,MAX(0,AVERAGEIFS(B107:B203,D107:D203,1)-Resumen!$B$5*AVERAGEIFS(C107:C203,D107:D203,1)))</f>
        <v>0</v>
      </c>
      <c r="F155" s="10" t="n">
        <f aca="false">IF(B155="","",(B155-E155)/Resumen!$B$5)</f>
        <v>1.76862589356632</v>
      </c>
      <c r="G155" s="10" t="n">
        <f aca="false">IF(OR(F155="",C155=""),0,(F155-C155)*0.9)</f>
        <v>1.59176330420969</v>
      </c>
      <c r="H155" s="26" t="str">
        <f aca="false">IF(A155&lt;Resumen!$B$11,"",IF(H154="",0,H154)+G155/Resumen!$B$9)</f>
        <v/>
      </c>
      <c r="I155" s="26" t="str">
        <f aca="false">IF(H155="","",H155-AVERAGE(H107:H203))</f>
        <v/>
      </c>
      <c r="J155" s="27" t="str">
        <f aca="false">IF(I155="","",Resumen!$B$10-(MAX(I107:I203)-I155))</f>
        <v/>
      </c>
    </row>
    <row r="156" customFormat="false" ht="15" hidden="false" customHeight="false" outlineLevel="0" collapsed="false">
      <c r="A156" s="24" t="n">
        <v>46263</v>
      </c>
      <c r="B156" s="10" t="n">
        <v>1.4873</v>
      </c>
      <c r="C156" s="10" t="n">
        <v>0</v>
      </c>
      <c r="D156" s="10" t="n">
        <f aca="false">IF(OR(B156="",C156="",B156&lt;=0.05,C156&lt;=0.05),0,1)</f>
        <v>0</v>
      </c>
      <c r="E156" s="25" t="n">
        <f aca="false">IF(OR(A156&lt;Resumen!$B$6,A156&gt;=Resumen!$B$7),0,MAX(0,AVERAGEIFS(B108:B204,D108:D204,1)-Resumen!$B$5*AVERAGEIFS(C108:C204,D108:D204,1)))</f>
        <v>0</v>
      </c>
      <c r="F156" s="10" t="n">
        <f aca="false">IF(B156="","",(B156-E156)/Resumen!$B$5)</f>
        <v>1.1813343923749</v>
      </c>
      <c r="G156" s="10" t="n">
        <f aca="false">IF(OR(F156="",C156=""),0,(F156-C156)*0.9)</f>
        <v>1.06320095313741</v>
      </c>
      <c r="H156" s="26" t="str">
        <f aca="false">IF(A156&lt;Resumen!$B$11,"",IF(H155="",0,H155)+G156/Resumen!$B$9)</f>
        <v/>
      </c>
      <c r="I156" s="26" t="str">
        <f aca="false">IF(H156="","",H156-AVERAGE(H108:H204))</f>
        <v/>
      </c>
      <c r="J156" s="27" t="str">
        <f aca="false">IF(I156="","",Resumen!$B$10-(MAX(I108:I204)-I156))</f>
        <v/>
      </c>
    </row>
    <row r="157" customFormat="false" ht="15" hidden="false" customHeight="false" outlineLevel="0" collapsed="false">
      <c r="A157" s="24" t="n">
        <v>46263.0104166667</v>
      </c>
      <c r="B157" s="10" t="n">
        <v>2.7295</v>
      </c>
      <c r="C157" s="10" t="n">
        <v>0</v>
      </c>
      <c r="D157" s="10" t="n">
        <f aca="false">IF(OR(B157="",C157="",B157&lt;=0.05,C157&lt;=0.05),0,1)</f>
        <v>0</v>
      </c>
      <c r="E157" s="25" t="n">
        <f aca="false">IF(OR(A157&lt;Resumen!$B$6,A157&gt;=Resumen!$B$7),0,MAX(0,AVERAGEIFS(B109:B205,D109:D205,1)-Resumen!$B$5*AVERAGEIFS(C109:C205,D109:D205,1)))</f>
        <v>0</v>
      </c>
      <c r="F157" s="10" t="n">
        <f aca="false">IF(B157="","",(B157-E157)/Resumen!$B$5)</f>
        <v>2.16799046862589</v>
      </c>
      <c r="G157" s="10" t="n">
        <f aca="false">IF(OR(F157="",C157=""),0,(F157-C157)*0.9)</f>
        <v>1.9511914217633</v>
      </c>
      <c r="H157" s="26" t="str">
        <f aca="false">IF(A157&lt;Resumen!$B$11,"",IF(H156="",0,H156)+G157/Resumen!$B$9)</f>
        <v/>
      </c>
      <c r="I157" s="26" t="str">
        <f aca="false">IF(H157="","",H157-AVERAGE(H109:H205))</f>
        <v/>
      </c>
      <c r="J157" s="27" t="str">
        <f aca="false">IF(I157="","",Resumen!$B$10-(MAX(I109:I205)-I157))</f>
        <v/>
      </c>
    </row>
    <row r="158" customFormat="false" ht="15" hidden="false" customHeight="false" outlineLevel="0" collapsed="false">
      <c r="A158" s="24" t="n">
        <v>46263.0208333333</v>
      </c>
      <c r="B158" s="10" t="n">
        <v>3.7167</v>
      </c>
      <c r="C158" s="10" t="n">
        <v>0</v>
      </c>
      <c r="D158" s="10" t="n">
        <f aca="false">IF(OR(B158="",C158="",B158&lt;=0.05,C158&lt;=0.05),0,1)</f>
        <v>0</v>
      </c>
      <c r="E158" s="25" t="n">
        <f aca="false">IF(OR(A158&lt;Resumen!$B$6,A158&gt;=Resumen!$B$7),0,MAX(0,AVERAGEIFS(B110:B206,D110:D206,1)-Resumen!$B$5*AVERAGEIFS(C110:C206,D110:D206,1)))</f>
        <v>0</v>
      </c>
      <c r="F158" s="10" t="n">
        <f aca="false">IF(B158="","",(B158-E158)/Resumen!$B$5)</f>
        <v>2.95210484511517</v>
      </c>
      <c r="G158" s="10" t="n">
        <f aca="false">IF(OR(F158="",C158=""),0,(F158-C158)*0.9)</f>
        <v>2.65689436060365</v>
      </c>
      <c r="H158" s="26" t="str">
        <f aca="false">IF(A158&lt;Resumen!$B$11,"",IF(H157="",0,H157)+G158/Resumen!$B$9)</f>
        <v/>
      </c>
      <c r="I158" s="26" t="str">
        <f aca="false">IF(H158="","",H158-AVERAGE(H110:H206))</f>
        <v/>
      </c>
      <c r="J158" s="27" t="str">
        <f aca="false">IF(I158="","",Resumen!$B$10-(MAX(I110:I206)-I158))</f>
        <v/>
      </c>
    </row>
    <row r="159" customFormat="false" ht="15" hidden="false" customHeight="false" outlineLevel="0" collapsed="false">
      <c r="A159" s="24" t="n">
        <v>46263.03125</v>
      </c>
      <c r="B159" s="10" t="n">
        <v>3.4018</v>
      </c>
      <c r="C159" s="10" t="n">
        <v>0</v>
      </c>
      <c r="D159" s="10" t="n">
        <f aca="false">IF(OR(B159="",C159="",B159&lt;=0.05,C159&lt;=0.05),0,1)</f>
        <v>0</v>
      </c>
      <c r="E159" s="25" t="n">
        <f aca="false">IF(OR(A159&lt;Resumen!$B$6,A159&gt;=Resumen!$B$7),0,MAX(0,AVERAGEIFS(B111:B207,D111:D207,1)-Resumen!$B$5*AVERAGEIFS(C111:C207,D111:D207,1)))</f>
        <v>0</v>
      </c>
      <c r="F159" s="10" t="n">
        <f aca="false">IF(B159="","",(B159-E159)/Resumen!$B$5)</f>
        <v>2.70198570293884</v>
      </c>
      <c r="G159" s="10" t="n">
        <f aca="false">IF(OR(F159="",C159=""),0,(F159-C159)*0.9)</f>
        <v>2.43178713264496</v>
      </c>
      <c r="H159" s="26" t="str">
        <f aca="false">IF(A159&lt;Resumen!$B$11,"",IF(H158="",0,H158)+G159/Resumen!$B$9)</f>
        <v/>
      </c>
      <c r="I159" s="26" t="str">
        <f aca="false">IF(H159="","",H159-AVERAGE(H111:H207))</f>
        <v/>
      </c>
      <c r="J159" s="27" t="str">
        <f aca="false">IF(I159="","",Resumen!$B$10-(MAX(I111:I207)-I159))</f>
        <v/>
      </c>
    </row>
    <row r="160" customFormat="false" ht="15" hidden="false" customHeight="false" outlineLevel="0" collapsed="false">
      <c r="A160" s="24" t="n">
        <v>46263.0416666667</v>
      </c>
      <c r="B160" s="10" t="n">
        <v>4.2604</v>
      </c>
      <c r="C160" s="10" t="n">
        <v>0</v>
      </c>
      <c r="D160" s="10" t="n">
        <f aca="false">IF(OR(B160="",C160="",B160&lt;=0.05,C160&lt;=0.05),0,1)</f>
        <v>0</v>
      </c>
      <c r="E160" s="25" t="n">
        <f aca="false">IF(OR(A160&lt;Resumen!$B$6,A160&gt;=Resumen!$B$7),0,MAX(0,AVERAGEIFS(B112:B208,D112:D208,1)-Resumen!$B$5*AVERAGEIFS(C112:C208,D112:D208,1)))</f>
        <v>0</v>
      </c>
      <c r="F160" s="10" t="n">
        <f aca="false">IF(B160="","",(B160-E160)/Resumen!$B$5)</f>
        <v>3.38395552025417</v>
      </c>
      <c r="G160" s="10" t="n">
        <f aca="false">IF(OR(F160="",C160=""),0,(F160-C160)*0.9)</f>
        <v>3.04555996822875</v>
      </c>
      <c r="H160" s="26" t="str">
        <f aca="false">IF(A160&lt;Resumen!$B$11,"",IF(H159="",0,H159)+G160/Resumen!$B$9)</f>
        <v/>
      </c>
      <c r="I160" s="26" t="str">
        <f aca="false">IF(H160="","",H160-AVERAGE(H112:H208))</f>
        <v/>
      </c>
      <c r="J160" s="27" t="str">
        <f aca="false">IF(I160="","",Resumen!$B$10-(MAX(I112:I208)-I160))</f>
        <v/>
      </c>
    </row>
    <row r="161" customFormat="false" ht="15" hidden="false" customHeight="false" outlineLevel="0" collapsed="false">
      <c r="A161" s="24" t="n">
        <v>46263.0520833333</v>
      </c>
      <c r="B161" s="10" t="n">
        <v>2.2997</v>
      </c>
      <c r="C161" s="10" t="n">
        <v>0</v>
      </c>
      <c r="D161" s="10" t="n">
        <f aca="false">IF(OR(B161="",C161="",B161&lt;=0.05,C161&lt;=0.05),0,1)</f>
        <v>0</v>
      </c>
      <c r="E161" s="25" t="n">
        <f aca="false">IF(OR(A161&lt;Resumen!$B$6,A161&gt;=Resumen!$B$7),0,MAX(0,AVERAGEIFS(B113:B209,D113:D209,1)-Resumen!$B$5*AVERAGEIFS(C113:C209,D113:D209,1)))</f>
        <v>0</v>
      </c>
      <c r="F161" s="10" t="n">
        <f aca="false">IF(B161="","",(B161-E161)/Resumen!$B$5)</f>
        <v>1.82660841938046</v>
      </c>
      <c r="G161" s="10" t="n">
        <f aca="false">IF(OR(F161="",C161=""),0,(F161-C161)*0.9)</f>
        <v>1.64394757744241</v>
      </c>
      <c r="H161" s="26" t="str">
        <f aca="false">IF(A161&lt;Resumen!$B$11,"",IF(H160="",0,H160)+G161/Resumen!$B$9)</f>
        <v/>
      </c>
      <c r="I161" s="26" t="str">
        <f aca="false">IF(H161="","",H161-AVERAGE(H113:H209))</f>
        <v/>
      </c>
      <c r="J161" s="27" t="str">
        <f aca="false">IF(I161="","",Resumen!$B$10-(MAX(I113:I209)-I161))</f>
        <v/>
      </c>
    </row>
    <row r="162" customFormat="false" ht="15" hidden="false" customHeight="false" outlineLevel="0" collapsed="false">
      <c r="A162" s="24" t="n">
        <v>46263.0625</v>
      </c>
      <c r="B162" s="10" t="n">
        <v>1.8434</v>
      </c>
      <c r="C162" s="10" t="n">
        <v>0</v>
      </c>
      <c r="D162" s="10" t="n">
        <f aca="false">IF(OR(B162="",C162="",B162&lt;=0.05,C162&lt;=0.05),0,1)</f>
        <v>0</v>
      </c>
      <c r="E162" s="25" t="n">
        <f aca="false">IF(OR(A162&lt;Resumen!$B$6,A162&gt;=Resumen!$B$7),0,MAX(0,AVERAGEIFS(B114:B210,D114:D210,1)-Resumen!$B$5*AVERAGEIFS(C114:C210,D114:D210,1)))</f>
        <v>0</v>
      </c>
      <c r="F162" s="10" t="n">
        <f aca="false">IF(B162="","",(B162-E162)/Resumen!$B$5)</f>
        <v>1.46417791898332</v>
      </c>
      <c r="G162" s="10" t="n">
        <f aca="false">IF(OR(F162="",C162=""),0,(F162-C162)*0.9)</f>
        <v>1.31776012708499</v>
      </c>
      <c r="H162" s="26" t="str">
        <f aca="false">IF(A162&lt;Resumen!$B$11,"",IF(H161="",0,H161)+G162/Resumen!$B$9)</f>
        <v/>
      </c>
      <c r="I162" s="26" t="str">
        <f aca="false">IF(H162="","",H162-AVERAGE(H114:H210))</f>
        <v/>
      </c>
      <c r="J162" s="27" t="str">
        <f aca="false">IF(I162="","",Resumen!$B$10-(MAX(I114:I210)-I162))</f>
        <v/>
      </c>
    </row>
    <row r="163" customFormat="false" ht="15" hidden="false" customHeight="false" outlineLevel="0" collapsed="false">
      <c r="A163" s="24" t="n">
        <v>46263.0729166667</v>
      </c>
      <c r="B163" s="10" t="n">
        <v>2.0047</v>
      </c>
      <c r="C163" s="10" t="n">
        <v>0</v>
      </c>
      <c r="D163" s="10" t="n">
        <f aca="false">IF(OR(B163="",C163="",B163&lt;=0.05,C163&lt;=0.05),0,1)</f>
        <v>0</v>
      </c>
      <c r="E163" s="25" t="n">
        <f aca="false">IF(OR(A163&lt;Resumen!$B$6,A163&gt;=Resumen!$B$7),0,MAX(0,AVERAGEIFS(B115:B211,D115:D211,1)-Resumen!$B$5*AVERAGEIFS(C115:C211,D115:D211,1)))</f>
        <v>0</v>
      </c>
      <c r="F163" s="10" t="n">
        <f aca="false">IF(B163="","",(B163-E163)/Resumen!$B$5)</f>
        <v>1.5922954725973</v>
      </c>
      <c r="G163" s="10" t="n">
        <f aca="false">IF(OR(F163="",C163=""),0,(F163-C163)*0.9)</f>
        <v>1.43306592533757</v>
      </c>
      <c r="H163" s="26" t="str">
        <f aca="false">IF(A163&lt;Resumen!$B$11,"",IF(H162="",0,H162)+G163/Resumen!$B$9)</f>
        <v/>
      </c>
      <c r="I163" s="26" t="str">
        <f aca="false">IF(H163="","",H163-AVERAGE(H115:H211))</f>
        <v/>
      </c>
      <c r="J163" s="27" t="str">
        <f aca="false">IF(I163="","",Resumen!$B$10-(MAX(I115:I211)-I163))</f>
        <v/>
      </c>
    </row>
    <row r="164" customFormat="false" ht="15" hidden="false" customHeight="false" outlineLevel="0" collapsed="false">
      <c r="A164" s="24" t="n">
        <v>46263.0833333333</v>
      </c>
      <c r="B164" s="10" t="n">
        <v>2.5082</v>
      </c>
      <c r="C164" s="10" t="n">
        <v>0</v>
      </c>
      <c r="D164" s="10" t="n">
        <f aca="false">IF(OR(B164="",C164="",B164&lt;=0.05,C164&lt;=0.05),0,1)</f>
        <v>0</v>
      </c>
      <c r="E164" s="25" t="n">
        <f aca="false">IF(OR(A164&lt;Resumen!$B$6,A164&gt;=Resumen!$B$7),0,MAX(0,AVERAGEIFS(B116:B212,D116:D212,1)-Resumen!$B$5*AVERAGEIFS(C116:C212,D116:D212,1)))</f>
        <v>0</v>
      </c>
      <c r="F164" s="10" t="n">
        <f aca="false">IF(B164="","",(B164-E164)/Resumen!$B$5)</f>
        <v>1.99221604447975</v>
      </c>
      <c r="G164" s="10" t="n">
        <f aca="false">IF(OR(F164="",C164=""),0,(F164-C164)*0.9)</f>
        <v>1.79299444003177</v>
      </c>
      <c r="H164" s="26" t="str">
        <f aca="false">IF(A164&lt;Resumen!$B$11,"",IF(H163="",0,H163)+G164/Resumen!$B$9)</f>
        <v/>
      </c>
      <c r="I164" s="26" t="str">
        <f aca="false">IF(H164="","",H164-AVERAGE(H116:H212))</f>
        <v/>
      </c>
      <c r="J164" s="27" t="str">
        <f aca="false">IF(I164="","",Resumen!$B$10-(MAX(I116:I212)-I164))</f>
        <v/>
      </c>
    </row>
    <row r="165" customFormat="false" ht="15" hidden="false" customHeight="false" outlineLevel="0" collapsed="false">
      <c r="A165" s="24" t="n">
        <v>46263.09375</v>
      </c>
      <c r="B165" s="10" t="n">
        <v>2.6426</v>
      </c>
      <c r="C165" s="10" t="n">
        <v>0</v>
      </c>
      <c r="D165" s="10" t="n">
        <f aca="false">IF(OR(B165="",C165="",B165&lt;=0.05,C165&lt;=0.05),0,1)</f>
        <v>0</v>
      </c>
      <c r="E165" s="25" t="n">
        <f aca="false">IF(OR(A165&lt;Resumen!$B$6,A165&gt;=Resumen!$B$7),0,MAX(0,AVERAGEIFS(B117:B213,D117:D213,1)-Resumen!$B$5*AVERAGEIFS(C117:C213,D117:D213,1)))</f>
        <v>0</v>
      </c>
      <c r="F165" s="10" t="n">
        <f aca="false">IF(B165="","",(B165-E165)/Resumen!$B$5)</f>
        <v>2.0989674344718</v>
      </c>
      <c r="G165" s="10" t="n">
        <f aca="false">IF(OR(F165="",C165=""),0,(F165-C165)*0.9)</f>
        <v>1.88907069102462</v>
      </c>
      <c r="H165" s="26" t="str">
        <f aca="false">IF(A165&lt;Resumen!$B$11,"",IF(H164="",0,H164)+G165/Resumen!$B$9)</f>
        <v/>
      </c>
      <c r="I165" s="26" t="str">
        <f aca="false">IF(H165="","",H165-AVERAGE(H117:H213))</f>
        <v/>
      </c>
      <c r="J165" s="27" t="str">
        <f aca="false">IF(I165="","",Resumen!$B$10-(MAX(I117:I213)-I165))</f>
        <v/>
      </c>
    </row>
    <row r="166" customFormat="false" ht="15" hidden="false" customHeight="false" outlineLevel="0" collapsed="false">
      <c r="A166" s="24" t="n">
        <v>46263.1041666667</v>
      </c>
      <c r="B166" s="10" t="n">
        <v>2.6284</v>
      </c>
      <c r="C166" s="10" t="n">
        <v>0</v>
      </c>
      <c r="D166" s="10" t="n">
        <f aca="false">IF(OR(B166="",C166="",B166&lt;=0.05,C166&lt;=0.05),0,1)</f>
        <v>0</v>
      </c>
      <c r="E166" s="25" t="n">
        <f aca="false">IF(OR(A166&lt;Resumen!$B$6,A166&gt;=Resumen!$B$7),0,MAX(0,AVERAGEIFS(B118:B214,D118:D214,1)-Resumen!$B$5*AVERAGEIFS(C118:C214,D118:D214,1)))</f>
        <v>0</v>
      </c>
      <c r="F166" s="10" t="n">
        <f aca="false">IF(B166="","",(B166-E166)/Resumen!$B$5)</f>
        <v>2.08768864177919</v>
      </c>
      <c r="G166" s="10" t="n">
        <f aca="false">IF(OR(F166="",C166=""),0,(F166-C166)*0.9)</f>
        <v>1.87891977760127</v>
      </c>
      <c r="H166" s="26" t="str">
        <f aca="false">IF(A166&lt;Resumen!$B$11,"",IF(H165="",0,H165)+G166/Resumen!$B$9)</f>
        <v/>
      </c>
      <c r="I166" s="26" t="str">
        <f aca="false">IF(H166="","",H166-AVERAGE(H118:H214))</f>
        <v/>
      </c>
      <c r="J166" s="27" t="str">
        <f aca="false">IF(I166="","",Resumen!$B$10-(MAX(I118:I214)-I166))</f>
        <v/>
      </c>
    </row>
    <row r="167" customFormat="false" ht="15" hidden="false" customHeight="false" outlineLevel="0" collapsed="false">
      <c r="A167" s="24" t="n">
        <v>46263.1145833333</v>
      </c>
      <c r="B167" s="10" t="n">
        <v>2.3663</v>
      </c>
      <c r="C167" s="10" t="n">
        <v>0</v>
      </c>
      <c r="D167" s="10" t="n">
        <f aca="false">IF(OR(B167="",C167="",B167&lt;=0.05,C167&lt;=0.05),0,1)</f>
        <v>0</v>
      </c>
      <c r="E167" s="25" t="n">
        <f aca="false">IF(OR(A167&lt;Resumen!$B$6,A167&gt;=Resumen!$B$7),0,MAX(0,AVERAGEIFS(B119:B215,D119:D215,1)-Resumen!$B$5*AVERAGEIFS(C119:C215,D119:D215,1)))</f>
        <v>0</v>
      </c>
      <c r="F167" s="10" t="n">
        <f aca="false">IF(B167="","",(B167-E167)/Resumen!$B$5)</f>
        <v>1.87950754567117</v>
      </c>
      <c r="G167" s="10" t="n">
        <f aca="false">IF(OR(F167="",C167=""),0,(F167-C167)*0.9)</f>
        <v>1.69155679110405</v>
      </c>
      <c r="H167" s="26" t="str">
        <f aca="false">IF(A167&lt;Resumen!$B$11,"",IF(H166="",0,H166)+G167/Resumen!$B$9)</f>
        <v/>
      </c>
      <c r="I167" s="26" t="str">
        <f aca="false">IF(H167="","",H167-AVERAGE(H119:H215))</f>
        <v/>
      </c>
      <c r="J167" s="27" t="str">
        <f aca="false">IF(I167="","",Resumen!$B$10-(MAX(I119:I215)-I167))</f>
        <v/>
      </c>
    </row>
    <row r="168" customFormat="false" ht="15" hidden="false" customHeight="false" outlineLevel="0" collapsed="false">
      <c r="A168" s="24" t="n">
        <v>46263.125</v>
      </c>
      <c r="B168" s="10" t="n">
        <v>3.3145</v>
      </c>
      <c r="C168" s="10" t="n">
        <v>0</v>
      </c>
      <c r="D168" s="10" t="n">
        <f aca="false">IF(OR(B168="",C168="",B168&lt;=0.05,C168&lt;=0.05),0,1)</f>
        <v>0</v>
      </c>
      <c r="E168" s="25" t="n">
        <f aca="false">IF(OR(A168&lt;Resumen!$B$6,A168&gt;=Resumen!$B$7),0,MAX(0,AVERAGEIFS(B120:B216,D120:D216,1)-Resumen!$B$5*AVERAGEIFS(C120:C216,D120:D216,1)))</f>
        <v>0</v>
      </c>
      <c r="F168" s="10" t="n">
        <f aca="false">IF(B168="","",(B168-E168)/Resumen!$B$5)</f>
        <v>2.63264495631454</v>
      </c>
      <c r="G168" s="10" t="n">
        <f aca="false">IF(OR(F168="",C168=""),0,(F168-C168)*0.9)</f>
        <v>2.36938046068308</v>
      </c>
      <c r="H168" s="26" t="str">
        <f aca="false">IF(A168&lt;Resumen!$B$11,"",IF(H167="",0,H167)+G168/Resumen!$B$9)</f>
        <v/>
      </c>
      <c r="I168" s="26" t="str">
        <f aca="false">IF(H168="","",H168-AVERAGE(H120:H216))</f>
        <v/>
      </c>
      <c r="J168" s="27" t="str">
        <f aca="false">IF(I168="","",Resumen!$B$10-(MAX(I120:I216)-I168))</f>
        <v/>
      </c>
    </row>
    <row r="169" customFormat="false" ht="15" hidden="false" customHeight="false" outlineLevel="0" collapsed="false">
      <c r="A169" s="24" t="n">
        <v>46263.1354166667</v>
      </c>
      <c r="B169" s="10" t="n">
        <v>1.6857</v>
      </c>
      <c r="C169" s="10" t="n">
        <v>0</v>
      </c>
      <c r="D169" s="10" t="n">
        <f aca="false">IF(OR(B169="",C169="",B169&lt;=0.05,C169&lt;=0.05),0,1)</f>
        <v>0</v>
      </c>
      <c r="E169" s="25" t="n">
        <f aca="false">IF(OR(A169&lt;Resumen!$B$6,A169&gt;=Resumen!$B$7),0,MAX(0,AVERAGEIFS(B121:B217,D121:D217,1)-Resumen!$B$5*AVERAGEIFS(C121:C217,D121:D217,1)))</f>
        <v>0</v>
      </c>
      <c r="F169" s="10" t="n">
        <f aca="false">IF(B169="","",(B169-E169)/Resumen!$B$5)</f>
        <v>1.33891977760127</v>
      </c>
      <c r="G169" s="10" t="n">
        <f aca="false">IF(OR(F169="",C169=""),0,(F169-C169)*0.9)</f>
        <v>1.20502779984114</v>
      </c>
      <c r="H169" s="26" t="str">
        <f aca="false">IF(A169&lt;Resumen!$B$11,"",IF(H168="",0,H168)+G169/Resumen!$B$9)</f>
        <v/>
      </c>
      <c r="I169" s="26" t="str">
        <f aca="false">IF(H169="","",H169-AVERAGE(H121:H217))</f>
        <v/>
      </c>
      <c r="J169" s="27" t="str">
        <f aca="false">IF(I169="","",Resumen!$B$10-(MAX(I121:I217)-I169))</f>
        <v/>
      </c>
    </row>
    <row r="170" customFormat="false" ht="15" hidden="false" customHeight="false" outlineLevel="0" collapsed="false">
      <c r="A170" s="24" t="n">
        <v>46263.1458333333</v>
      </c>
      <c r="B170" s="10" t="n">
        <v>3.0789</v>
      </c>
      <c r="C170" s="10" t="n">
        <v>0</v>
      </c>
      <c r="D170" s="10" t="n">
        <f aca="false">IF(OR(B170="",C170="",B170&lt;=0.05,C170&lt;=0.05),0,1)</f>
        <v>0</v>
      </c>
      <c r="E170" s="25" t="n">
        <f aca="false">IF(OR(A170&lt;Resumen!$B$6,A170&gt;=Resumen!$B$7),0,MAX(0,AVERAGEIFS(B122:B218,D122:D218,1)-Resumen!$B$5*AVERAGEIFS(C122:C218,D122:D218,1)))</f>
        <v>0</v>
      </c>
      <c r="F170" s="10" t="n">
        <f aca="false">IF(B170="","",(B170-E170)/Resumen!$B$5)</f>
        <v>2.44551231135822</v>
      </c>
      <c r="G170" s="10" t="n">
        <f aca="false">IF(OR(F170="",C170=""),0,(F170-C170)*0.9)</f>
        <v>2.2009610802224</v>
      </c>
      <c r="H170" s="26" t="str">
        <f aca="false">IF(A170&lt;Resumen!$B$11,"",IF(H169="",0,H169)+G170/Resumen!$B$9)</f>
        <v/>
      </c>
      <c r="I170" s="26" t="str">
        <f aca="false">IF(H170="","",H170-AVERAGE(H122:H218))</f>
        <v/>
      </c>
      <c r="J170" s="27" t="str">
        <f aca="false">IF(I170="","",Resumen!$B$10-(MAX(I122:I218)-I170))</f>
        <v/>
      </c>
    </row>
    <row r="171" customFormat="false" ht="15" hidden="false" customHeight="false" outlineLevel="0" collapsed="false">
      <c r="A171" s="24" t="n">
        <v>46263.15625</v>
      </c>
      <c r="B171" s="10" t="n">
        <v>4.913</v>
      </c>
      <c r="C171" s="10" t="n">
        <v>0</v>
      </c>
      <c r="D171" s="10" t="n">
        <f aca="false">IF(OR(B171="",C171="",B171&lt;=0.05,C171&lt;=0.05),0,1)</f>
        <v>0</v>
      </c>
      <c r="E171" s="25" t="n">
        <f aca="false">IF(OR(A171&lt;Resumen!$B$6,A171&gt;=Resumen!$B$7),0,MAX(0,AVERAGEIFS(B123:B219,D123:D219,1)-Resumen!$B$5*AVERAGEIFS(C123:C219,D123:D219,1)))</f>
        <v>0</v>
      </c>
      <c r="F171" s="10" t="n">
        <f aca="false">IF(B171="","",(B171-E171)/Resumen!$B$5)</f>
        <v>3.90230341540906</v>
      </c>
      <c r="G171" s="10" t="n">
        <f aca="false">IF(OR(F171="",C171=""),0,(F171-C171)*0.9)</f>
        <v>3.51207307386815</v>
      </c>
      <c r="H171" s="26" t="str">
        <f aca="false">IF(A171&lt;Resumen!$B$11,"",IF(H170="",0,H170)+G171/Resumen!$B$9)</f>
        <v/>
      </c>
      <c r="I171" s="26" t="str">
        <f aca="false">IF(H171="","",H171-AVERAGE(H123:H219))</f>
        <v/>
      </c>
      <c r="J171" s="27" t="str">
        <f aca="false">IF(I171="","",Resumen!$B$10-(MAX(I123:I219)-I171))</f>
        <v/>
      </c>
    </row>
    <row r="172" customFormat="false" ht="15" hidden="false" customHeight="false" outlineLevel="0" collapsed="false">
      <c r="A172" s="24" t="n">
        <v>46263.1666666667</v>
      </c>
      <c r="B172" s="10" t="n">
        <v>5.271</v>
      </c>
      <c r="C172" s="10" t="n">
        <v>0</v>
      </c>
      <c r="D172" s="10" t="n">
        <f aca="false">IF(OR(B172="",C172="",B172&lt;=0.05,C172&lt;=0.05),0,1)</f>
        <v>0</v>
      </c>
      <c r="E172" s="25" t="n">
        <f aca="false">IF(OR(A172&lt;Resumen!$B$6,A172&gt;=Resumen!$B$7),0,MAX(0,AVERAGEIFS(B124:B220,D124:D220,1)-Resumen!$B$5*AVERAGEIFS(C124:C220,D124:D220,1)))</f>
        <v>0</v>
      </c>
      <c r="F172" s="10" t="n">
        <f aca="false">IF(B172="","",(B172-E172)/Resumen!$B$5)</f>
        <v>4.18665607625099</v>
      </c>
      <c r="G172" s="10" t="n">
        <f aca="false">IF(OR(F172="",C172=""),0,(F172-C172)*0.9)</f>
        <v>3.76799046862589</v>
      </c>
      <c r="H172" s="26" t="str">
        <f aca="false">IF(A172&lt;Resumen!$B$11,"",IF(H171="",0,H171)+G172/Resumen!$B$9)</f>
        <v/>
      </c>
      <c r="I172" s="26" t="str">
        <f aca="false">IF(H172="","",H172-AVERAGE(H124:H220))</f>
        <v/>
      </c>
      <c r="J172" s="27" t="str">
        <f aca="false">IF(I172="","",Resumen!$B$10-(MAX(I124:I220)-I172))</f>
        <v/>
      </c>
    </row>
    <row r="173" customFormat="false" ht="15" hidden="false" customHeight="false" outlineLevel="0" collapsed="false">
      <c r="A173" s="24" t="n">
        <v>46263.1770833333</v>
      </c>
      <c r="B173" s="10" t="n">
        <v>5.1179</v>
      </c>
      <c r="C173" s="10" t="n">
        <v>0</v>
      </c>
      <c r="D173" s="10" t="n">
        <f aca="false">IF(OR(B173="",C173="",B173&lt;=0.05,C173&lt;=0.05),0,1)</f>
        <v>0</v>
      </c>
      <c r="E173" s="25" t="n">
        <f aca="false">IF(OR(A173&lt;Resumen!$B$6,A173&gt;=Resumen!$B$7),0,MAX(0,AVERAGEIFS(B125:B221,D125:D221,1)-Resumen!$B$5*AVERAGEIFS(C125:C221,D125:D221,1)))</f>
        <v>0</v>
      </c>
      <c r="F173" s="10" t="n">
        <f aca="false">IF(B173="","",(B173-E173)/Resumen!$B$5)</f>
        <v>4.06505162827641</v>
      </c>
      <c r="G173" s="10" t="n">
        <f aca="false">IF(OR(F173="",C173=""),0,(F173-C173)*0.9)</f>
        <v>3.65854646544877</v>
      </c>
      <c r="H173" s="26" t="str">
        <f aca="false">IF(A173&lt;Resumen!$B$11,"",IF(H172="",0,H172)+G173/Resumen!$B$9)</f>
        <v/>
      </c>
      <c r="I173" s="26" t="str">
        <f aca="false">IF(H173="","",H173-AVERAGE(H125:H221))</f>
        <v/>
      </c>
      <c r="J173" s="27" t="str">
        <f aca="false">IF(I173="","",Resumen!$B$10-(MAX(I125:I221)-I173))</f>
        <v/>
      </c>
    </row>
    <row r="174" customFormat="false" ht="15" hidden="false" customHeight="false" outlineLevel="0" collapsed="false">
      <c r="A174" s="24" t="n">
        <v>46263.1875</v>
      </c>
      <c r="B174" s="10" t="n">
        <v>3.0226</v>
      </c>
      <c r="C174" s="10" t="n">
        <v>0</v>
      </c>
      <c r="D174" s="10" t="n">
        <f aca="false">IF(OR(B174="",C174="",B174&lt;=0.05,C174&lt;=0.05),0,1)</f>
        <v>0</v>
      </c>
      <c r="E174" s="25" t="n">
        <f aca="false">IF(OR(A174&lt;Resumen!$B$6,A174&gt;=Resumen!$B$7),0,MAX(0,AVERAGEIFS(B126:B222,D126:D222,1)-Resumen!$B$5*AVERAGEIFS(C126:C222,D126:D222,1)))</f>
        <v>0</v>
      </c>
      <c r="F174" s="10" t="n">
        <f aca="false">IF(B174="","",(B174-E174)/Resumen!$B$5)</f>
        <v>2.40079428117554</v>
      </c>
      <c r="G174" s="10" t="n">
        <f aca="false">IF(OR(F174="",C174=""),0,(F174-C174)*0.9)</f>
        <v>2.16071485305798</v>
      </c>
      <c r="H174" s="26" t="str">
        <f aca="false">IF(A174&lt;Resumen!$B$11,"",IF(H173="",0,H173)+G174/Resumen!$B$9)</f>
        <v/>
      </c>
      <c r="I174" s="26" t="str">
        <f aca="false">IF(H174="","",H174-AVERAGE(H126:H222))</f>
        <v/>
      </c>
      <c r="J174" s="27" t="str">
        <f aca="false">IF(I174="","",Resumen!$B$10-(MAX(I126:I222)-I174))</f>
        <v/>
      </c>
    </row>
    <row r="175" customFormat="false" ht="15" hidden="false" customHeight="false" outlineLevel="0" collapsed="false">
      <c r="A175" s="24" t="n">
        <v>46263.1979166667</v>
      </c>
      <c r="B175" s="10" t="n">
        <v>2.2937</v>
      </c>
      <c r="C175" s="10" t="n">
        <v>2.0345</v>
      </c>
      <c r="D175" s="10" t="n">
        <f aca="false">IF(OR(B175="",C175="",B175&lt;=0.05,C175&lt;=0.05),0,1)</f>
        <v>1</v>
      </c>
      <c r="E175" s="25" t="n">
        <f aca="false">IF(OR(A175&lt;Resumen!$B$6,A175&gt;=Resumen!$B$7),0,MAX(0,AVERAGEIFS(B127:B223,D127:D223,1)-Resumen!$B$5*AVERAGEIFS(C127:C223,D127:D223,1)))</f>
        <v>0</v>
      </c>
      <c r="F175" s="10" t="n">
        <f aca="false">IF(B175="","",(B175-E175)/Resumen!$B$5)</f>
        <v>1.82184273232724</v>
      </c>
      <c r="G175" s="10" t="n">
        <f aca="false">IF(OR(F175="",C175=""),0,(F175-C175)*0.9)</f>
        <v>-0.19139154090548</v>
      </c>
      <c r="H175" s="26" t="str">
        <f aca="false">IF(A175&lt;Resumen!$B$11,"",IF(H174="",0,H174)+G175/Resumen!$B$9)</f>
        <v/>
      </c>
      <c r="I175" s="26" t="str">
        <f aca="false">IF(H175="","",H175-AVERAGE(H127:H223))</f>
        <v/>
      </c>
      <c r="J175" s="27" t="str">
        <f aca="false">IF(I175="","",Resumen!$B$10-(MAX(I127:I223)-I175))</f>
        <v/>
      </c>
    </row>
    <row r="176" customFormat="false" ht="15" hidden="false" customHeight="false" outlineLevel="0" collapsed="false">
      <c r="A176" s="24" t="n">
        <v>46263.2083333333</v>
      </c>
      <c r="B176" s="10" t="n">
        <v>1.945</v>
      </c>
      <c r="C176" s="10" t="n">
        <v>1.9591</v>
      </c>
      <c r="D176" s="10" t="n">
        <f aca="false">IF(OR(B176="",C176="",B176&lt;=0.05,C176&lt;=0.05),0,1)</f>
        <v>1</v>
      </c>
      <c r="E176" s="25" t="n">
        <f aca="false">IF(OR(A176&lt;Resumen!$B$6,A176&gt;=Resumen!$B$7),0,MAX(0,AVERAGEIFS(B128:B224,D128:D224,1)-Resumen!$B$5*AVERAGEIFS(C128:C224,D128:D224,1)))</f>
        <v>0</v>
      </c>
      <c r="F176" s="10" t="n">
        <f aca="false">IF(B176="","",(B176-E176)/Resumen!$B$5)</f>
        <v>1.54487688641779</v>
      </c>
      <c r="G176" s="10" t="n">
        <f aca="false">IF(OR(F176="",C176=""),0,(F176-C176)*0.9)</f>
        <v>-0.372800802223987</v>
      </c>
      <c r="H176" s="26" t="str">
        <f aca="false">IF(A176&lt;Resumen!$B$11,"",IF(H175="",0,H175)+G176/Resumen!$B$9)</f>
        <v/>
      </c>
      <c r="I176" s="26" t="str">
        <f aca="false">IF(H176="","",H176-AVERAGE(H128:H224))</f>
        <v/>
      </c>
      <c r="J176" s="27" t="str">
        <f aca="false">IF(I176="","",Resumen!$B$10-(MAX(I128:I224)-I176))</f>
        <v/>
      </c>
    </row>
    <row r="177" customFormat="false" ht="15" hidden="false" customHeight="false" outlineLevel="0" collapsed="false">
      <c r="A177" s="24" t="n">
        <v>46263.21875</v>
      </c>
      <c r="B177" s="10" t="n">
        <v>5.1281</v>
      </c>
      <c r="C177" s="10" t="n">
        <v>1.9809</v>
      </c>
      <c r="D177" s="10" t="n">
        <f aca="false">IF(OR(B177="",C177="",B177&lt;=0.05,C177&lt;=0.05),0,1)</f>
        <v>1</v>
      </c>
      <c r="E177" s="25" t="n">
        <f aca="false">IF(OR(A177&lt;Resumen!$B$6,A177&gt;=Resumen!$B$7),0,MAX(0,AVERAGEIFS(B129:B225,D129:D225,1)-Resumen!$B$5*AVERAGEIFS(C129:C225,D129:D225,1)))</f>
        <v>0</v>
      </c>
      <c r="F177" s="10" t="n">
        <f aca="false">IF(B177="","",(B177-E177)/Resumen!$B$5)</f>
        <v>4.07315329626688</v>
      </c>
      <c r="G177" s="10" t="n">
        <f aca="false">IF(OR(F177="",C177=""),0,(F177-C177)*0.9)</f>
        <v>1.88302796664019</v>
      </c>
      <c r="H177" s="26" t="str">
        <f aca="false">IF(A177&lt;Resumen!$B$11,"",IF(H176="",0,H176)+G177/Resumen!$B$9)</f>
        <v/>
      </c>
      <c r="I177" s="26" t="str">
        <f aca="false">IF(H177="","",H177-AVERAGE(H129:H225))</f>
        <v/>
      </c>
      <c r="J177" s="27" t="str">
        <f aca="false">IF(I177="","",Resumen!$B$10-(MAX(I129:I225)-I177))</f>
        <v/>
      </c>
    </row>
    <row r="178" customFormat="false" ht="15" hidden="false" customHeight="false" outlineLevel="0" collapsed="false">
      <c r="A178" s="24" t="n">
        <v>46263.2291666667</v>
      </c>
      <c r="B178" s="10" t="n">
        <v>4.1801</v>
      </c>
      <c r="C178" s="10" t="n">
        <v>2.447</v>
      </c>
      <c r="D178" s="10" t="n">
        <f aca="false">IF(OR(B178="",C178="",B178&lt;=0.05,C178&lt;=0.05),0,1)</f>
        <v>1</v>
      </c>
      <c r="E178" s="25" t="n">
        <f aca="false">IF(OR(A178&lt;Resumen!$B$6,A178&gt;=Resumen!$B$7),0,MAX(0,AVERAGEIFS(B130:B226,D130:D226,1)-Resumen!$B$5*AVERAGEIFS(C130:C226,D130:D226,1)))</f>
        <v>0</v>
      </c>
      <c r="F178" s="10" t="n">
        <f aca="false">IF(B178="","",(B178-E178)/Resumen!$B$5)</f>
        <v>3.32017474185862</v>
      </c>
      <c r="G178" s="10" t="n">
        <f aca="false">IF(OR(F178="",C178=""),0,(F178-C178)*0.9)</f>
        <v>0.785857267672757</v>
      </c>
      <c r="H178" s="26" t="str">
        <f aca="false">IF(A178&lt;Resumen!$B$11,"",IF(H177="",0,H177)+G178/Resumen!$B$9)</f>
        <v/>
      </c>
      <c r="I178" s="26" t="str">
        <f aca="false">IF(H178="","",H178-AVERAGE(H130:H226))</f>
        <v/>
      </c>
      <c r="J178" s="27" t="str">
        <f aca="false">IF(I178="","",Resumen!$B$10-(MAX(I130:I226)-I178))</f>
        <v/>
      </c>
    </row>
    <row r="179" customFormat="false" ht="15" hidden="false" customHeight="false" outlineLevel="0" collapsed="false">
      <c r="A179" s="24" t="n">
        <v>46263.2395833333</v>
      </c>
      <c r="B179" s="10" t="n">
        <v>4.5781</v>
      </c>
      <c r="C179" s="10" t="n">
        <v>2.3957</v>
      </c>
      <c r="D179" s="10" t="n">
        <f aca="false">IF(OR(B179="",C179="",B179&lt;=0.05,C179&lt;=0.05),0,1)</f>
        <v>1</v>
      </c>
      <c r="E179" s="25" t="n">
        <f aca="false">IF(OR(A179&lt;Resumen!$B$6,A179&gt;=Resumen!$B$7),0,MAX(0,AVERAGEIFS(B131:B227,D131:D227,1)-Resumen!$B$5*AVERAGEIFS(C131:C227,D131:D227,1)))</f>
        <v>0</v>
      </c>
      <c r="F179" s="10" t="n">
        <f aca="false">IF(B179="","",(B179-E179)/Resumen!$B$5)</f>
        <v>3.636298649722</v>
      </c>
      <c r="G179" s="10" t="n">
        <f aca="false">IF(OR(F179="",C179=""),0,(F179-C179)*0.9)</f>
        <v>1.1165387847498</v>
      </c>
      <c r="H179" s="26" t="str">
        <f aca="false">IF(A179&lt;Resumen!$B$11,"",IF(H178="",0,H178)+G179/Resumen!$B$9)</f>
        <v/>
      </c>
      <c r="I179" s="26" t="str">
        <f aca="false">IF(H179="","",H179-AVERAGE(H131:H227))</f>
        <v/>
      </c>
      <c r="J179" s="27" t="str">
        <f aca="false">IF(I179="","",Resumen!$B$10-(MAX(I131:I227)-I179))</f>
        <v/>
      </c>
    </row>
    <row r="180" customFormat="false" ht="15" hidden="false" customHeight="false" outlineLevel="0" collapsed="false">
      <c r="A180" s="24" t="n">
        <v>46263.25</v>
      </c>
      <c r="B180" s="10" t="n">
        <v>5.1111</v>
      </c>
      <c r="C180" s="10" t="n">
        <v>2.2457</v>
      </c>
      <c r="D180" s="10" t="n">
        <f aca="false">IF(OR(B180="",C180="",B180&lt;=0.05,C180&lt;=0.05),0,1)</f>
        <v>1</v>
      </c>
      <c r="E180" s="25" t="n">
        <f aca="false">IF(OR(A180&lt;Resumen!$B$6,A180&gt;=Resumen!$B$7),0,MAX(0,AVERAGEIFS(B132:B228,D132:D228,1)-Resumen!$B$5*AVERAGEIFS(C132:C228,D132:D228,1)))</f>
        <v>0</v>
      </c>
      <c r="F180" s="10" t="n">
        <f aca="false">IF(B180="","",(B180-E180)/Resumen!$B$5)</f>
        <v>4.05965051628276</v>
      </c>
      <c r="G180" s="10" t="n">
        <f aca="false">IF(OR(F180="",C180=""),0,(F180-C180)*0.9)</f>
        <v>1.63255546465449</v>
      </c>
      <c r="H180" s="26" t="str">
        <f aca="false">IF(A180&lt;Resumen!$B$11,"",IF(H179="",0,H179)+G180/Resumen!$B$9)</f>
        <v/>
      </c>
      <c r="I180" s="26" t="str">
        <f aca="false">IF(H180="","",H180-AVERAGE(H132:H228))</f>
        <v/>
      </c>
      <c r="J180" s="27" t="str">
        <f aca="false">IF(I180="","",Resumen!$B$10-(MAX(I132:I228)-I180))</f>
        <v/>
      </c>
    </row>
    <row r="181" customFormat="false" ht="15" hidden="false" customHeight="false" outlineLevel="0" collapsed="false">
      <c r="A181" s="24" t="n">
        <v>46263.2604166667</v>
      </c>
      <c r="B181" s="10" t="n">
        <v>1.9854</v>
      </c>
      <c r="C181" s="10" t="n">
        <v>2.6205</v>
      </c>
      <c r="D181" s="10" t="n">
        <f aca="false">IF(OR(B181="",C181="",B181&lt;=0.05,C181&lt;=0.05),0,1)</f>
        <v>1</v>
      </c>
      <c r="E181" s="25" t="n">
        <f aca="false">IF(OR(A181&lt;Resumen!$B$6,A181&gt;=Resumen!$B$7),0,MAX(0,AVERAGEIFS(B133:B229,D133:D229,1)-Resumen!$B$5*AVERAGEIFS(C133:C229,D133:D229,1)))</f>
        <v>0</v>
      </c>
      <c r="F181" s="10" t="n">
        <f aca="false">IF(B181="","",(B181-E181)/Resumen!$B$5)</f>
        <v>1.57696584590945</v>
      </c>
      <c r="G181" s="10" t="n">
        <f aca="false">IF(OR(F181="",C181=""),0,(F181-C181)*0.9)</f>
        <v>-0.939180738681493</v>
      </c>
      <c r="H181" s="26" t="str">
        <f aca="false">IF(A181&lt;Resumen!$B$11,"",IF(H180="",0,H180)+G181/Resumen!$B$9)</f>
        <v/>
      </c>
      <c r="I181" s="26" t="str">
        <f aca="false">IF(H181="","",H181-AVERAGE(H133:H229))</f>
        <v/>
      </c>
      <c r="J181" s="27" t="str">
        <f aca="false">IF(I181="","",Resumen!$B$10-(MAX(I133:I229)-I181))</f>
        <v/>
      </c>
    </row>
    <row r="182" customFormat="false" ht="15" hidden="false" customHeight="false" outlineLevel="0" collapsed="false">
      <c r="A182" s="24" t="n">
        <v>46263.2708333333</v>
      </c>
      <c r="B182" s="10" t="n">
        <v>3.9528</v>
      </c>
      <c r="C182" s="10" t="n">
        <v>2.765</v>
      </c>
      <c r="D182" s="10" t="n">
        <f aca="false">IF(OR(B182="",C182="",B182&lt;=0.05,C182&lt;=0.05),0,1)</f>
        <v>1</v>
      </c>
      <c r="E182" s="25" t="n">
        <f aca="false">IF(OR(A182&lt;Resumen!$B$6,A182&gt;=Resumen!$B$7),0,MAX(0,AVERAGEIFS(B134:B230,D134:D230,1)-Resumen!$B$5*AVERAGEIFS(C134:C230,D134:D230,1)))</f>
        <v>0</v>
      </c>
      <c r="F182" s="10" t="n">
        <f aca="false">IF(B182="","",(B182-E182)/Resumen!$B$5)</f>
        <v>3.13963463065925</v>
      </c>
      <c r="G182" s="10" t="n">
        <f aca="false">IF(OR(F182="",C182=""),0,(F182-C182)*0.9)</f>
        <v>0.337171167593328</v>
      </c>
      <c r="H182" s="26" t="str">
        <f aca="false">IF(A182&lt;Resumen!$B$11,"",IF(H181="",0,H181)+G182/Resumen!$B$9)</f>
        <v/>
      </c>
      <c r="I182" s="26" t="str">
        <f aca="false">IF(H182="","",H182-AVERAGE(H134:H230))</f>
        <v/>
      </c>
      <c r="J182" s="27" t="str">
        <f aca="false">IF(I182="","",Resumen!$B$10-(MAX(I134:I230)-I182))</f>
        <v/>
      </c>
    </row>
    <row r="183" customFormat="false" ht="15" hidden="false" customHeight="false" outlineLevel="0" collapsed="false">
      <c r="A183" s="24" t="n">
        <v>46263.28125</v>
      </c>
      <c r="B183" s="10" t="n">
        <v>1.9227</v>
      </c>
      <c r="C183" s="10" t="n">
        <v>3.2993</v>
      </c>
      <c r="D183" s="10" t="n">
        <f aca="false">IF(OR(B183="",C183="",B183&lt;=0.05,C183&lt;=0.05),0,1)</f>
        <v>1</v>
      </c>
      <c r="E183" s="25" t="n">
        <f aca="false">IF(OR(A183&lt;Resumen!$B$6,A183&gt;=Resumen!$B$7),0,MAX(0,AVERAGEIFS(B135:B231,D135:D231,1)-Resumen!$B$5*AVERAGEIFS(C135:C231,D135:D231,1)))</f>
        <v>0</v>
      </c>
      <c r="F183" s="10" t="n">
        <f aca="false">IF(B183="","",(B183-E183)/Resumen!$B$5)</f>
        <v>1.52716441620334</v>
      </c>
      <c r="G183" s="10" t="n">
        <f aca="false">IF(OR(F183="",C183=""),0,(F183-C183)*0.9)</f>
        <v>-1.594922025417</v>
      </c>
      <c r="H183" s="26" t="str">
        <f aca="false">IF(A183&lt;Resumen!$B$11,"",IF(H182="",0,H182)+G183/Resumen!$B$9)</f>
        <v/>
      </c>
      <c r="I183" s="26" t="str">
        <f aca="false">IF(H183="","",H183-AVERAGE(H135:H231))</f>
        <v/>
      </c>
      <c r="J183" s="27" t="str">
        <f aca="false">IF(I183="","",Resumen!$B$10-(MAX(I135:I231)-I183))</f>
        <v/>
      </c>
    </row>
    <row r="184" customFormat="false" ht="15" hidden="false" customHeight="false" outlineLevel="0" collapsed="false">
      <c r="A184" s="24" t="n">
        <v>46263.2916666667</v>
      </c>
      <c r="B184" s="10" t="n">
        <v>2.072</v>
      </c>
      <c r="C184" s="10" t="n">
        <v>2.7806</v>
      </c>
      <c r="D184" s="10" t="n">
        <f aca="false">IF(OR(B184="",C184="",B184&lt;=0.05,C184&lt;=0.05),0,1)</f>
        <v>1</v>
      </c>
      <c r="E184" s="25" t="n">
        <f aca="false">IF(OR(A184&lt;Resumen!$B$6,A184&gt;=Resumen!$B$7),0,MAX(0,AVERAGEIFS(B136:B232,D136:D232,1)-Resumen!$B$5*AVERAGEIFS(C136:C232,D136:D232,1)))</f>
        <v>0</v>
      </c>
      <c r="F184" s="10" t="n">
        <f aca="false">IF(B184="","",(B184-E184)/Resumen!$B$5)</f>
        <v>1.64575059571088</v>
      </c>
      <c r="G184" s="10" t="n">
        <f aca="false">IF(OR(F184="",C184=""),0,(F184-C184)*0.9)</f>
        <v>-1.02136446386021</v>
      </c>
      <c r="H184" s="26" t="str">
        <f aca="false">IF(A184&lt;Resumen!$B$11,"",IF(H183="",0,H183)+G184/Resumen!$B$9)</f>
        <v/>
      </c>
      <c r="I184" s="26" t="str">
        <f aca="false">IF(H184="","",H184-AVERAGE(H136:H232))</f>
        <v/>
      </c>
      <c r="J184" s="27" t="str">
        <f aca="false">IF(I184="","",Resumen!$B$10-(MAX(I136:I232)-I184))</f>
        <v/>
      </c>
    </row>
    <row r="185" customFormat="false" ht="15" hidden="false" customHeight="false" outlineLevel="0" collapsed="false">
      <c r="A185" s="24" t="n">
        <v>46263.3020833333</v>
      </c>
      <c r="B185" s="10" t="n">
        <v>1.7464</v>
      </c>
      <c r="C185" s="10" t="n">
        <v>3.5279</v>
      </c>
      <c r="D185" s="10" t="n">
        <f aca="false">IF(OR(B185="",C185="",B185&lt;=0.05,C185&lt;=0.05),0,1)</f>
        <v>1</v>
      </c>
      <c r="E185" s="25" t="n">
        <f aca="false">IF(OR(A185&lt;Resumen!$B$6,A185&gt;=Resumen!$B$7),0,MAX(0,AVERAGEIFS(B137:B233,D137:D233,1)-Resumen!$B$5*AVERAGEIFS(C137:C233,D137:D233,1)))</f>
        <v>0</v>
      </c>
      <c r="F185" s="10" t="n">
        <f aca="false">IF(B185="","",(B185-E185)/Resumen!$B$5)</f>
        <v>1.38713264495631</v>
      </c>
      <c r="G185" s="10" t="n">
        <f aca="false">IF(OR(F185="",C185=""),0,(F185-C185)*0.9)</f>
        <v>-1.92669061953932</v>
      </c>
      <c r="H185" s="26" t="str">
        <f aca="false">IF(A185&lt;Resumen!$B$11,"",IF(H184="",0,H184)+G185/Resumen!$B$9)</f>
        <v/>
      </c>
      <c r="I185" s="26" t="str">
        <f aca="false">IF(H185="","",H185-AVERAGE(H137:H233))</f>
        <v/>
      </c>
      <c r="J185" s="27" t="str">
        <f aca="false">IF(I185="","",Resumen!$B$10-(MAX(I137:I233)-I185))</f>
        <v/>
      </c>
    </row>
    <row r="186" customFormat="false" ht="15" hidden="false" customHeight="false" outlineLevel="0" collapsed="false">
      <c r="A186" s="24" t="n">
        <v>46263.3125</v>
      </c>
      <c r="B186" s="10" t="n">
        <v>1.0744</v>
      </c>
      <c r="C186" s="10" t="n">
        <v>4.0951</v>
      </c>
      <c r="D186" s="10" t="n">
        <f aca="false">IF(OR(B186="",C186="",B186&lt;=0.05,C186&lt;=0.05),0,1)</f>
        <v>1</v>
      </c>
      <c r="E186" s="25" t="n">
        <f aca="false">IF(OR(A186&lt;Resumen!$B$6,A186&gt;=Resumen!$B$7),0,MAX(0,AVERAGEIFS(B138:B234,D138:D234,1)-Resumen!$B$5*AVERAGEIFS(C138:C234,D138:D234,1)))</f>
        <v>0</v>
      </c>
      <c r="F186" s="10" t="n">
        <f aca="false">IF(B186="","",(B186-E186)/Resumen!$B$5)</f>
        <v>0.853375694996029</v>
      </c>
      <c r="G186" s="10" t="n">
        <f aca="false">IF(OR(F186="",C186=""),0,(F186-C186)*0.9)</f>
        <v>-2.91755187450358</v>
      </c>
      <c r="H186" s="26" t="str">
        <f aca="false">IF(A186&lt;Resumen!$B$11,"",IF(H185="",0,H185)+G186/Resumen!$B$9)</f>
        <v/>
      </c>
      <c r="I186" s="26" t="str">
        <f aca="false">IF(H186="","",H186-AVERAGE(H138:H234))</f>
        <v/>
      </c>
      <c r="J186" s="27" t="str">
        <f aca="false">IF(I186="","",Resumen!$B$10-(MAX(I138:I234)-I186))</f>
        <v/>
      </c>
    </row>
    <row r="187" customFormat="false" ht="15" hidden="false" customHeight="false" outlineLevel="0" collapsed="false">
      <c r="A187" s="24" t="n">
        <v>46263.3229166667</v>
      </c>
      <c r="B187" s="10" t="n">
        <v>0.949</v>
      </c>
      <c r="C187" s="10" t="n">
        <v>4.1383</v>
      </c>
      <c r="D187" s="10" t="n">
        <f aca="false">IF(OR(B187="",C187="",B187&lt;=0.05,C187&lt;=0.05),0,1)</f>
        <v>1</v>
      </c>
      <c r="E187" s="25" t="n">
        <f aca="false">IF(OR(A187&lt;Resumen!$B$6,A187&gt;=Resumen!$B$7),0,MAX(0,AVERAGEIFS(B139:B235,D139:D235,1)-Resumen!$B$5*AVERAGEIFS(C139:C235,D139:D235,1)))</f>
        <v>0</v>
      </c>
      <c r="F187" s="10" t="n">
        <f aca="false">IF(B187="","",(B187-E187)/Resumen!$B$5)</f>
        <v>0.753772835583797</v>
      </c>
      <c r="G187" s="10" t="n">
        <f aca="false">IF(OR(F187="",C187=""),0,(F187-C187)*0.9)</f>
        <v>-3.04607444797458</v>
      </c>
      <c r="H187" s="26" t="str">
        <f aca="false">IF(A187&lt;Resumen!$B$11,"",IF(H186="",0,H186)+G187/Resumen!$B$9)</f>
        <v/>
      </c>
      <c r="I187" s="26" t="str">
        <f aca="false">IF(H187="","",H187-AVERAGE(H139:H235))</f>
        <v/>
      </c>
      <c r="J187" s="27" t="str">
        <f aca="false">IF(I187="","",Resumen!$B$10-(MAX(I139:I235)-I187))</f>
        <v/>
      </c>
    </row>
    <row r="188" customFormat="false" ht="15" hidden="false" customHeight="false" outlineLevel="0" collapsed="false">
      <c r="A188" s="24" t="n">
        <v>46263.3333333333</v>
      </c>
      <c r="B188" s="10" t="n">
        <v>0.5837</v>
      </c>
      <c r="C188" s="10" t="n">
        <v>4.0222</v>
      </c>
      <c r="D188" s="10" t="n">
        <f aca="false">IF(OR(B188="",C188="",B188&lt;=0.05,C188&lt;=0.05),0,1)</f>
        <v>1</v>
      </c>
      <c r="E188" s="25" t="n">
        <f aca="false">IF(OR(A188&lt;Resumen!$B$6,A188&gt;=Resumen!$B$7),0,MAX(0,AVERAGEIFS(B140:B236,D140:D236,1)-Resumen!$B$5*AVERAGEIFS(C140:C236,D140:D236,1)))</f>
        <v>0</v>
      </c>
      <c r="F188" s="10" t="n">
        <f aca="false">IF(B188="","",(B188-E188)/Resumen!$B$5)</f>
        <v>0.463621922160445</v>
      </c>
      <c r="G188" s="10" t="n">
        <f aca="false">IF(OR(F188="",C188=""),0,(F188-C188)*0.9)</f>
        <v>-3.2027202700556</v>
      </c>
      <c r="H188" s="26" t="str">
        <f aca="false">IF(A188&lt;Resumen!$B$11,"",IF(H187="",0,H187)+G188/Resumen!$B$9)</f>
        <v/>
      </c>
      <c r="I188" s="26" t="str">
        <f aca="false">IF(H188="","",H188-AVERAGE(H140:H236))</f>
        <v/>
      </c>
      <c r="J188" s="27" t="str">
        <f aca="false">IF(I188="","",Resumen!$B$10-(MAX(I140:I236)-I188))</f>
        <v/>
      </c>
    </row>
    <row r="189" customFormat="false" ht="15" hidden="false" customHeight="false" outlineLevel="0" collapsed="false">
      <c r="A189" s="24" t="n">
        <v>46263.34375</v>
      </c>
      <c r="B189" s="10" t="n">
        <v>0.484</v>
      </c>
      <c r="C189" s="10" t="n">
        <v>0</v>
      </c>
      <c r="D189" s="10" t="n">
        <f aca="false">IF(OR(B189="",C189="",B189&lt;=0.05,C189&lt;=0.05),0,1)</f>
        <v>0</v>
      </c>
      <c r="E189" s="25" t="n">
        <f aca="false">IF(OR(A189&lt;Resumen!$B$6,A189&gt;=Resumen!$B$7),0,MAX(0,AVERAGEIFS(B141:B237,D141:D237,1)-Resumen!$B$5*AVERAGEIFS(C141:C237,D141:D237,1)))</f>
        <v>0</v>
      </c>
      <c r="F189" s="10" t="n">
        <f aca="false">IF(B189="","",(B189-E189)/Resumen!$B$5)</f>
        <v>0.384432088959492</v>
      </c>
      <c r="G189" s="10" t="n">
        <f aca="false">IF(OR(F189="",C189=""),0,(F189-C189)*0.9)</f>
        <v>0.345988880063543</v>
      </c>
      <c r="H189" s="26" t="str">
        <f aca="false">IF(A189&lt;Resumen!$B$11,"",IF(H188="",0,H188)+G189/Resumen!$B$9)</f>
        <v/>
      </c>
      <c r="I189" s="26" t="str">
        <f aca="false">IF(H189="","",H189-AVERAGE(H141:H237))</f>
        <v/>
      </c>
      <c r="J189" s="27" t="str">
        <f aca="false">IF(I189="","",Resumen!$B$10-(MAX(I141:I237)-I189))</f>
        <v/>
      </c>
    </row>
    <row r="190" customFormat="false" ht="15" hidden="false" customHeight="false" outlineLevel="0" collapsed="false">
      <c r="A190" s="24" t="n">
        <v>46263.3541666667</v>
      </c>
      <c r="B190" s="10" t="n">
        <v>0</v>
      </c>
      <c r="C190" s="10" t="n">
        <v>0</v>
      </c>
      <c r="D190" s="10" t="n">
        <f aca="false">IF(OR(B190="",C190="",B190&lt;=0.05,C190&lt;=0.05),0,1)</f>
        <v>0</v>
      </c>
      <c r="E190" s="25" t="n">
        <f aca="false">IF(OR(A190&lt;Resumen!$B$6,A190&gt;=Resumen!$B$7),0,MAX(0,AVERAGEIFS(B142:B238,D142:D238,1)-Resumen!$B$5*AVERAGEIFS(C142:C238,D142:D238,1)))</f>
        <v>0</v>
      </c>
      <c r="F190" s="10" t="n">
        <f aca="false">IF(B190="","",(B190-E190)/Resumen!$B$5)</f>
        <v>0</v>
      </c>
      <c r="G190" s="10" t="n">
        <f aca="false">IF(OR(F190="",C190=""),0,(F190-C190)*0.9)</f>
        <v>0</v>
      </c>
      <c r="H190" s="26" t="str">
        <f aca="false">IF(A190&lt;Resumen!$B$11,"",IF(H189="",0,H189)+G190/Resumen!$B$9)</f>
        <v/>
      </c>
      <c r="I190" s="26" t="str">
        <f aca="false">IF(H190="","",H190-AVERAGE(H142:H238))</f>
        <v/>
      </c>
      <c r="J190" s="27" t="str">
        <f aca="false">IF(I190="","",Resumen!$B$10-(MAX(I142:I238)-I190))</f>
        <v/>
      </c>
    </row>
    <row r="191" customFormat="false" ht="15" hidden="false" customHeight="false" outlineLevel="0" collapsed="false">
      <c r="A191" s="24" t="n">
        <v>46263.3645833333</v>
      </c>
      <c r="B191" s="10" t="n">
        <v>0</v>
      </c>
      <c r="C191" s="10" t="n">
        <v>0</v>
      </c>
      <c r="D191" s="10" t="n">
        <f aca="false">IF(OR(B191="",C191="",B191&lt;=0.05,C191&lt;=0.05),0,1)</f>
        <v>0</v>
      </c>
      <c r="E191" s="25" t="n">
        <f aca="false">IF(OR(A191&lt;Resumen!$B$6,A191&gt;=Resumen!$B$7),0,MAX(0,AVERAGEIFS(B143:B239,D143:D239,1)-Resumen!$B$5*AVERAGEIFS(C143:C239,D143:D239,1)))</f>
        <v>0</v>
      </c>
      <c r="F191" s="10" t="n">
        <f aca="false">IF(B191="","",(B191-E191)/Resumen!$B$5)</f>
        <v>0</v>
      </c>
      <c r="G191" s="10" t="n">
        <f aca="false">IF(OR(F191="",C191=""),0,(F191-C191)*0.9)</f>
        <v>0</v>
      </c>
      <c r="H191" s="26" t="str">
        <f aca="false">IF(A191&lt;Resumen!$B$11,"",IF(H190="",0,H190)+G191/Resumen!$B$9)</f>
        <v/>
      </c>
      <c r="I191" s="26" t="str">
        <f aca="false">IF(H191="","",H191-AVERAGE(H143:H239))</f>
        <v/>
      </c>
      <c r="J191" s="27" t="str">
        <f aca="false">IF(I191="","",Resumen!$B$10-(MAX(I143:I239)-I191))</f>
        <v/>
      </c>
    </row>
    <row r="192" customFormat="false" ht="15" hidden="false" customHeight="false" outlineLevel="0" collapsed="false">
      <c r="A192" s="24" t="n">
        <v>46263.375</v>
      </c>
      <c r="B192" s="10" t="n">
        <v>0.3656</v>
      </c>
      <c r="C192" s="10" t="n">
        <v>0</v>
      </c>
      <c r="D192" s="10" t="n">
        <f aca="false">IF(OR(B192="",C192="",B192&lt;=0.05,C192&lt;=0.05),0,1)</f>
        <v>0</v>
      </c>
      <c r="E192" s="25" t="n">
        <f aca="false">IF(OR(A192&lt;Resumen!$B$6,A192&gt;=Resumen!$B$7),0,MAX(0,AVERAGEIFS(B144:B240,D144:D240,1)-Resumen!$B$5*AVERAGEIFS(C144:C240,D144:D240,1)))</f>
        <v>0</v>
      </c>
      <c r="F192" s="10" t="n">
        <f aca="false">IF(B192="","",(B192-E192)/Resumen!$B$5)</f>
        <v>0.290389197776013</v>
      </c>
      <c r="G192" s="10" t="n">
        <f aca="false">IF(OR(F192="",C192=""),0,(F192-C192)*0.9)</f>
        <v>0.261350277998412</v>
      </c>
      <c r="H192" s="26" t="str">
        <f aca="false">IF(A192&lt;Resumen!$B$11,"",IF(H191="",0,H191)+G192/Resumen!$B$9)</f>
        <v/>
      </c>
      <c r="I192" s="26" t="str">
        <f aca="false">IF(H192="","",H192-AVERAGE(H144:H240))</f>
        <v/>
      </c>
      <c r="J192" s="27" t="str">
        <f aca="false">IF(I192="","",Resumen!$B$10-(MAX(I144:I240)-I192))</f>
        <v/>
      </c>
    </row>
    <row r="193" customFormat="false" ht="15" hidden="false" customHeight="false" outlineLevel="0" collapsed="false">
      <c r="A193" s="24" t="n">
        <v>46263.3854166667</v>
      </c>
      <c r="B193" s="10" t="n">
        <v>0</v>
      </c>
      <c r="C193" s="10" t="n">
        <v>0</v>
      </c>
      <c r="D193" s="10" t="n">
        <f aca="false">IF(OR(B193="",C193="",B193&lt;=0.05,C193&lt;=0.05),0,1)</f>
        <v>0</v>
      </c>
      <c r="E193" s="25" t="n">
        <f aca="false">IF(OR(A193&lt;Resumen!$B$6,A193&gt;=Resumen!$B$7),0,MAX(0,AVERAGEIFS(B145:B241,D145:D241,1)-Resumen!$B$5*AVERAGEIFS(C145:C241,D145:D241,1)))</f>
        <v>0</v>
      </c>
      <c r="F193" s="10" t="n">
        <f aca="false">IF(B193="","",(B193-E193)/Resumen!$B$5)</f>
        <v>0</v>
      </c>
      <c r="G193" s="10" t="n">
        <f aca="false">IF(OR(F193="",C193=""),0,(F193-C193)*0.9)</f>
        <v>0</v>
      </c>
      <c r="H193" s="26" t="str">
        <f aca="false">IF(A193&lt;Resumen!$B$11,"",IF(H192="",0,H192)+G193/Resumen!$B$9)</f>
        <v/>
      </c>
      <c r="I193" s="26" t="str">
        <f aca="false">IF(H193="","",H193-AVERAGE(H145:H241))</f>
        <v/>
      </c>
      <c r="J193" s="27" t="str">
        <f aca="false">IF(I193="","",Resumen!$B$10-(MAX(I145:I241)-I193))</f>
        <v/>
      </c>
    </row>
    <row r="194" customFormat="false" ht="15" hidden="false" customHeight="false" outlineLevel="0" collapsed="false">
      <c r="A194" s="24" t="n">
        <v>46263.3958333333</v>
      </c>
      <c r="B194" s="10" t="n">
        <v>0</v>
      </c>
      <c r="C194" s="10" t="n">
        <v>0</v>
      </c>
      <c r="D194" s="10" t="n">
        <f aca="false">IF(OR(B194="",C194="",B194&lt;=0.05,C194&lt;=0.05),0,1)</f>
        <v>0</v>
      </c>
      <c r="E194" s="25" t="n">
        <f aca="false">IF(OR(A194&lt;Resumen!$B$6,A194&gt;=Resumen!$B$7),0,MAX(0,AVERAGEIFS(B146:B242,D146:D242,1)-Resumen!$B$5*AVERAGEIFS(C146:C242,D146:D242,1)))</f>
        <v>0</v>
      </c>
      <c r="F194" s="10" t="n">
        <f aca="false">IF(B194="","",(B194-E194)/Resumen!$B$5)</f>
        <v>0</v>
      </c>
      <c r="G194" s="10" t="n">
        <f aca="false">IF(OR(F194="",C194=""),0,(F194-C194)*0.9)</f>
        <v>0</v>
      </c>
      <c r="H194" s="26" t="str">
        <f aca="false">IF(A194&lt;Resumen!$B$11,"",IF(H193="",0,H193)+G194/Resumen!$B$9)</f>
        <v/>
      </c>
      <c r="I194" s="26" t="str">
        <f aca="false">IF(H194="","",H194-AVERAGE(H146:H242))</f>
        <v/>
      </c>
      <c r="J194" s="27" t="str">
        <f aca="false">IF(I194="","",Resumen!$B$10-(MAX(I146:I242)-I194))</f>
        <v/>
      </c>
    </row>
    <row r="195" customFormat="false" ht="15" hidden="false" customHeight="false" outlineLevel="0" collapsed="false">
      <c r="A195" s="24" t="n">
        <v>46263.40625</v>
      </c>
      <c r="B195" s="10" t="n">
        <v>0</v>
      </c>
      <c r="C195" s="10" t="n">
        <v>0</v>
      </c>
      <c r="D195" s="10" t="n">
        <f aca="false">IF(OR(B195="",C195="",B195&lt;=0.05,C195&lt;=0.05),0,1)</f>
        <v>0</v>
      </c>
      <c r="E195" s="25" t="n">
        <f aca="false">IF(OR(A195&lt;Resumen!$B$6,A195&gt;=Resumen!$B$7),0,MAX(0,AVERAGEIFS(B147:B243,D147:D243,1)-Resumen!$B$5*AVERAGEIFS(C147:C243,D147:D243,1)))</f>
        <v>0</v>
      </c>
      <c r="F195" s="10" t="n">
        <f aca="false">IF(B195="","",(B195-E195)/Resumen!$B$5)</f>
        <v>0</v>
      </c>
      <c r="G195" s="10" t="n">
        <f aca="false">IF(OR(F195="",C195=""),0,(F195-C195)*0.9)</f>
        <v>0</v>
      </c>
      <c r="H195" s="26" t="str">
        <f aca="false">IF(A195&lt;Resumen!$B$11,"",IF(H194="",0,H194)+G195/Resumen!$B$9)</f>
        <v/>
      </c>
      <c r="I195" s="26" t="str">
        <f aca="false">IF(H195="","",H195-AVERAGE(H147:H243))</f>
        <v/>
      </c>
      <c r="J195" s="27" t="str">
        <f aca="false">IF(I195="","",Resumen!$B$10-(MAX(I147:I243)-I195))</f>
        <v/>
      </c>
    </row>
    <row r="196" customFormat="false" ht="15" hidden="false" customHeight="false" outlineLevel="0" collapsed="false">
      <c r="A196" s="24" t="n">
        <v>46263.4166666667</v>
      </c>
      <c r="B196" s="10" t="n">
        <v>0</v>
      </c>
      <c r="C196" s="10" t="n">
        <v>0</v>
      </c>
      <c r="D196" s="10" t="n">
        <f aca="false">IF(OR(B196="",C196="",B196&lt;=0.05,C196&lt;=0.05),0,1)</f>
        <v>0</v>
      </c>
      <c r="E196" s="25" t="n">
        <f aca="false">IF(OR(A196&lt;Resumen!$B$6,A196&gt;=Resumen!$B$7),0,MAX(0,AVERAGEIFS(B148:B244,D148:D244,1)-Resumen!$B$5*AVERAGEIFS(C148:C244,D148:D244,1)))</f>
        <v>0</v>
      </c>
      <c r="F196" s="10" t="n">
        <f aca="false">IF(B196="","",(B196-E196)/Resumen!$B$5)</f>
        <v>0</v>
      </c>
      <c r="G196" s="10" t="n">
        <f aca="false">IF(OR(F196="",C196=""),0,(F196-C196)*0.9)</f>
        <v>0</v>
      </c>
      <c r="H196" s="26" t="str">
        <f aca="false">IF(A196&lt;Resumen!$B$11,"",IF(H195="",0,H195)+G196/Resumen!$B$9)</f>
        <v/>
      </c>
      <c r="I196" s="26" t="str">
        <f aca="false">IF(H196="","",H196-AVERAGE(H148:H244))</f>
        <v/>
      </c>
      <c r="J196" s="27" t="str">
        <f aca="false">IF(I196="","",Resumen!$B$10-(MAX(I148:I244)-I196))</f>
        <v/>
      </c>
    </row>
    <row r="197" customFormat="false" ht="15" hidden="false" customHeight="false" outlineLevel="0" collapsed="false">
      <c r="A197" s="24" t="n">
        <v>46263.4270833333</v>
      </c>
      <c r="B197" s="10" t="n">
        <v>15.0082</v>
      </c>
      <c r="C197" s="10" t="n">
        <v>0</v>
      </c>
      <c r="D197" s="10" t="n">
        <f aca="false">IF(OR(B197="",C197="",B197&lt;=0.05,C197&lt;=0.05),0,1)</f>
        <v>0</v>
      </c>
      <c r="E197" s="25" t="n">
        <f aca="false">IF(OR(A197&lt;Resumen!$B$6,A197&gt;=Resumen!$B$7),0,MAX(0,AVERAGEIFS(B149:B245,D149:D245,1)-Resumen!$B$5*AVERAGEIFS(C149:C245,D149:D245,1)))</f>
        <v>0</v>
      </c>
      <c r="F197" s="10" t="n">
        <f aca="false">IF(B197="","",(B197-E197)/Resumen!$B$5)</f>
        <v>11.9207307386815</v>
      </c>
      <c r="G197" s="10" t="n">
        <f aca="false">IF(OR(F197="",C197=""),0,(F197-C197)*0.9)</f>
        <v>10.7286576648133</v>
      </c>
      <c r="H197" s="26" t="str">
        <f aca="false">IF(A197&lt;Resumen!$B$11,"",IF(H196="",0,H196)+G197/Resumen!$B$9)</f>
        <v/>
      </c>
      <c r="I197" s="26" t="str">
        <f aca="false">IF(H197="","",H197-AVERAGE(H149:H245))</f>
        <v/>
      </c>
      <c r="J197" s="27" t="str">
        <f aca="false">IF(I197="","",Resumen!$B$10-(MAX(I149:I245)-I197))</f>
        <v/>
      </c>
    </row>
    <row r="198" customFormat="false" ht="15" hidden="false" customHeight="false" outlineLevel="0" collapsed="false">
      <c r="A198" s="24" t="n">
        <v>46263.4375</v>
      </c>
      <c r="B198" s="10" t="n">
        <v>17.3626</v>
      </c>
      <c r="C198" s="10" t="n">
        <v>0</v>
      </c>
      <c r="D198" s="10" t="n">
        <f aca="false">IF(OR(B198="",C198="",B198&lt;=0.05,C198&lt;=0.05),0,1)</f>
        <v>0</v>
      </c>
      <c r="E198" s="25" t="n">
        <f aca="false">IF(OR(A198&lt;Resumen!$B$6,A198&gt;=Resumen!$B$7),0,MAX(0,AVERAGEIFS(B150:B246,D150:D246,1)-Resumen!$B$5*AVERAGEIFS(C150:C246,D150:D246,1)))</f>
        <v>0</v>
      </c>
      <c r="F198" s="10" t="n">
        <f aca="false">IF(B198="","",(B198-E198)/Resumen!$B$5)</f>
        <v>13.7907863383638</v>
      </c>
      <c r="G198" s="10" t="n">
        <f aca="false">IF(OR(F198="",C198=""),0,(F198-C198)*0.9)</f>
        <v>12.4117077045274</v>
      </c>
      <c r="H198" s="26" t="str">
        <f aca="false">IF(A198&lt;Resumen!$B$11,"",IF(H197="",0,H197)+G198/Resumen!$B$9)</f>
        <v/>
      </c>
      <c r="I198" s="26" t="str">
        <f aca="false">IF(H198="","",H198-AVERAGE(H150:H246))</f>
        <v/>
      </c>
      <c r="J198" s="27" t="str">
        <f aca="false">IF(I198="","",Resumen!$B$10-(MAX(I150:I246)-I198))</f>
        <v/>
      </c>
    </row>
    <row r="199" customFormat="false" ht="15" hidden="false" customHeight="false" outlineLevel="0" collapsed="false">
      <c r="A199" s="24" t="n">
        <v>46263.4479166667</v>
      </c>
      <c r="B199" s="10" t="n">
        <v>19.1329</v>
      </c>
      <c r="C199" s="10" t="n">
        <v>0</v>
      </c>
      <c r="D199" s="10" t="n">
        <f aca="false">IF(OR(B199="",C199="",B199&lt;=0.05,C199&lt;=0.05),0,1)</f>
        <v>0</v>
      </c>
      <c r="E199" s="25" t="n">
        <f aca="false">IF(OR(A199&lt;Resumen!$B$6,A199&gt;=Resumen!$B$7),0,MAX(0,AVERAGEIFS(B151:B247,D151:D247,1)-Resumen!$B$5*AVERAGEIFS(C151:C247,D151:D247,1)))</f>
        <v>0</v>
      </c>
      <c r="F199" s="10" t="n">
        <f aca="false">IF(B199="","",(B199-E199)/Resumen!$B$5)</f>
        <v>15.1969023034154</v>
      </c>
      <c r="G199" s="10" t="n">
        <f aca="false">IF(OR(F199="",C199=""),0,(F199-C199)*0.9)</f>
        <v>13.6772120730739</v>
      </c>
      <c r="H199" s="26" t="str">
        <f aca="false">IF(A199&lt;Resumen!$B$11,"",IF(H198="",0,H198)+G199/Resumen!$B$9)</f>
        <v/>
      </c>
      <c r="I199" s="26" t="str">
        <f aca="false">IF(H199="","",H199-AVERAGE(H151:H247))</f>
        <v/>
      </c>
      <c r="J199" s="27" t="str">
        <f aca="false">IF(I199="","",Resumen!$B$10-(MAX(I151:I247)-I199))</f>
        <v/>
      </c>
    </row>
    <row r="200" customFormat="false" ht="15" hidden="false" customHeight="false" outlineLevel="0" collapsed="false">
      <c r="A200" s="24" t="n">
        <v>46263.4583333333</v>
      </c>
      <c r="B200" s="10" t="n">
        <v>19.604</v>
      </c>
      <c r="C200" s="10" t="n">
        <v>0</v>
      </c>
      <c r="D200" s="10" t="n">
        <f aca="false">IF(OR(B200="",C200="",B200&lt;=0.05,C200&lt;=0.05),0,1)</f>
        <v>0</v>
      </c>
      <c r="E200" s="25" t="n">
        <f aca="false">IF(OR(A200&lt;Resumen!$B$6,A200&gt;=Resumen!$B$7),0,MAX(0,AVERAGEIFS(B152:B248,D152:D248,1)-Resumen!$B$5*AVERAGEIFS(C152:C248,D152:D248,1)))</f>
        <v>0</v>
      </c>
      <c r="F200" s="10" t="n">
        <f aca="false">IF(B200="","",(B200-E200)/Resumen!$B$5)</f>
        <v>15.5710881652105</v>
      </c>
      <c r="G200" s="10" t="n">
        <f aca="false">IF(OR(F200="",C200=""),0,(F200-C200)*0.9)</f>
        <v>14.0139793486894</v>
      </c>
      <c r="H200" s="26" t="str">
        <f aca="false">IF(A200&lt;Resumen!$B$11,"",IF(H199="",0,H199)+G200/Resumen!$B$9)</f>
        <v/>
      </c>
      <c r="I200" s="26" t="str">
        <f aca="false">IF(H200="","",H200-AVERAGE(H152:H248))</f>
        <v/>
      </c>
      <c r="J200" s="27" t="str">
        <f aca="false">IF(I200="","",Resumen!$B$10-(MAX(I152:I248)-I200))</f>
        <v/>
      </c>
    </row>
    <row r="201" customFormat="false" ht="15" hidden="false" customHeight="false" outlineLevel="0" collapsed="false">
      <c r="A201" s="24" t="n">
        <v>46263.46875</v>
      </c>
      <c r="B201" s="10" t="n">
        <v>12.274</v>
      </c>
      <c r="C201" s="10" t="n">
        <v>0</v>
      </c>
      <c r="D201" s="10" t="n">
        <f aca="false">IF(OR(B201="",C201="",B201&lt;=0.05,C201&lt;=0.05),0,1)</f>
        <v>0</v>
      </c>
      <c r="E201" s="25" t="n">
        <f aca="false">IF(OR(A201&lt;Resumen!$B$6,A201&gt;=Resumen!$B$7),0,MAX(0,AVERAGEIFS(B153:B249,D153:D249,1)-Resumen!$B$5*AVERAGEIFS(C153:C249,D153:D249,1)))</f>
        <v>0</v>
      </c>
      <c r="F201" s="10" t="n">
        <f aca="false">IF(B201="","",(B201-E201)/Resumen!$B$5)</f>
        <v>9.74900714853058</v>
      </c>
      <c r="G201" s="10" t="n">
        <f aca="false">IF(OR(F201="",C201=""),0,(F201-C201)*0.9)</f>
        <v>8.77410643367752</v>
      </c>
      <c r="H201" s="26" t="str">
        <f aca="false">IF(A201&lt;Resumen!$B$11,"",IF(H200="",0,H200)+G201/Resumen!$B$9)</f>
        <v/>
      </c>
      <c r="I201" s="26" t="str">
        <f aca="false">IF(H201="","",H201-AVERAGE(H153:H249))</f>
        <v/>
      </c>
      <c r="J201" s="27" t="str">
        <f aca="false">IF(I201="","",Resumen!$B$10-(MAX(I153:I249)-I201))</f>
        <v/>
      </c>
    </row>
    <row r="202" customFormat="false" ht="15" hidden="false" customHeight="false" outlineLevel="0" collapsed="false">
      <c r="A202" s="24" t="n">
        <v>46263.4791666667</v>
      </c>
      <c r="B202" s="10" t="n">
        <v>7.8261</v>
      </c>
      <c r="C202" s="10" t="n">
        <v>0</v>
      </c>
      <c r="D202" s="10" t="n">
        <f aca="false">IF(OR(B202="",C202="",B202&lt;=0.05,C202&lt;=0.05),0,1)</f>
        <v>0</v>
      </c>
      <c r="E202" s="25" t="n">
        <f aca="false">IF(OR(A202&lt;Resumen!$B$6,A202&gt;=Resumen!$B$7),0,MAX(0,AVERAGEIFS(B154:B250,D154:D250,1)-Resumen!$B$5*AVERAGEIFS(C154:C250,D154:D250,1)))</f>
        <v>0</v>
      </c>
      <c r="F202" s="10" t="n">
        <f aca="false">IF(B202="","",(B202-E202)/Resumen!$B$5)</f>
        <v>6.21612390786338</v>
      </c>
      <c r="G202" s="10" t="n">
        <f aca="false">IF(OR(F202="",C202=""),0,(F202-C202)*0.9)</f>
        <v>5.59451151707705</v>
      </c>
      <c r="H202" s="26" t="str">
        <f aca="false">IF(A202&lt;Resumen!$B$11,"",IF(H201="",0,H201)+G202/Resumen!$B$9)</f>
        <v/>
      </c>
      <c r="I202" s="26" t="str">
        <f aca="false">IF(H202="","",H202-AVERAGE(H154:H250))</f>
        <v/>
      </c>
      <c r="J202" s="27" t="str">
        <f aca="false">IF(I202="","",Resumen!$B$10-(MAX(I154:I250)-I202))</f>
        <v/>
      </c>
    </row>
    <row r="203" customFormat="false" ht="15" hidden="false" customHeight="false" outlineLevel="0" collapsed="false">
      <c r="A203" s="24" t="n">
        <v>46263.4895833333</v>
      </c>
      <c r="B203" s="10" t="n">
        <v>6.3537</v>
      </c>
      <c r="C203" s="10" t="n">
        <v>0</v>
      </c>
      <c r="D203" s="10" t="n">
        <f aca="false">IF(OR(B203="",C203="",B203&lt;=0.05,C203&lt;=0.05),0,1)</f>
        <v>0</v>
      </c>
      <c r="E203" s="25" t="n">
        <f aca="false">IF(OR(A203&lt;Resumen!$B$6,A203&gt;=Resumen!$B$7),0,MAX(0,AVERAGEIFS(B155:B251,D155:D251,1)-Resumen!$B$5*AVERAGEIFS(C155:C251,D155:D251,1)))</f>
        <v>0</v>
      </c>
      <c r="F203" s="10" t="n">
        <f aca="false">IF(B203="","",(B203-E203)/Resumen!$B$5)</f>
        <v>5.04662430500397</v>
      </c>
      <c r="G203" s="10" t="n">
        <f aca="false">IF(OR(F203="",C203=""),0,(F203-C203)*0.9)</f>
        <v>4.54196187450358</v>
      </c>
      <c r="H203" s="26" t="str">
        <f aca="false">IF(A203&lt;Resumen!$B$11,"",IF(H202="",0,H202)+G203/Resumen!$B$9)</f>
        <v/>
      </c>
      <c r="I203" s="26" t="str">
        <f aca="false">IF(H203="","",H203-AVERAGE(H155:H251))</f>
        <v/>
      </c>
      <c r="J203" s="27" t="str">
        <f aca="false">IF(I203="","",Resumen!$B$10-(MAX(I155:I251)-I203))</f>
        <v/>
      </c>
    </row>
    <row r="204" customFormat="false" ht="15" hidden="false" customHeight="false" outlineLevel="0" collapsed="false">
      <c r="A204" s="24" t="n">
        <v>46263.5</v>
      </c>
      <c r="B204" s="10" t="n">
        <v>5.83</v>
      </c>
      <c r="C204" s="10" t="n">
        <v>0</v>
      </c>
      <c r="D204" s="10" t="n">
        <f aca="false">IF(OR(B204="",C204="",B204&lt;=0.05,C204&lt;=0.05),0,1)</f>
        <v>0</v>
      </c>
      <c r="E204" s="25" t="n">
        <f aca="false">IF(OR(A204&lt;Resumen!$B$6,A204&gt;=Resumen!$B$7),0,MAX(0,AVERAGEIFS(B156:B252,D156:D252,1)-Resumen!$B$5*AVERAGEIFS(C156:C252,D156:D252,1)))</f>
        <v>0</v>
      </c>
      <c r="F204" s="10" t="n">
        <f aca="false">IF(B204="","",(B204-E204)/Resumen!$B$5)</f>
        <v>4.6306592533757</v>
      </c>
      <c r="G204" s="10" t="n">
        <f aca="false">IF(OR(F204="",C204=""),0,(F204-C204)*0.9)</f>
        <v>4.16759332803813</v>
      </c>
      <c r="H204" s="26" t="str">
        <f aca="false">IF(A204&lt;Resumen!$B$11,"",IF(H203="",0,H203)+G204/Resumen!$B$9)</f>
        <v/>
      </c>
      <c r="I204" s="26" t="str">
        <f aca="false">IF(H204="","",H204-AVERAGE(H156:H252))</f>
        <v/>
      </c>
      <c r="J204" s="27" t="str">
        <f aca="false">IF(I204="","",Resumen!$B$10-(MAX(I156:I252)-I204))</f>
        <v/>
      </c>
    </row>
    <row r="205" customFormat="false" ht="15" hidden="false" customHeight="false" outlineLevel="0" collapsed="false">
      <c r="A205" s="24" t="n">
        <v>46263.5104166667</v>
      </c>
      <c r="B205" s="10" t="n">
        <v>4.691</v>
      </c>
      <c r="C205" s="10" t="n">
        <v>0</v>
      </c>
      <c r="D205" s="10" t="n">
        <f aca="false">IF(OR(B205="",C205="",B205&lt;=0.05,C205&lt;=0.05),0,1)</f>
        <v>0</v>
      </c>
      <c r="E205" s="25" t="n">
        <f aca="false">IF(OR(A205&lt;Resumen!$B$6,A205&gt;=Resumen!$B$7),0,MAX(0,AVERAGEIFS(B157:B253,D157:D253,1)-Resumen!$B$5*AVERAGEIFS(C157:C253,D157:D253,1)))</f>
        <v>0</v>
      </c>
      <c r="F205" s="10" t="n">
        <f aca="false">IF(B205="","",(B205-E205)/Resumen!$B$5)</f>
        <v>3.72597299444003</v>
      </c>
      <c r="G205" s="10" t="n">
        <f aca="false">IF(OR(F205="",C205=""),0,(F205-C205)*0.9)</f>
        <v>3.35337569499603</v>
      </c>
      <c r="H205" s="26" t="str">
        <f aca="false">IF(A205&lt;Resumen!$B$11,"",IF(H204="",0,H204)+G205/Resumen!$B$9)</f>
        <v/>
      </c>
      <c r="I205" s="26" t="str">
        <f aca="false">IF(H205="","",H205-AVERAGE(H157:H253))</f>
        <v/>
      </c>
      <c r="J205" s="27" t="str">
        <f aca="false">IF(I205="","",Resumen!$B$10-(MAX(I157:I253)-I205))</f>
        <v/>
      </c>
    </row>
    <row r="206" customFormat="false" ht="15" hidden="false" customHeight="false" outlineLevel="0" collapsed="false">
      <c r="A206" s="24" t="n">
        <v>46263.5208333333</v>
      </c>
      <c r="B206" s="10" t="n">
        <v>3.961</v>
      </c>
      <c r="C206" s="10" t="n">
        <v>0</v>
      </c>
      <c r="D206" s="10" t="n">
        <f aca="false">IF(OR(B206="",C206="",B206&lt;=0.05,C206&lt;=0.05),0,1)</f>
        <v>0</v>
      </c>
      <c r="E206" s="25" t="n">
        <f aca="false">IF(OR(A206&lt;Resumen!$B$6,A206&gt;=Resumen!$B$7),0,MAX(0,AVERAGEIFS(B158:B254,D158:D254,1)-Resumen!$B$5*AVERAGEIFS(C158:C254,D158:D254,1)))</f>
        <v>0</v>
      </c>
      <c r="F206" s="10" t="n">
        <f aca="false">IF(B206="","",(B206-E206)/Resumen!$B$5)</f>
        <v>3.14614773629865</v>
      </c>
      <c r="G206" s="10" t="n">
        <f aca="false">IF(OR(F206="",C206=""),0,(F206-C206)*0.9)</f>
        <v>2.83153296266879</v>
      </c>
      <c r="H206" s="26" t="str">
        <f aca="false">IF(A206&lt;Resumen!$B$11,"",IF(H205="",0,H205)+G206/Resumen!$B$9)</f>
        <v/>
      </c>
      <c r="I206" s="26" t="str">
        <f aca="false">IF(H206="","",H206-AVERAGE(H158:H254))</f>
        <v/>
      </c>
      <c r="J206" s="27" t="str">
        <f aca="false">IF(I206="","",Resumen!$B$10-(MAX(I158:I254)-I206))</f>
        <v/>
      </c>
    </row>
    <row r="207" customFormat="false" ht="15" hidden="false" customHeight="false" outlineLevel="0" collapsed="false">
      <c r="A207" s="24" t="n">
        <v>46263.53125</v>
      </c>
      <c r="B207" s="10" t="n">
        <v>4.2219</v>
      </c>
      <c r="C207" s="10" t="n">
        <v>0</v>
      </c>
      <c r="D207" s="10" t="n">
        <f aca="false">IF(OR(B207="",C207="",B207&lt;=0.05,C207&lt;=0.05),0,1)</f>
        <v>0</v>
      </c>
      <c r="E207" s="25" t="n">
        <f aca="false">IF(OR(A207&lt;Resumen!$B$6,A207&gt;=Resumen!$B$7),0,MAX(0,AVERAGEIFS(B159:B255,D159:D255,1)-Resumen!$B$5*AVERAGEIFS(C159:C255,D159:D255,1)))</f>
        <v>0</v>
      </c>
      <c r="F207" s="10" t="n">
        <f aca="false">IF(B207="","",(B207-E207)/Resumen!$B$5)</f>
        <v>3.35337569499603</v>
      </c>
      <c r="G207" s="10" t="n">
        <f aca="false">IF(OR(F207="",C207=""),0,(F207-C207)*0.9)</f>
        <v>3.01803812549643</v>
      </c>
      <c r="H207" s="26" t="str">
        <f aca="false">IF(A207&lt;Resumen!$B$11,"",IF(H206="",0,H206)+G207/Resumen!$B$9)</f>
        <v/>
      </c>
      <c r="I207" s="26" t="str">
        <f aca="false">IF(H207="","",H207-AVERAGE(H159:H255))</f>
        <v/>
      </c>
      <c r="J207" s="27" t="str">
        <f aca="false">IF(I207="","",Resumen!$B$10-(MAX(I159:I255)-I207))</f>
        <v/>
      </c>
    </row>
    <row r="208" customFormat="false" ht="15" hidden="false" customHeight="false" outlineLevel="0" collapsed="false">
      <c r="A208" s="24" t="n">
        <v>46263.5416666667</v>
      </c>
      <c r="B208" s="10" t="n">
        <v>3.3387</v>
      </c>
      <c r="C208" s="10" t="n">
        <v>0</v>
      </c>
      <c r="D208" s="10" t="n">
        <f aca="false">IF(OR(B208="",C208="",B208&lt;=0.05,C208&lt;=0.05),0,1)</f>
        <v>0</v>
      </c>
      <c r="E208" s="25" t="n">
        <f aca="false">IF(OR(A208&lt;Resumen!$B$6,A208&gt;=Resumen!$B$7),0,MAX(0,AVERAGEIFS(B160:B256,D160:D256,1)-Resumen!$B$5*AVERAGEIFS(C160:C256,D160:D256,1)))</f>
        <v>0</v>
      </c>
      <c r="F208" s="10" t="n">
        <f aca="false">IF(B208="","",(B208-E208)/Resumen!$B$5)</f>
        <v>2.65186656076251</v>
      </c>
      <c r="G208" s="10" t="n">
        <f aca="false">IF(OR(F208="",C208=""),0,(F208-C208)*0.9)</f>
        <v>2.38667990468626</v>
      </c>
      <c r="H208" s="26" t="str">
        <f aca="false">IF(A208&lt;Resumen!$B$11,"",IF(H207="",0,H207)+G208/Resumen!$B$9)</f>
        <v/>
      </c>
      <c r="I208" s="26" t="str">
        <f aca="false">IF(H208="","",H208-AVERAGE(H160:H256))</f>
        <v/>
      </c>
      <c r="J208" s="27" t="str">
        <f aca="false">IF(I208="","",Resumen!$B$10-(MAX(I160:I256)-I208))</f>
        <v/>
      </c>
    </row>
    <row r="209" customFormat="false" ht="15" hidden="false" customHeight="false" outlineLevel="0" collapsed="false">
      <c r="A209" s="24" t="n">
        <v>46263.5520833333</v>
      </c>
      <c r="B209" s="10" t="n">
        <v>1.62</v>
      </c>
      <c r="C209" s="10" t="n">
        <v>0</v>
      </c>
      <c r="D209" s="10" t="n">
        <f aca="false">IF(OR(B209="",C209="",B209&lt;=0.05,C209&lt;=0.05),0,1)</f>
        <v>0</v>
      </c>
      <c r="E209" s="25" t="n">
        <f aca="false">IF(OR(A209&lt;Resumen!$B$6,A209&gt;=Resumen!$B$7),0,MAX(0,AVERAGEIFS(B161:B257,D161:D257,1)-Resumen!$B$5*AVERAGEIFS(C161:C257,D161:D257,1)))</f>
        <v>0</v>
      </c>
      <c r="F209" s="10" t="n">
        <f aca="false">IF(B209="","",(B209-E209)/Resumen!$B$5)</f>
        <v>1.28673550436855</v>
      </c>
      <c r="G209" s="10" t="n">
        <f aca="false">IF(OR(F209="",C209=""),0,(F209-C209)*0.9)</f>
        <v>1.15806195393169</v>
      </c>
      <c r="H209" s="26" t="str">
        <f aca="false">IF(A209&lt;Resumen!$B$11,"",IF(H208="",0,H208)+G209/Resumen!$B$9)</f>
        <v/>
      </c>
      <c r="I209" s="26" t="str">
        <f aca="false">IF(H209="","",H209-AVERAGE(H161:H257))</f>
        <v/>
      </c>
      <c r="J209" s="27" t="str">
        <f aca="false">IF(I209="","",Resumen!$B$10-(MAX(I161:I257)-I209))</f>
        <v/>
      </c>
    </row>
    <row r="210" customFormat="false" ht="15" hidden="false" customHeight="false" outlineLevel="0" collapsed="false">
      <c r="A210" s="24" t="n">
        <v>46263.5625</v>
      </c>
      <c r="B210" s="10" t="n">
        <v>2.1427</v>
      </c>
      <c r="C210" s="10" t="n">
        <v>0</v>
      </c>
      <c r="D210" s="10" t="n">
        <f aca="false">IF(OR(B210="",C210="",B210&lt;=0.05,C210&lt;=0.05),0,1)</f>
        <v>0</v>
      </c>
      <c r="E210" s="25" t="n">
        <f aca="false">IF(OR(A210&lt;Resumen!$B$6,A210&gt;=Resumen!$B$7),0,MAX(0,AVERAGEIFS(B162:B258,D162:D258,1)-Resumen!$B$5*AVERAGEIFS(C162:C258,D162:D258,1)))</f>
        <v>0</v>
      </c>
      <c r="F210" s="10" t="n">
        <f aca="false">IF(B210="","",(B210-E210)/Resumen!$B$5)</f>
        <v>1.70190627482129</v>
      </c>
      <c r="G210" s="10" t="n">
        <f aca="false">IF(OR(F210="",C210=""),0,(F210-C210)*0.9)</f>
        <v>1.53171564733916</v>
      </c>
      <c r="H210" s="26" t="str">
        <f aca="false">IF(A210&lt;Resumen!$B$11,"",IF(H209="",0,H209)+G210/Resumen!$B$9)</f>
        <v/>
      </c>
      <c r="I210" s="26" t="str">
        <f aca="false">IF(H210="","",H210-AVERAGE(H162:H258))</f>
        <v/>
      </c>
      <c r="J210" s="27" t="str">
        <f aca="false">IF(I210="","",Resumen!$B$10-(MAX(I162:I258)-I210))</f>
        <v/>
      </c>
    </row>
    <row r="211" customFormat="false" ht="15" hidden="false" customHeight="false" outlineLevel="0" collapsed="false">
      <c r="A211" s="24" t="n">
        <v>46263.5729166667</v>
      </c>
      <c r="B211" s="10" t="n">
        <v>2.5739</v>
      </c>
      <c r="C211" s="10" t="n">
        <v>0</v>
      </c>
      <c r="D211" s="10" t="n">
        <f aca="false">IF(OR(B211="",C211="",B211&lt;=0.05,C211&lt;=0.05),0,1)</f>
        <v>0</v>
      </c>
      <c r="E211" s="25" t="n">
        <f aca="false">IF(OR(A211&lt;Resumen!$B$6,A211&gt;=Resumen!$B$7),0,MAX(0,AVERAGEIFS(B163:B259,D163:D259,1)-Resumen!$B$5*AVERAGEIFS(C163:C259,D163:D259,1)))</f>
        <v>0</v>
      </c>
      <c r="F211" s="10" t="n">
        <f aca="false">IF(B211="","",(B211-E211)/Resumen!$B$5)</f>
        <v>2.04440031771247</v>
      </c>
      <c r="G211" s="10" t="n">
        <f aca="false">IF(OR(F211="",C211=""),0,(F211-C211)*0.9)</f>
        <v>1.83996028594122</v>
      </c>
      <c r="H211" s="26" t="str">
        <f aca="false">IF(A211&lt;Resumen!$B$11,"",IF(H210="",0,H210)+G211/Resumen!$B$9)</f>
        <v/>
      </c>
      <c r="I211" s="26" t="str">
        <f aca="false">IF(H211="","",H211-AVERAGE(H163:H259))</f>
        <v/>
      </c>
      <c r="J211" s="27" t="str">
        <f aca="false">IF(I211="","",Resumen!$B$10-(MAX(I163:I259)-I211))</f>
        <v/>
      </c>
    </row>
    <row r="212" customFormat="false" ht="15" hidden="false" customHeight="false" outlineLevel="0" collapsed="false">
      <c r="A212" s="24" t="n">
        <v>46263.5833333333</v>
      </c>
      <c r="B212" s="10" t="n">
        <v>4.2699</v>
      </c>
      <c r="C212" s="10" t="n">
        <v>3.1469</v>
      </c>
      <c r="D212" s="10" t="n">
        <f aca="false">IF(OR(B212="",C212="",B212&lt;=0.05,C212&lt;=0.05),0,1)</f>
        <v>1</v>
      </c>
      <c r="E212" s="25" t="n">
        <f aca="false">IF(OR(A212&lt;Resumen!$B$6,A212&gt;=Resumen!$B$7),0,MAX(0,AVERAGEIFS(B164:B260,D164:D260,1)-Resumen!$B$5*AVERAGEIFS(C164:C260,D164:D260,1)))</f>
        <v>0</v>
      </c>
      <c r="F212" s="10" t="n">
        <f aca="false">IF(B212="","",(B212-E212)/Resumen!$B$5)</f>
        <v>3.39150119142176</v>
      </c>
      <c r="G212" s="10" t="n">
        <f aca="false">IF(OR(F212="",C212=""),0,(F212-C212)*0.9)</f>
        <v>0.220141072279587</v>
      </c>
      <c r="H212" s="26" t="str">
        <f aca="false">IF(A212&lt;Resumen!$B$11,"",IF(H211="",0,H211)+G212/Resumen!$B$9)</f>
        <v/>
      </c>
      <c r="I212" s="26" t="str">
        <f aca="false">IF(H212="","",H212-AVERAGE(H164:H260))</f>
        <v/>
      </c>
      <c r="J212" s="27" t="str">
        <f aca="false">IF(I212="","",Resumen!$B$10-(MAX(I164:I260)-I212))</f>
        <v/>
      </c>
    </row>
    <row r="213" customFormat="false" ht="15" hidden="false" customHeight="false" outlineLevel="0" collapsed="false">
      <c r="A213" s="24" t="n">
        <v>46263.59375</v>
      </c>
      <c r="B213" s="10" t="n">
        <v>3.1724</v>
      </c>
      <c r="C213" s="10" t="n">
        <v>3.4252</v>
      </c>
      <c r="D213" s="10" t="n">
        <f aca="false">IF(OR(B213="",C213="",B213&lt;=0.05,C213&lt;=0.05),0,1)</f>
        <v>1</v>
      </c>
      <c r="E213" s="25" t="n">
        <f aca="false">IF(OR(A213&lt;Resumen!$B$6,A213&gt;=Resumen!$B$7),0,MAX(0,AVERAGEIFS(B165:B261,D165:D261,1)-Resumen!$B$5*AVERAGEIFS(C165:C261,D165:D261,1)))</f>
        <v>0</v>
      </c>
      <c r="F213" s="10" t="n">
        <f aca="false">IF(B213="","",(B213-E213)/Resumen!$B$5)</f>
        <v>2.51977760127085</v>
      </c>
      <c r="G213" s="10" t="n">
        <f aca="false">IF(OR(F213="",C213=""),0,(F213-C213)*0.9)</f>
        <v>-0.814880158856235</v>
      </c>
      <c r="H213" s="26" t="str">
        <f aca="false">IF(A213&lt;Resumen!$B$11,"",IF(H212="",0,H212)+G213/Resumen!$B$9)</f>
        <v/>
      </c>
      <c r="I213" s="26" t="str">
        <f aca="false">IF(H213="","",H213-AVERAGE(H165:H261))</f>
        <v/>
      </c>
      <c r="J213" s="27" t="str">
        <f aca="false">IF(I213="","",Resumen!$B$10-(MAX(I165:I261)-I213))</f>
        <v/>
      </c>
    </row>
    <row r="214" customFormat="false" ht="15" hidden="false" customHeight="false" outlineLevel="0" collapsed="false">
      <c r="A214" s="24" t="n">
        <v>46263.6041666667</v>
      </c>
      <c r="B214" s="10" t="n">
        <v>3.8839</v>
      </c>
      <c r="C214" s="10" t="n">
        <v>3.0169</v>
      </c>
      <c r="D214" s="10" t="n">
        <f aca="false">IF(OR(B214="",C214="",B214&lt;=0.05,C214&lt;=0.05),0,1)</f>
        <v>1</v>
      </c>
      <c r="E214" s="25" t="n">
        <f aca="false">IF(OR(A214&lt;Resumen!$B$6,A214&gt;=Resumen!$B$7),0,MAX(0,AVERAGEIFS(B166:B262,D166:D262,1)-Resumen!$B$5*AVERAGEIFS(C166:C262,D166:D262,1)))</f>
        <v>0</v>
      </c>
      <c r="F214" s="10" t="n">
        <f aca="false">IF(B214="","",(B214-E214)/Resumen!$B$5)</f>
        <v>3.08490865766481</v>
      </c>
      <c r="G214" s="10" t="n">
        <f aca="false">IF(OR(F214="",C214=""),0,(F214-C214)*0.9)</f>
        <v>0.0612077918983322</v>
      </c>
      <c r="H214" s="26" t="str">
        <f aca="false">IF(A214&lt;Resumen!$B$11,"",IF(H213="",0,H213)+G214/Resumen!$B$9)</f>
        <v/>
      </c>
      <c r="I214" s="26" t="str">
        <f aca="false">IF(H214="","",H214-AVERAGE(H166:H262))</f>
        <v/>
      </c>
      <c r="J214" s="27" t="str">
        <f aca="false">IF(I214="","",Resumen!$B$10-(MAX(I166:I262)-I214))</f>
        <v/>
      </c>
    </row>
    <row r="215" customFormat="false" ht="15" hidden="false" customHeight="false" outlineLevel="0" collapsed="false">
      <c r="A215" s="24" t="n">
        <v>46263.6145833333</v>
      </c>
      <c r="B215" s="10" t="n">
        <v>4.2243</v>
      </c>
      <c r="C215" s="10" t="n">
        <v>2.9407</v>
      </c>
      <c r="D215" s="10" t="n">
        <f aca="false">IF(OR(B215="",C215="",B215&lt;=0.05,C215&lt;=0.05),0,1)</f>
        <v>1</v>
      </c>
      <c r="E215" s="25" t="n">
        <f aca="false">IF(OR(A215&lt;Resumen!$B$6,A215&gt;=Resumen!$B$7),0,MAX(0,AVERAGEIFS(B167:B263,D167:D263,1)-Resumen!$B$5*AVERAGEIFS(C167:C263,D167:D263,1)))</f>
        <v>0</v>
      </c>
      <c r="F215" s="10" t="n">
        <f aca="false">IF(B215="","",(B215-E215)/Resumen!$B$5)</f>
        <v>3.35528196981732</v>
      </c>
      <c r="G215" s="10" t="n">
        <f aca="false">IF(OR(F215="",C215=""),0,(F215-C215)*0.9)</f>
        <v>0.373123772835584</v>
      </c>
      <c r="H215" s="26" t="str">
        <f aca="false">IF(A215&lt;Resumen!$B$11,"",IF(H214="",0,H214)+G215/Resumen!$B$9)</f>
        <v/>
      </c>
      <c r="I215" s="26" t="str">
        <f aca="false">IF(H215="","",H215-AVERAGE(H167:H263))</f>
        <v/>
      </c>
      <c r="J215" s="27" t="str">
        <f aca="false">IF(I215="","",Resumen!$B$10-(MAX(I167:I263)-I215))</f>
        <v/>
      </c>
    </row>
    <row r="216" customFormat="false" ht="15" hidden="false" customHeight="false" outlineLevel="0" collapsed="false">
      <c r="A216" s="24" t="n">
        <v>46263.625</v>
      </c>
      <c r="B216" s="10" t="n">
        <v>4.3707</v>
      </c>
      <c r="C216" s="10" t="n">
        <v>2.5955</v>
      </c>
      <c r="D216" s="10" t="n">
        <f aca="false">IF(OR(B216="",C216="",B216&lt;=0.05,C216&lt;=0.05),0,1)</f>
        <v>1</v>
      </c>
      <c r="E216" s="25" t="n">
        <f aca="false">IF(OR(A216&lt;Resumen!$B$6,A216&gt;=Resumen!$B$7),0,MAX(0,AVERAGEIFS(B168:B264,D168:D264,1)-Resumen!$B$5*AVERAGEIFS(C168:C264,D168:D264,1)))</f>
        <v>0</v>
      </c>
      <c r="F216" s="10" t="n">
        <f aca="false">IF(B216="","",(B216-E216)/Resumen!$B$5)</f>
        <v>3.47156473391581</v>
      </c>
      <c r="G216" s="10" t="n">
        <f aca="false">IF(OR(F216="",C216=""),0,(F216-C216)*0.9)</f>
        <v>0.788458260524226</v>
      </c>
      <c r="H216" s="26" t="str">
        <f aca="false">IF(A216&lt;Resumen!$B$11,"",IF(H215="",0,H215)+G216/Resumen!$B$9)</f>
        <v/>
      </c>
      <c r="I216" s="26" t="str">
        <f aca="false">IF(H216="","",H216-AVERAGE(H168:H264))</f>
        <v/>
      </c>
      <c r="J216" s="27" t="str">
        <f aca="false">IF(I216="","",Resumen!$B$10-(MAX(I168:I264)-I216))</f>
        <v/>
      </c>
    </row>
    <row r="217" customFormat="false" ht="15" hidden="false" customHeight="false" outlineLevel="0" collapsed="false">
      <c r="A217" s="24" t="n">
        <v>46263.6354166667</v>
      </c>
      <c r="B217" s="10" t="n">
        <v>4.3823</v>
      </c>
      <c r="C217" s="10" t="n">
        <v>3.0644</v>
      </c>
      <c r="D217" s="10" t="n">
        <f aca="false">IF(OR(B217="",C217="",B217&lt;=0.05,C217&lt;=0.05),0,1)</f>
        <v>1</v>
      </c>
      <c r="E217" s="25" t="n">
        <f aca="false">IF(OR(A217&lt;Resumen!$B$6,A217&gt;=Resumen!$B$7),0,MAX(0,AVERAGEIFS(B169:B265,D169:D265,1)-Resumen!$B$5*AVERAGEIFS(C169:C265,D169:D265,1)))</f>
        <v>0</v>
      </c>
      <c r="F217" s="10" t="n">
        <f aca="false">IF(B217="","",(B217-E217)/Resumen!$B$5)</f>
        <v>3.48077839555203</v>
      </c>
      <c r="G217" s="10" t="n">
        <f aca="false">IF(OR(F217="",C217=""),0,(F217-C217)*0.9)</f>
        <v>0.374740555996823</v>
      </c>
      <c r="H217" s="26" t="str">
        <f aca="false">IF(A217&lt;Resumen!$B$11,"",IF(H216="",0,H216)+G217/Resumen!$B$9)</f>
        <v/>
      </c>
      <c r="I217" s="26" t="str">
        <f aca="false">IF(H217="","",H217-AVERAGE(H169:H265))</f>
        <v/>
      </c>
      <c r="J217" s="27" t="str">
        <f aca="false">IF(I217="","",Resumen!$B$10-(MAX(I169:I265)-I217))</f>
        <v/>
      </c>
    </row>
    <row r="218" customFormat="false" ht="15" hidden="false" customHeight="false" outlineLevel="0" collapsed="false">
      <c r="A218" s="24" t="n">
        <v>46263.6458333333</v>
      </c>
      <c r="B218" s="10" t="n">
        <v>5.0113</v>
      </c>
      <c r="C218" s="10" t="n">
        <v>2.6465</v>
      </c>
      <c r="D218" s="10" t="n">
        <f aca="false">IF(OR(B218="",C218="",B218&lt;=0.05,C218&lt;=0.05),0,1)</f>
        <v>1</v>
      </c>
      <c r="E218" s="25" t="n">
        <f aca="false">IF(OR(A218&lt;Resumen!$B$6,A218&gt;=Resumen!$B$7),0,MAX(0,AVERAGEIFS(B170:B266,D170:D266,1)-Resumen!$B$5*AVERAGEIFS(C170:C266,D170:D266,1)))</f>
        <v>0</v>
      </c>
      <c r="F218" s="10" t="n">
        <f aca="false">IF(B218="","",(B218-E218)/Resumen!$B$5)</f>
        <v>3.98038125496426</v>
      </c>
      <c r="G218" s="10" t="n">
        <f aca="false">IF(OR(F218="",C218=""),0,(F218-C218)*0.9)</f>
        <v>1.20049312946783</v>
      </c>
      <c r="H218" s="26" t="str">
        <f aca="false">IF(A218&lt;Resumen!$B$11,"",IF(H217="",0,H217)+G218/Resumen!$B$9)</f>
        <v/>
      </c>
      <c r="I218" s="26" t="str">
        <f aca="false">IF(H218="","",H218-AVERAGE(H170:H266))</f>
        <v/>
      </c>
      <c r="J218" s="27" t="str">
        <f aca="false">IF(I218="","",Resumen!$B$10-(MAX(I170:I266)-I218))</f>
        <v/>
      </c>
    </row>
    <row r="219" customFormat="false" ht="15" hidden="false" customHeight="false" outlineLevel="0" collapsed="false">
      <c r="A219" s="24" t="n">
        <v>46263.65625</v>
      </c>
      <c r="B219" s="10" t="n">
        <v>4.8825</v>
      </c>
      <c r="C219" s="10" t="n">
        <v>2.7069</v>
      </c>
      <c r="D219" s="10" t="n">
        <f aca="false">IF(OR(B219="",C219="",B219&lt;=0.05,C219&lt;=0.05),0,1)</f>
        <v>1</v>
      </c>
      <c r="E219" s="25" t="n">
        <f aca="false">IF(OR(A219&lt;Resumen!$B$6,A219&gt;=Resumen!$B$7),0,MAX(0,AVERAGEIFS(B171:B267,D171:D267,1)-Resumen!$B$5*AVERAGEIFS(C171:C267,D171:D267,1)))</f>
        <v>0</v>
      </c>
      <c r="F219" s="10" t="n">
        <f aca="false">IF(B219="","",(B219-E219)/Resumen!$B$5)</f>
        <v>3.8780778395552</v>
      </c>
      <c r="G219" s="10" t="n">
        <f aca="false">IF(OR(F219="",C219=""),0,(F219-C219)*0.9)</f>
        <v>1.05406005559968</v>
      </c>
      <c r="H219" s="26" t="str">
        <f aca="false">IF(A219&lt;Resumen!$B$11,"",IF(H218="",0,H218)+G219/Resumen!$B$9)</f>
        <v/>
      </c>
      <c r="I219" s="26" t="str">
        <f aca="false">IF(H219="","",H219-AVERAGE(H171:H267))</f>
        <v/>
      </c>
      <c r="J219" s="27" t="str">
        <f aca="false">IF(I219="","",Resumen!$B$10-(MAX(I171:I267)-I219))</f>
        <v/>
      </c>
    </row>
    <row r="220" customFormat="false" ht="15" hidden="false" customHeight="false" outlineLevel="0" collapsed="false">
      <c r="A220" s="24" t="n">
        <v>46263.6666666667</v>
      </c>
      <c r="B220" s="10" t="n">
        <v>5.5646</v>
      </c>
      <c r="C220" s="10" t="n">
        <v>2.5727</v>
      </c>
      <c r="D220" s="10" t="n">
        <f aca="false">IF(OR(B220="",C220="",B220&lt;=0.05,C220&lt;=0.05),0,1)</f>
        <v>1</v>
      </c>
      <c r="E220" s="25" t="n">
        <f aca="false">IF(OR(A220&lt;Resumen!$B$6,A220&gt;=Resumen!$B$7),0,MAX(0,AVERAGEIFS(B172:B268,D172:D268,1)-Resumen!$B$5*AVERAGEIFS(C172:C268,D172:D268,1)))</f>
        <v>0</v>
      </c>
      <c r="F220" s="10" t="n">
        <f aca="false">IF(B220="","",(B220-E220)/Resumen!$B$5)</f>
        <v>4.4198570293884</v>
      </c>
      <c r="G220" s="10" t="n">
        <f aca="false">IF(OR(F220="",C220=""),0,(F220-C220)*0.9)</f>
        <v>1.66244132644956</v>
      </c>
      <c r="H220" s="26" t="str">
        <f aca="false">IF(A220&lt;Resumen!$B$11,"",IF(H219="",0,H219)+G220/Resumen!$B$9)</f>
        <v/>
      </c>
      <c r="I220" s="26" t="str">
        <f aca="false">IF(H220="","",H220-AVERAGE(H172:H268))</f>
        <v/>
      </c>
      <c r="J220" s="27" t="str">
        <f aca="false">IF(I220="","",Resumen!$B$10-(MAX(I172:I268)-I220))</f>
        <v/>
      </c>
    </row>
    <row r="221" customFormat="false" ht="15" hidden="false" customHeight="false" outlineLevel="0" collapsed="false">
      <c r="A221" s="24" t="n">
        <v>46263.6770833333</v>
      </c>
      <c r="B221" s="10" t="n">
        <v>4.5912</v>
      </c>
      <c r="C221" s="10" t="n">
        <v>2.6569</v>
      </c>
      <c r="D221" s="10" t="n">
        <f aca="false">IF(OR(B221="",C221="",B221&lt;=0.05,C221&lt;=0.05),0,1)</f>
        <v>1</v>
      </c>
      <c r="E221" s="25" t="n">
        <f aca="false">IF(OR(A221&lt;Resumen!$B$6,A221&gt;=Resumen!$B$7),0,MAX(0,AVERAGEIFS(B173:B269,D173:D269,1)-Resumen!$B$5*AVERAGEIFS(C173:C269,D173:D269,1)))</f>
        <v>0</v>
      </c>
      <c r="F221" s="10" t="n">
        <f aca="false">IF(B221="","",(B221-E221)/Resumen!$B$5)</f>
        <v>3.64670373312153</v>
      </c>
      <c r="G221" s="10" t="n">
        <f aca="false">IF(OR(F221="",C221=""),0,(F221-C221)*0.9)</f>
        <v>0.890823359809373</v>
      </c>
      <c r="H221" s="26" t="str">
        <f aca="false">IF(A221&lt;Resumen!$B$11,"",IF(H220="",0,H220)+G221/Resumen!$B$9)</f>
        <v/>
      </c>
      <c r="I221" s="26" t="str">
        <f aca="false">IF(H221="","",H221-AVERAGE(H173:H269))</f>
        <v/>
      </c>
      <c r="J221" s="27" t="str">
        <f aca="false">IF(I221="","",Resumen!$B$10-(MAX(I173:I269)-I221))</f>
        <v/>
      </c>
    </row>
    <row r="222" customFormat="false" ht="15" hidden="false" customHeight="false" outlineLevel="0" collapsed="false">
      <c r="A222" s="24" t="n">
        <v>46263.6875</v>
      </c>
      <c r="B222" s="10" t="n">
        <v>4.7349</v>
      </c>
      <c r="C222" s="10" t="n">
        <v>2.4587</v>
      </c>
      <c r="D222" s="10" t="n">
        <f aca="false">IF(OR(B222="",C222="",B222&lt;=0.05,C222&lt;=0.05),0,1)</f>
        <v>1</v>
      </c>
      <c r="E222" s="25" t="n">
        <f aca="false">IF(OR(A222&lt;Resumen!$B$6,A222&gt;=Resumen!$B$7),0,MAX(0,AVERAGEIFS(B174:B270,D174:D270,1)-Resumen!$B$5*AVERAGEIFS(C174:C270,D174:D270,1)))</f>
        <v>0</v>
      </c>
      <c r="F222" s="10" t="n">
        <f aca="false">IF(B222="","",(B222-E222)/Resumen!$B$5)</f>
        <v>3.76084193804607</v>
      </c>
      <c r="G222" s="10" t="n">
        <f aca="false">IF(OR(F222="",C222=""),0,(F222-C222)*0.9)</f>
        <v>1.17192774424146</v>
      </c>
      <c r="H222" s="26" t="str">
        <f aca="false">IF(A222&lt;Resumen!$B$11,"",IF(H221="",0,H221)+G222/Resumen!$B$9)</f>
        <v/>
      </c>
      <c r="I222" s="26" t="str">
        <f aca="false">IF(H222="","",H222-AVERAGE(H174:H270))</f>
        <v/>
      </c>
      <c r="J222" s="27" t="str">
        <f aca="false">IF(I222="","",Resumen!$B$10-(MAX(I174:I270)-I222))</f>
        <v/>
      </c>
    </row>
    <row r="223" customFormat="false" ht="15" hidden="false" customHeight="false" outlineLevel="0" collapsed="false">
      <c r="A223" s="24" t="n">
        <v>46263.6979166667</v>
      </c>
      <c r="B223" s="10" t="n">
        <v>4.0704</v>
      </c>
      <c r="C223" s="10" t="n">
        <v>2.9679</v>
      </c>
      <c r="D223" s="10" t="n">
        <f aca="false">IF(OR(B223="",C223="",B223&lt;=0.05,C223&lt;=0.05),0,1)</f>
        <v>1</v>
      </c>
      <c r="E223" s="25" t="n">
        <f aca="false">IF(OR(A223&lt;Resumen!$B$6,A223&gt;=Resumen!$B$7),0,MAX(0,AVERAGEIFS(B175:B271,D175:D271,1)-Resumen!$B$5*AVERAGEIFS(C175:C271,D175:D271,1)))</f>
        <v>0</v>
      </c>
      <c r="F223" s="10" t="n">
        <f aca="false">IF(B223="","",(B223-E223)/Resumen!$B$5)</f>
        <v>3.2330420969023</v>
      </c>
      <c r="G223" s="10" t="n">
        <f aca="false">IF(OR(F223="",C223=""),0,(F223-C223)*0.9)</f>
        <v>0.238627887212073</v>
      </c>
      <c r="H223" s="26" t="str">
        <f aca="false">IF(A223&lt;Resumen!$B$11,"",IF(H222="",0,H222)+G223/Resumen!$B$9)</f>
        <v/>
      </c>
      <c r="I223" s="26" t="str">
        <f aca="false">IF(H223="","",H223-AVERAGE(H175:H271))</f>
        <v/>
      </c>
      <c r="J223" s="27" t="str">
        <f aca="false">IF(I223="","",Resumen!$B$10-(MAX(I175:I271)-I223))</f>
        <v/>
      </c>
    </row>
    <row r="224" customFormat="false" ht="15" hidden="false" customHeight="false" outlineLevel="0" collapsed="false">
      <c r="A224" s="24" t="n">
        <v>46263.7083333333</v>
      </c>
      <c r="B224" s="10" t="n">
        <v>3.8677</v>
      </c>
      <c r="C224" s="10" t="n">
        <v>3.0147</v>
      </c>
      <c r="D224" s="10" t="n">
        <f aca="false">IF(OR(B224="",C224="",B224&lt;=0.05,C224&lt;=0.05),0,1)</f>
        <v>1</v>
      </c>
      <c r="E224" s="25" t="n">
        <f aca="false">IF(OR(A224&lt;Resumen!$B$6,A224&gt;=Resumen!$B$7),0,MAX(0,AVERAGEIFS(B176:B272,D176:D272,1)-Resumen!$B$5*AVERAGEIFS(C176:C272,D176:D272,1)))</f>
        <v>0</v>
      </c>
      <c r="F224" s="10" t="n">
        <f aca="false">IF(B224="","",(B224-E224)/Resumen!$B$5)</f>
        <v>3.07204130262113</v>
      </c>
      <c r="G224" s="10" t="n">
        <f aca="false">IF(OR(F224="",C224=""),0,(F224-C224)*0.9)</f>
        <v>0.0516071723590154</v>
      </c>
      <c r="H224" s="26" t="str">
        <f aca="false">IF(A224&lt;Resumen!$B$11,"",IF(H223="",0,H223)+G224/Resumen!$B$9)</f>
        <v/>
      </c>
      <c r="I224" s="26" t="str">
        <f aca="false">IF(H224="","",H224-AVERAGE(H176:H272))</f>
        <v/>
      </c>
      <c r="J224" s="27" t="str">
        <f aca="false">IF(I224="","",Resumen!$B$10-(MAX(I176:I272)-I224))</f>
        <v/>
      </c>
    </row>
    <row r="225" customFormat="false" ht="15" hidden="false" customHeight="false" outlineLevel="0" collapsed="false">
      <c r="A225" s="24" t="n">
        <v>46263.71875</v>
      </c>
      <c r="B225" s="10" t="n">
        <v>2.7006</v>
      </c>
      <c r="C225" s="10" t="n">
        <v>2.3651</v>
      </c>
      <c r="D225" s="10" t="n">
        <f aca="false">IF(OR(B225="",C225="",B225&lt;=0.05,C225&lt;=0.05),0,1)</f>
        <v>1</v>
      </c>
      <c r="E225" s="25" t="n">
        <f aca="false">IF(OR(A225&lt;Resumen!$B$6,A225&gt;=Resumen!$B$7),0,MAX(0,AVERAGEIFS(B177:B273,D177:D273,1)-Resumen!$B$5*AVERAGEIFS(C177:C273,D177:D273,1)))</f>
        <v>0</v>
      </c>
      <c r="F225" s="10" t="n">
        <f aca="false">IF(B225="","",(B225-E225)/Resumen!$B$5)</f>
        <v>2.1450357426529</v>
      </c>
      <c r="G225" s="10" t="n">
        <f aca="false">IF(OR(F225="",C225=""),0,(F225-C225)*0.9)</f>
        <v>-0.198057831612391</v>
      </c>
      <c r="H225" s="26" t="str">
        <f aca="false">IF(A225&lt;Resumen!$B$11,"",IF(H224="",0,H224)+G225/Resumen!$B$9)</f>
        <v/>
      </c>
      <c r="I225" s="26" t="str">
        <f aca="false">IF(H225="","",H225-AVERAGE(H177:H273))</f>
        <v/>
      </c>
      <c r="J225" s="27" t="str">
        <f aca="false">IF(I225="","",Resumen!$B$10-(MAX(I177:I273)-I225))</f>
        <v/>
      </c>
    </row>
    <row r="226" customFormat="false" ht="15" hidden="false" customHeight="false" outlineLevel="0" collapsed="false">
      <c r="A226" s="24" t="n">
        <v>46263.7291666667</v>
      </c>
      <c r="B226" s="10" t="n">
        <v>2.5948</v>
      </c>
      <c r="C226" s="10" t="n">
        <v>2.8235</v>
      </c>
      <c r="D226" s="10" t="n">
        <f aca="false">IF(OR(B226="",C226="",B226&lt;=0.05,C226&lt;=0.05),0,1)</f>
        <v>1</v>
      </c>
      <c r="E226" s="25" t="n">
        <f aca="false">IF(OR(A226&lt;Resumen!$B$6,A226&gt;=Resumen!$B$7),0,MAX(0,AVERAGEIFS(B178:B274,D178:D274,1)-Resumen!$B$5*AVERAGEIFS(C178:C274,D178:D274,1)))</f>
        <v>0</v>
      </c>
      <c r="F226" s="10" t="n">
        <f aca="false">IF(B226="","",(B226-E226)/Resumen!$B$5)</f>
        <v>2.06100079428118</v>
      </c>
      <c r="G226" s="10" t="n">
        <f aca="false">IF(OR(F226="",C226=""),0,(F226-C226)*0.9)</f>
        <v>-0.686249285146942</v>
      </c>
      <c r="H226" s="26" t="str">
        <f aca="false">IF(A226&lt;Resumen!$B$11,"",IF(H225="",0,H225)+G226/Resumen!$B$9)</f>
        <v/>
      </c>
      <c r="I226" s="26" t="str">
        <f aca="false">IF(H226="","",H226-AVERAGE(H178:H274))</f>
        <v/>
      </c>
      <c r="J226" s="27" t="str">
        <f aca="false">IF(I226="","",Resumen!$B$10-(MAX(I178:I274)-I226))</f>
        <v/>
      </c>
    </row>
    <row r="227" customFormat="false" ht="15" hidden="false" customHeight="false" outlineLevel="0" collapsed="false">
      <c r="A227" s="24" t="n">
        <v>46263.7395833333</v>
      </c>
      <c r="B227" s="10" t="n">
        <v>2.7326</v>
      </c>
      <c r="C227" s="10" t="n">
        <v>2.8933</v>
      </c>
      <c r="D227" s="10" t="n">
        <f aca="false">IF(OR(B227="",C227="",B227&lt;=0.05,C227&lt;=0.05),0,1)</f>
        <v>1</v>
      </c>
      <c r="E227" s="25" t="n">
        <f aca="false">IF(OR(A227&lt;Resumen!$B$6,A227&gt;=Resumen!$B$7),0,MAX(0,AVERAGEIFS(B179:B275,D179:D275,1)-Resumen!$B$5*AVERAGEIFS(C179:C275,D179:D275,1)))</f>
        <v>0</v>
      </c>
      <c r="F227" s="10" t="n">
        <f aca="false">IF(B227="","",(B227-E227)/Resumen!$B$5)</f>
        <v>2.17045274027006</v>
      </c>
      <c r="G227" s="10" t="n">
        <f aca="false">IF(OR(F227="",C227=""),0,(F227-C227)*0.9)</f>
        <v>-0.65056253375695</v>
      </c>
      <c r="H227" s="26" t="str">
        <f aca="false">IF(A227&lt;Resumen!$B$11,"",IF(H226="",0,H226)+G227/Resumen!$B$9)</f>
        <v/>
      </c>
      <c r="I227" s="26" t="str">
        <f aca="false">IF(H227="","",H227-AVERAGE(H179:H275))</f>
        <v/>
      </c>
      <c r="J227" s="27" t="str">
        <f aca="false">IF(I227="","",Resumen!$B$10-(MAX(I179:I275)-I227))</f>
        <v/>
      </c>
    </row>
    <row r="228" customFormat="false" ht="15" hidden="false" customHeight="false" outlineLevel="0" collapsed="false">
      <c r="A228" s="24" t="n">
        <v>46263.75</v>
      </c>
      <c r="B228" s="10" t="n">
        <v>2.6994</v>
      </c>
      <c r="C228" s="10" t="n">
        <v>2.7624</v>
      </c>
      <c r="D228" s="10" t="n">
        <f aca="false">IF(OR(B228="",C228="",B228&lt;=0.05,C228&lt;=0.05),0,1)</f>
        <v>1</v>
      </c>
      <c r="E228" s="25" t="n">
        <f aca="false">IF(OR(A228&lt;Resumen!$B$6,A228&gt;=Resumen!$B$7),0,MAX(0,AVERAGEIFS(B180:B276,D180:D276,1)-Resumen!$B$5*AVERAGEIFS(C180:C276,D180:D276,1)))</f>
        <v>0</v>
      </c>
      <c r="F228" s="10" t="n">
        <f aca="false">IF(B228="","",(B228-E228)/Resumen!$B$5)</f>
        <v>2.14408260524226</v>
      </c>
      <c r="G228" s="10" t="n">
        <f aca="false">IF(OR(F228="",C228=""),0,(F228-C228)*0.9)</f>
        <v>-0.55648565528197</v>
      </c>
      <c r="H228" s="26" t="str">
        <f aca="false">IF(A228&lt;Resumen!$B$11,"",IF(H227="",0,H227)+G228/Resumen!$B$9)</f>
        <v/>
      </c>
      <c r="I228" s="26" t="str">
        <f aca="false">IF(H228="","",H228-AVERAGE(H180:H276))</f>
        <v/>
      </c>
      <c r="J228" s="27" t="str">
        <f aca="false">IF(I228="","",Resumen!$B$10-(MAX(I180:I276)-I228))</f>
        <v/>
      </c>
    </row>
    <row r="229" customFormat="false" ht="15" hidden="false" customHeight="false" outlineLevel="0" collapsed="false">
      <c r="A229" s="24" t="n">
        <v>46263.7604166667</v>
      </c>
      <c r="B229" s="10" t="n">
        <v>2.6316</v>
      </c>
      <c r="C229" s="10" t="n">
        <v>1.9987</v>
      </c>
      <c r="D229" s="10" t="n">
        <f aca="false">IF(OR(B229="",C229="",B229&lt;=0.05,C229&lt;=0.05),0,1)</f>
        <v>1</v>
      </c>
      <c r="E229" s="25" t="n">
        <f aca="false">IF(OR(A229&lt;Resumen!$B$6,A229&gt;=Resumen!$B$7),0,MAX(0,AVERAGEIFS(B181:B277,D181:D277,1)-Resumen!$B$5*AVERAGEIFS(C181:C277,D181:D277,1)))</f>
        <v>0</v>
      </c>
      <c r="F229" s="10" t="n">
        <f aca="false">IF(B229="","",(B229-E229)/Resumen!$B$5)</f>
        <v>2.09023034154091</v>
      </c>
      <c r="G229" s="10" t="n">
        <f aca="false">IF(OR(F229="",C229=""),0,(F229-C229)*0.9)</f>
        <v>0.0823773073868153</v>
      </c>
      <c r="H229" s="26" t="str">
        <f aca="false">IF(A229&lt;Resumen!$B$11,"",IF(H228="",0,H228)+G229/Resumen!$B$9)</f>
        <v/>
      </c>
      <c r="I229" s="26" t="str">
        <f aca="false">IF(H229="","",H229-AVERAGE(H181:H277))</f>
        <v/>
      </c>
      <c r="J229" s="27" t="str">
        <f aca="false">IF(I229="","",Resumen!$B$10-(MAX(I181:I277)-I229))</f>
        <v/>
      </c>
    </row>
    <row r="230" customFormat="false" ht="15" hidden="false" customHeight="false" outlineLevel="0" collapsed="false">
      <c r="A230" s="24" t="n">
        <v>46263.7708333333</v>
      </c>
      <c r="B230" s="10" t="n">
        <v>2.7254</v>
      </c>
      <c r="C230" s="10" t="n">
        <v>2.2169</v>
      </c>
      <c r="D230" s="10" t="n">
        <f aca="false">IF(OR(B230="",C230="",B230&lt;=0.05,C230&lt;=0.05),0,1)</f>
        <v>1</v>
      </c>
      <c r="E230" s="25" t="n">
        <f aca="false">IF(OR(A230&lt;Resumen!$B$6,A230&gt;=Resumen!$B$7),0,MAX(0,AVERAGEIFS(B182:B278,D182:D278,1)-Resumen!$B$5*AVERAGEIFS(C182:C278,D182:D278,1)))</f>
        <v>0</v>
      </c>
      <c r="F230" s="10" t="n">
        <f aca="false">IF(B230="","",(B230-E230)/Resumen!$B$5)</f>
        <v>2.1647339158062</v>
      </c>
      <c r="G230" s="10" t="n">
        <f aca="false">IF(OR(F230="",C230=""),0,(F230-C230)*0.9)</f>
        <v>-0.0469494757744237</v>
      </c>
      <c r="H230" s="26" t="str">
        <f aca="false">IF(A230&lt;Resumen!$B$11,"",IF(H229="",0,H229)+G230/Resumen!$B$9)</f>
        <v/>
      </c>
      <c r="I230" s="26" t="str">
        <f aca="false">IF(H230="","",H230-AVERAGE(H182:H278))</f>
        <v/>
      </c>
      <c r="J230" s="27" t="str">
        <f aca="false">IF(I230="","",Resumen!$B$10-(MAX(I182:I278)-I230))</f>
        <v/>
      </c>
    </row>
    <row r="231" customFormat="false" ht="15" hidden="false" customHeight="false" outlineLevel="0" collapsed="false">
      <c r="A231" s="24" t="n">
        <v>46263.78125</v>
      </c>
      <c r="B231" s="10" t="n">
        <v>3.186</v>
      </c>
      <c r="C231" s="10" t="n">
        <v>2.8147</v>
      </c>
      <c r="D231" s="10" t="n">
        <f aca="false">IF(OR(B231="",C231="",B231&lt;=0.05,C231&lt;=0.05),0,1)</f>
        <v>1</v>
      </c>
      <c r="E231" s="25" t="n">
        <f aca="false">IF(OR(A231&lt;Resumen!$B$6,A231&gt;=Resumen!$B$7),0,MAX(0,AVERAGEIFS(B183:B279,D183:D279,1)-Resumen!$B$5*AVERAGEIFS(C183:C279,D183:D279,1)))</f>
        <v>0</v>
      </c>
      <c r="F231" s="10" t="n">
        <f aca="false">IF(B231="","",(B231-E231)/Resumen!$B$5)</f>
        <v>2.53057982525814</v>
      </c>
      <c r="G231" s="10" t="n">
        <f aca="false">IF(OR(F231="",C231=""),0,(F231-C231)*0.9)</f>
        <v>-0.255708157267673</v>
      </c>
      <c r="H231" s="26" t="str">
        <f aca="false">IF(A231&lt;Resumen!$B$11,"",IF(H230="",0,H230)+G231/Resumen!$B$9)</f>
        <v/>
      </c>
      <c r="I231" s="26" t="str">
        <f aca="false">IF(H231="","",H231-AVERAGE(H183:H279))</f>
        <v/>
      </c>
      <c r="J231" s="27" t="str">
        <f aca="false">IF(I231="","",Resumen!$B$10-(MAX(I183:I279)-I231))</f>
        <v/>
      </c>
    </row>
    <row r="232" customFormat="false" ht="15" hidden="false" customHeight="false" outlineLevel="0" collapsed="false">
      <c r="A232" s="24" t="n">
        <v>46263.7916666667</v>
      </c>
      <c r="B232" s="10" t="n">
        <v>3.629</v>
      </c>
      <c r="C232" s="10" t="n">
        <v>3.5594</v>
      </c>
      <c r="D232" s="10" t="n">
        <f aca="false">IF(OR(B232="",C232="",B232&lt;=0.05,C232&lt;=0.05),0,1)</f>
        <v>1</v>
      </c>
      <c r="E232" s="25" t="n">
        <f aca="false">IF(OR(A232&lt;Resumen!$B$6,A232&gt;=Resumen!$B$7),0,MAX(0,AVERAGEIFS(B184:B280,D184:D280,1)-Resumen!$B$5*AVERAGEIFS(C184:C280,D184:D280,1)))</f>
        <v>0</v>
      </c>
      <c r="F232" s="10" t="n">
        <f aca="false">IF(B232="","",(B232-E232)/Resumen!$B$5)</f>
        <v>2.88244638602065</v>
      </c>
      <c r="G232" s="10" t="n">
        <f aca="false">IF(OR(F232="",C232=""),0,(F232-C232)*0.9)</f>
        <v>-0.609258252581414</v>
      </c>
      <c r="H232" s="26" t="str">
        <f aca="false">IF(A232&lt;Resumen!$B$11,"",IF(H231="",0,H231)+G232/Resumen!$B$9)</f>
        <v/>
      </c>
      <c r="I232" s="26" t="str">
        <f aca="false">IF(H232="","",H232-AVERAGE(H184:H280))</f>
        <v/>
      </c>
      <c r="J232" s="27" t="str">
        <f aca="false">IF(I232="","",Resumen!$B$10-(MAX(I184:I280)-I232))</f>
        <v/>
      </c>
    </row>
    <row r="233" customFormat="false" ht="15" hidden="false" customHeight="false" outlineLevel="0" collapsed="false">
      <c r="A233" s="24" t="n">
        <v>46263.8020833333</v>
      </c>
      <c r="B233" s="10" t="n">
        <v>3.2294</v>
      </c>
      <c r="C233" s="10" t="n">
        <v>3.1461</v>
      </c>
      <c r="D233" s="10" t="n">
        <f aca="false">IF(OR(B233="",C233="",B233&lt;=0.05,C233&lt;=0.05),0,1)</f>
        <v>1</v>
      </c>
      <c r="E233" s="25" t="n">
        <f aca="false">IF(OR(A233&lt;Resumen!$B$6,A233&gt;=Resumen!$B$7),0,MAX(0,AVERAGEIFS(B185:B281,D185:D281,1)-Resumen!$B$5*AVERAGEIFS(C185:C281,D185:D281,1)))</f>
        <v>0</v>
      </c>
      <c r="F233" s="10" t="n">
        <f aca="false">IF(B233="","",(B233-E233)/Resumen!$B$5)</f>
        <v>2.56505162827641</v>
      </c>
      <c r="G233" s="10" t="n">
        <f aca="false">IF(OR(F233="",C233=""),0,(F233-C233)*0.9)</f>
        <v>-0.522943534551231</v>
      </c>
      <c r="H233" s="26" t="str">
        <f aca="false">IF(A233&lt;Resumen!$B$11,"",IF(H232="",0,H232)+G233/Resumen!$B$9)</f>
        <v/>
      </c>
      <c r="I233" s="26" t="str">
        <f aca="false">IF(H233="","",H233-AVERAGE(H185:H281))</f>
        <v/>
      </c>
      <c r="J233" s="27" t="str">
        <f aca="false">IF(I233="","",Resumen!$B$10-(MAX(I185:I281)-I233))</f>
        <v/>
      </c>
    </row>
    <row r="234" customFormat="false" ht="15" hidden="false" customHeight="false" outlineLevel="0" collapsed="false">
      <c r="A234" s="24" t="n">
        <v>46263.8125</v>
      </c>
      <c r="B234" s="10" t="n">
        <v>2.8414</v>
      </c>
      <c r="C234" s="10" t="n">
        <v>2.1845</v>
      </c>
      <c r="D234" s="10" t="n">
        <f aca="false">IF(OR(B234="",C234="",B234&lt;=0.05,C234&lt;=0.05),0,1)</f>
        <v>1</v>
      </c>
      <c r="E234" s="25" t="n">
        <f aca="false">IF(OR(A234&lt;Resumen!$B$6,A234&gt;=Resumen!$B$7),0,MAX(0,AVERAGEIFS(B186:B282,D186:D282,1)-Resumen!$B$5*AVERAGEIFS(C186:C282,D186:D282,1)))</f>
        <v>0</v>
      </c>
      <c r="F234" s="10" t="n">
        <f aca="false">IF(B234="","",(B234-E234)/Resumen!$B$5)</f>
        <v>2.25687053216839</v>
      </c>
      <c r="G234" s="10" t="n">
        <f aca="false">IF(OR(F234="",C234=""),0,(F234-C234)*0.9)</f>
        <v>0.0651334789515491</v>
      </c>
      <c r="H234" s="26" t="str">
        <f aca="false">IF(A234&lt;Resumen!$B$11,"",IF(H233="",0,H233)+G234/Resumen!$B$9)</f>
        <v/>
      </c>
      <c r="I234" s="26" t="str">
        <f aca="false">IF(H234="","",H234-AVERAGE(H186:H282))</f>
        <v/>
      </c>
      <c r="J234" s="27" t="str">
        <f aca="false">IF(I234="","",Resumen!$B$10-(MAX(I186:I282)-I234))</f>
        <v/>
      </c>
    </row>
    <row r="235" customFormat="false" ht="15" hidden="false" customHeight="false" outlineLevel="0" collapsed="false">
      <c r="A235" s="24" t="n">
        <v>46263.8229166667</v>
      </c>
      <c r="B235" s="10" t="n">
        <v>3.1384</v>
      </c>
      <c r="C235" s="10" t="n">
        <v>2.6187</v>
      </c>
      <c r="D235" s="10" t="n">
        <f aca="false">IF(OR(B235="",C235="",B235&lt;=0.05,C235&lt;=0.05),0,1)</f>
        <v>1</v>
      </c>
      <c r="E235" s="25" t="n">
        <f aca="false">IF(OR(A235&lt;Resumen!$B$6,A235&gt;=Resumen!$B$7),0,MAX(0,AVERAGEIFS(B187:B283,D187:D283,1)-Resumen!$B$5*AVERAGEIFS(C187:C283,D187:D283,1)))</f>
        <v>0</v>
      </c>
      <c r="F235" s="10" t="n">
        <f aca="false">IF(B235="","",(B235-E235)/Resumen!$B$5)</f>
        <v>2.49277204130262</v>
      </c>
      <c r="G235" s="10" t="n">
        <f aca="false">IF(OR(F235="",C235=""),0,(F235-C235)*0.9)</f>
        <v>-0.113335162827641</v>
      </c>
      <c r="H235" s="26" t="str">
        <f aca="false">IF(A235&lt;Resumen!$B$11,"",IF(H234="",0,H234)+G235/Resumen!$B$9)</f>
        <v/>
      </c>
      <c r="I235" s="26" t="str">
        <f aca="false">IF(H235="","",H235-AVERAGE(H187:H283))</f>
        <v/>
      </c>
      <c r="J235" s="27" t="str">
        <f aca="false">IF(I235="","",Resumen!$B$10-(MAX(I187:I283)-I235))</f>
        <v/>
      </c>
    </row>
    <row r="236" customFormat="false" ht="15" hidden="false" customHeight="false" outlineLevel="0" collapsed="false">
      <c r="A236" s="24" t="n">
        <v>46263.8333333333</v>
      </c>
      <c r="B236" s="10" t="n">
        <v>3.7566</v>
      </c>
      <c r="C236" s="10" t="n">
        <v>2.9505</v>
      </c>
      <c r="D236" s="10" t="n">
        <f aca="false">IF(OR(B236="",C236="",B236&lt;=0.05,C236&lt;=0.05),0,1)</f>
        <v>1</v>
      </c>
      <c r="E236" s="25" t="n">
        <f aca="false">IF(OR(A236&lt;Resumen!$B$6,A236&gt;=Resumen!$B$7),0,MAX(0,AVERAGEIFS(B188:B284,D188:D284,1)-Resumen!$B$5*AVERAGEIFS(C188:C284,D188:D284,1)))</f>
        <v>0</v>
      </c>
      <c r="F236" s="10" t="n">
        <f aca="false">IF(B236="","",(B236-E236)/Resumen!$B$5)</f>
        <v>2.98379666401906</v>
      </c>
      <c r="G236" s="10" t="n">
        <f aca="false">IF(OR(F236="",C236=""),0,(F236-C236)*0.9)</f>
        <v>0.029966997617157</v>
      </c>
      <c r="H236" s="26" t="str">
        <f aca="false">IF(A236&lt;Resumen!$B$11,"",IF(H235="",0,H235)+G236/Resumen!$B$9)</f>
        <v/>
      </c>
      <c r="I236" s="26" t="str">
        <f aca="false">IF(H236="","",H236-AVERAGE(H188:H284))</f>
        <v/>
      </c>
      <c r="J236" s="27" t="str">
        <f aca="false">IF(I236="","",Resumen!$B$10-(MAX(I188:I284)-I236))</f>
        <v/>
      </c>
    </row>
    <row r="237" customFormat="false" ht="15" hidden="false" customHeight="false" outlineLevel="0" collapsed="false">
      <c r="A237" s="24" t="n">
        <v>46263.84375</v>
      </c>
      <c r="B237" s="10" t="n">
        <v>3.1482</v>
      </c>
      <c r="C237" s="10" t="n">
        <v>2.8786</v>
      </c>
      <c r="D237" s="10" t="n">
        <f aca="false">IF(OR(B237="",C237="",B237&lt;=0.05,C237&lt;=0.05),0,1)</f>
        <v>1</v>
      </c>
      <c r="E237" s="25" t="n">
        <f aca="false">IF(OR(A237&lt;Resumen!$B$6,A237&gt;=Resumen!$B$7),0,MAX(0,AVERAGEIFS(B189:B285,D189:D285,1)-Resumen!$B$5*AVERAGEIFS(C189:C285,D189:D285,1)))</f>
        <v>0</v>
      </c>
      <c r="F237" s="10" t="n">
        <f aca="false">IF(B237="","",(B237-E237)/Resumen!$B$5)</f>
        <v>2.50055599682288</v>
      </c>
      <c r="G237" s="10" t="n">
        <f aca="false">IF(OR(F237="",C237=""),0,(F237-C237)*0.9)</f>
        <v>-0.340239602859412</v>
      </c>
      <c r="H237" s="26" t="str">
        <f aca="false">IF(A237&lt;Resumen!$B$11,"",IF(H236="",0,H236)+G237/Resumen!$B$9)</f>
        <v/>
      </c>
      <c r="I237" s="26" t="str">
        <f aca="false">IF(H237="","",H237-AVERAGE(H189:H285))</f>
        <v/>
      </c>
      <c r="J237" s="27" t="str">
        <f aca="false">IF(I237="","",Resumen!$B$10-(MAX(I189:I285)-I237))</f>
        <v/>
      </c>
    </row>
    <row r="238" customFormat="false" ht="15" hidden="false" customHeight="false" outlineLevel="0" collapsed="false">
      <c r="A238" s="24" t="n">
        <v>46263.8541666667</v>
      </c>
      <c r="B238" s="10" t="n">
        <v>2.6482</v>
      </c>
      <c r="C238" s="10" t="n">
        <v>2.5144</v>
      </c>
      <c r="D238" s="10" t="n">
        <f aca="false">IF(OR(B238="",C238="",B238&lt;=0.05,C238&lt;=0.05),0,1)</f>
        <v>1</v>
      </c>
      <c r="E238" s="25" t="n">
        <f aca="false">IF(OR(A238&lt;Resumen!$B$6,A238&gt;=Resumen!$B$7),0,MAX(0,AVERAGEIFS(B190:B286,D190:D286,1)-Resumen!$B$5*AVERAGEIFS(C190:C286,D190:D286,1)))</f>
        <v>0</v>
      </c>
      <c r="F238" s="10" t="n">
        <f aca="false">IF(B238="","",(B238-E238)/Resumen!$B$5)</f>
        <v>2.10341540905481</v>
      </c>
      <c r="G238" s="10" t="n">
        <f aca="false">IF(OR(F238="",C238=""),0,(F238-C238)*0.9)</f>
        <v>-0.369886131850675</v>
      </c>
      <c r="H238" s="26" t="str">
        <f aca="false">IF(A238&lt;Resumen!$B$11,"",IF(H237="",0,H237)+G238/Resumen!$B$9)</f>
        <v/>
      </c>
      <c r="I238" s="26" t="str">
        <f aca="false">IF(H238="","",H238-AVERAGE(H190:H286))</f>
        <v/>
      </c>
      <c r="J238" s="27" t="str">
        <f aca="false">IF(I238="","",Resumen!$B$10-(MAX(I190:I286)-I238))</f>
        <v/>
      </c>
    </row>
    <row r="239" customFormat="false" ht="15" hidden="false" customHeight="false" outlineLevel="0" collapsed="false">
      <c r="A239" s="24" t="n">
        <v>46263.8645833333</v>
      </c>
      <c r="B239" s="10" t="n">
        <v>2.6927</v>
      </c>
      <c r="C239" s="10" t="n">
        <v>2.4048</v>
      </c>
      <c r="D239" s="10" t="n">
        <f aca="false">IF(OR(B239="",C239="",B239&lt;=0.05,C239&lt;=0.05),0,1)</f>
        <v>1</v>
      </c>
      <c r="E239" s="25" t="n">
        <f aca="false">IF(OR(A239&lt;Resumen!$B$6,A239&gt;=Resumen!$B$7),0,MAX(0,AVERAGEIFS(B191:B287,D191:D287,1)-Resumen!$B$5*AVERAGEIFS(C191:C287,D191:D287,1)))</f>
        <v>0</v>
      </c>
      <c r="F239" s="10" t="n">
        <f aca="false">IF(B239="","",(B239-E239)/Resumen!$B$5)</f>
        <v>2.13876092136616</v>
      </c>
      <c r="G239" s="10" t="n">
        <f aca="false">IF(OR(F239="",C239=""),0,(F239-C239)*0.9)</f>
        <v>-0.239435170770452</v>
      </c>
      <c r="H239" s="26" t="str">
        <f aca="false">IF(A239&lt;Resumen!$B$11,"",IF(H238="",0,H238)+G239/Resumen!$B$9)</f>
        <v/>
      </c>
      <c r="I239" s="26" t="str">
        <f aca="false">IF(H239="","",H239-AVERAGE(H191:H287))</f>
        <v/>
      </c>
      <c r="J239" s="27" t="str">
        <f aca="false">IF(I239="","",Resumen!$B$10-(MAX(I191:I287)-I239))</f>
        <v/>
      </c>
    </row>
    <row r="240" customFormat="false" ht="15" hidden="false" customHeight="false" outlineLevel="0" collapsed="false">
      <c r="A240" s="24" t="n">
        <v>46263.875</v>
      </c>
      <c r="B240" s="10" t="n">
        <v>2.9898</v>
      </c>
      <c r="C240" s="10" t="n">
        <v>2.2659</v>
      </c>
      <c r="D240" s="10" t="n">
        <f aca="false">IF(OR(B240="",C240="",B240&lt;=0.05,C240&lt;=0.05),0,1)</f>
        <v>1</v>
      </c>
      <c r="E240" s="25" t="n">
        <f aca="false">IF(OR(A240&lt;Resumen!$B$6,A240&gt;=Resumen!$B$7),0,MAX(0,AVERAGEIFS(B192:B288,D192:D288,1)-Resumen!$B$5*AVERAGEIFS(C192:C288,D192:D288,1)))</f>
        <v>0</v>
      </c>
      <c r="F240" s="10" t="n">
        <f aca="false">IF(B240="","",(B240-E240)/Resumen!$B$5)</f>
        <v>2.37474185861795</v>
      </c>
      <c r="G240" s="10" t="n">
        <f aca="false">IF(OR(F240="",C240=""),0,(F240-C240)*0.9)</f>
        <v>0.0979576727561558</v>
      </c>
      <c r="H240" s="26" t="str">
        <f aca="false">IF(A240&lt;Resumen!$B$11,"",IF(H239="",0,H239)+G240/Resumen!$B$9)</f>
        <v/>
      </c>
      <c r="I240" s="26" t="str">
        <f aca="false">IF(H240="","",H240-AVERAGE(H192:H288))</f>
        <v/>
      </c>
      <c r="J240" s="27" t="str">
        <f aca="false">IF(I240="","",Resumen!$B$10-(MAX(I192:I288)-I240))</f>
        <v/>
      </c>
    </row>
    <row r="241" customFormat="false" ht="15" hidden="false" customHeight="false" outlineLevel="0" collapsed="false">
      <c r="A241" s="24" t="n">
        <v>46263.8854166667</v>
      </c>
      <c r="B241" s="10" t="n">
        <v>2.5377</v>
      </c>
      <c r="C241" s="10" t="n">
        <v>2.0789</v>
      </c>
      <c r="D241" s="10" t="n">
        <f aca="false">IF(OR(B241="",C241="",B241&lt;=0.05,C241&lt;=0.05),0,1)</f>
        <v>1</v>
      </c>
      <c r="E241" s="25" t="n">
        <f aca="false">IF(OR(A241&lt;Resumen!$B$6,A241&gt;=Resumen!$B$7),0,MAX(0,AVERAGEIFS(B193:B289,D193:D289,1)-Resumen!$B$5*AVERAGEIFS(C193:C289,D193:D289,1)))</f>
        <v>0</v>
      </c>
      <c r="F241" s="10" t="n">
        <f aca="false">IF(B241="","",(B241-E241)/Resumen!$B$5)</f>
        <v>2.01564733915806</v>
      </c>
      <c r="G241" s="10" t="n">
        <f aca="false">IF(OR(F241="",C241=""),0,(F241-C241)*0.9)</f>
        <v>-0.0569273947577441</v>
      </c>
      <c r="H241" s="26" t="str">
        <f aca="false">IF(A241&lt;Resumen!$B$11,"",IF(H240="",0,H240)+G241/Resumen!$B$9)</f>
        <v/>
      </c>
      <c r="I241" s="26" t="str">
        <f aca="false">IF(H241="","",H241-AVERAGE(H193:H289))</f>
        <v/>
      </c>
      <c r="J241" s="27" t="str">
        <f aca="false">IF(I241="","",Resumen!$B$10-(MAX(I193:I289)-I241))</f>
        <v/>
      </c>
    </row>
    <row r="242" customFormat="false" ht="15" hidden="false" customHeight="false" outlineLevel="0" collapsed="false">
      <c r="A242" s="24" t="n">
        <v>46263.8958333333</v>
      </c>
      <c r="B242" s="10" t="n">
        <v>2.552</v>
      </c>
      <c r="C242" s="10" t="n">
        <v>2.1492</v>
      </c>
      <c r="D242" s="10" t="n">
        <f aca="false">IF(OR(B242="",C242="",B242&lt;=0.05,C242&lt;=0.05),0,1)</f>
        <v>1</v>
      </c>
      <c r="E242" s="25" t="n">
        <f aca="false">IF(OR(A242&lt;Resumen!$B$6,A242&gt;=Resumen!$B$7),0,MAX(0,AVERAGEIFS(B194:B290,D194:D290,1)-Resumen!$B$5*AVERAGEIFS(C194:C290,D194:D290,1)))</f>
        <v>0</v>
      </c>
      <c r="F242" s="10" t="n">
        <f aca="false">IF(B242="","",(B242-E242)/Resumen!$B$5)</f>
        <v>2.02700555996823</v>
      </c>
      <c r="G242" s="10" t="n">
        <f aca="false">IF(OR(F242="",C242=""),0,(F242-C242)*0.9)</f>
        <v>-0.109974996028594</v>
      </c>
      <c r="H242" s="26" t="str">
        <f aca="false">IF(A242&lt;Resumen!$B$11,"",IF(H241="",0,H241)+G242/Resumen!$B$9)</f>
        <v/>
      </c>
      <c r="I242" s="26" t="str">
        <f aca="false">IF(H242="","",H242-AVERAGE(H194:H290))</f>
        <v/>
      </c>
      <c r="J242" s="27" t="str">
        <f aca="false">IF(I242="","",Resumen!$B$10-(MAX(I194:I290)-I242))</f>
        <v/>
      </c>
    </row>
    <row r="243" customFormat="false" ht="15" hidden="false" customHeight="false" outlineLevel="0" collapsed="false">
      <c r="A243" s="24" t="n">
        <v>46263.90625</v>
      </c>
      <c r="B243" s="10" t="n">
        <v>2.6854</v>
      </c>
      <c r="C243" s="10" t="n">
        <v>2.4363</v>
      </c>
      <c r="D243" s="10" t="n">
        <f aca="false">IF(OR(B243="",C243="",B243&lt;=0.05,C243&lt;=0.05),0,1)</f>
        <v>1</v>
      </c>
      <c r="E243" s="25" t="n">
        <f aca="false">IF(OR(A243&lt;Resumen!$B$6,A243&gt;=Resumen!$B$7),0,MAX(0,AVERAGEIFS(B195:B291,D195:D291,1)-Resumen!$B$5*AVERAGEIFS(C195:C291,D195:D291,1)))</f>
        <v>0</v>
      </c>
      <c r="F243" s="10" t="n">
        <f aca="false">IF(B243="","",(B243-E243)/Resumen!$B$5)</f>
        <v>2.13296266878475</v>
      </c>
      <c r="G243" s="10" t="n">
        <f aca="false">IF(OR(F243="",C243=""),0,(F243-C243)*0.9)</f>
        <v>-0.273003598093725</v>
      </c>
      <c r="H243" s="26" t="str">
        <f aca="false">IF(A243&lt;Resumen!$B$11,"",IF(H242="",0,H242)+G243/Resumen!$B$9)</f>
        <v/>
      </c>
      <c r="I243" s="26" t="str">
        <f aca="false">IF(H243="","",H243-AVERAGE(H195:H291))</f>
        <v/>
      </c>
      <c r="J243" s="27" t="str">
        <f aca="false">IF(I243="","",Resumen!$B$10-(MAX(I195:I291)-I243))</f>
        <v/>
      </c>
    </row>
    <row r="244" customFormat="false" ht="15" hidden="false" customHeight="false" outlineLevel="0" collapsed="false">
      <c r="A244" s="24" t="n">
        <v>46263.9166666667</v>
      </c>
      <c r="B244" s="10" t="n">
        <v>2.7048</v>
      </c>
      <c r="C244" s="10" t="n">
        <v>2.113</v>
      </c>
      <c r="D244" s="10" t="n">
        <f aca="false">IF(OR(B244="",C244="",B244&lt;=0.05,C244&lt;=0.05),0,1)</f>
        <v>1</v>
      </c>
      <c r="E244" s="25" t="n">
        <f aca="false">IF(OR(A244&lt;Resumen!$B$6,A244&gt;=Resumen!$B$7),0,MAX(0,AVERAGEIFS(B196:B292,D196:D292,1)-Resumen!$B$5*AVERAGEIFS(C196:C292,D196:D292,1)))</f>
        <v>0</v>
      </c>
      <c r="F244" s="10" t="n">
        <f aca="false">IF(B244="","",(B244-E244)/Resumen!$B$5)</f>
        <v>2.14837172359015</v>
      </c>
      <c r="G244" s="10" t="n">
        <f aca="false">IF(OR(F244="",C244=""),0,(F244-C244)*0.9)</f>
        <v>0.0318345512311363</v>
      </c>
      <c r="H244" s="26" t="str">
        <f aca="false">IF(A244&lt;Resumen!$B$11,"",IF(H243="",0,H243)+G244/Resumen!$B$9)</f>
        <v/>
      </c>
      <c r="I244" s="26" t="str">
        <f aca="false">IF(H244="","",H244-AVERAGE(H196:H292))</f>
        <v/>
      </c>
      <c r="J244" s="27" t="str">
        <f aca="false">IF(I244="","",Resumen!$B$10-(MAX(I196:I292)-I244))</f>
        <v/>
      </c>
    </row>
    <row r="245" customFormat="false" ht="15" hidden="false" customHeight="false" outlineLevel="0" collapsed="false">
      <c r="A245" s="24" t="n">
        <v>46263.9270833333</v>
      </c>
      <c r="B245" s="10" t="n">
        <v>2.4836</v>
      </c>
      <c r="C245" s="10" t="n">
        <v>2.1556</v>
      </c>
      <c r="D245" s="10" t="n">
        <f aca="false">IF(OR(B245="",C245="",B245&lt;=0.05,C245&lt;=0.05),0,1)</f>
        <v>1</v>
      </c>
      <c r="E245" s="25" t="n">
        <f aca="false">IF(OR(A245&lt;Resumen!$B$6,A245&gt;=Resumen!$B$7),0,MAX(0,AVERAGEIFS(B197:B293,D197:D293,1)-Resumen!$B$5*AVERAGEIFS(C197:C293,D197:D293,1)))</f>
        <v>0</v>
      </c>
      <c r="F245" s="10" t="n">
        <f aca="false">IF(B245="","",(B245-E245)/Resumen!$B$5)</f>
        <v>1.97267672756156</v>
      </c>
      <c r="G245" s="10" t="n">
        <f aca="false">IF(OR(F245="",C245=""),0,(F245-C245)*0.9)</f>
        <v>-0.164630945194599</v>
      </c>
      <c r="H245" s="26" t="str">
        <f aca="false">IF(A245&lt;Resumen!$B$11,"",IF(H244="",0,H244)+G245/Resumen!$B$9)</f>
        <v/>
      </c>
      <c r="I245" s="26" t="str">
        <f aca="false">IF(H245="","",H245-AVERAGE(H197:H293))</f>
        <v/>
      </c>
      <c r="J245" s="27" t="str">
        <f aca="false">IF(I245="","",Resumen!$B$10-(MAX(I197:I293)-I245))</f>
        <v/>
      </c>
    </row>
    <row r="246" customFormat="false" ht="15" hidden="false" customHeight="false" outlineLevel="0" collapsed="false">
      <c r="A246" s="24" t="n">
        <v>46263.9375</v>
      </c>
      <c r="B246" s="10" t="n">
        <v>3.0061</v>
      </c>
      <c r="C246" s="10" t="n">
        <v>2.2855</v>
      </c>
      <c r="D246" s="10" t="n">
        <f aca="false">IF(OR(B246="",C246="",B246&lt;=0.05,C246&lt;=0.05),0,1)</f>
        <v>1</v>
      </c>
      <c r="E246" s="25" t="n">
        <f aca="false">IF(OR(A246&lt;Resumen!$B$6,A246&gt;=Resumen!$B$7),0,MAX(0,AVERAGEIFS(B198:B294,D198:D294,1)-Resumen!$B$5*AVERAGEIFS(C198:C294,D198:D294,1)))</f>
        <v>0</v>
      </c>
      <c r="F246" s="10" t="n">
        <f aca="false">IF(B246="","",(B246-E246)/Resumen!$B$5)</f>
        <v>2.38768864177919</v>
      </c>
      <c r="G246" s="10" t="n">
        <f aca="false">IF(OR(F246="",C246=""),0,(F246-C246)*0.9)</f>
        <v>0.0919697776012712</v>
      </c>
      <c r="H246" s="26" t="str">
        <f aca="false">IF(A246&lt;Resumen!$B$11,"",IF(H245="",0,H245)+G246/Resumen!$B$9)</f>
        <v/>
      </c>
      <c r="I246" s="26" t="str">
        <f aca="false">IF(H246="","",H246-AVERAGE(H198:H294))</f>
        <v/>
      </c>
      <c r="J246" s="27" t="str">
        <f aca="false">IF(I246="","",Resumen!$B$10-(MAX(I198:I294)-I246))</f>
        <v/>
      </c>
    </row>
    <row r="247" customFormat="false" ht="15" hidden="false" customHeight="false" outlineLevel="0" collapsed="false">
      <c r="A247" s="24" t="n">
        <v>46263.9479166667</v>
      </c>
      <c r="B247" s="10" t="n">
        <v>3.1166</v>
      </c>
      <c r="C247" s="10" t="n">
        <v>2.3811</v>
      </c>
      <c r="D247" s="10" t="n">
        <f aca="false">IF(OR(B247="",C247="",B247&lt;=0.05,C247&lt;=0.05),0,1)</f>
        <v>1</v>
      </c>
      <c r="E247" s="25" t="n">
        <f aca="false">IF(OR(A247&lt;Resumen!$B$6,A247&gt;=Resumen!$B$7),0,MAX(0,AVERAGEIFS(B199:B295,D199:D295,1)-Resumen!$B$5*AVERAGEIFS(C199:C295,D199:D295,1)))</f>
        <v>0</v>
      </c>
      <c r="F247" s="10" t="n">
        <f aca="false">IF(B247="","",(B247-E247)/Resumen!$B$5)</f>
        <v>2.47545671167593</v>
      </c>
      <c r="G247" s="10" t="n">
        <f aca="false">IF(OR(F247="",C247=""),0,(F247-C247)*0.9)</f>
        <v>0.0849210405083403</v>
      </c>
      <c r="H247" s="26" t="str">
        <f aca="false">IF(A247&lt;Resumen!$B$11,"",IF(H246="",0,H246)+G247/Resumen!$B$9)</f>
        <v/>
      </c>
      <c r="I247" s="26" t="str">
        <f aca="false">IF(H247="","",H247-AVERAGE(H199:H295))</f>
        <v/>
      </c>
      <c r="J247" s="27" t="str">
        <f aca="false">IF(I247="","",Resumen!$B$10-(MAX(I199:I295)-I247))</f>
        <v/>
      </c>
    </row>
    <row r="248" customFormat="false" ht="15" hidden="false" customHeight="false" outlineLevel="0" collapsed="false">
      <c r="A248" s="24" t="n">
        <v>46263.9583333333</v>
      </c>
      <c r="B248" s="10" t="n">
        <v>2.985</v>
      </c>
      <c r="C248" s="10" t="n">
        <v>2.1997</v>
      </c>
      <c r="D248" s="10" t="n">
        <f aca="false">IF(OR(B248="",C248="",B248&lt;=0.05,C248&lt;=0.05),0,1)</f>
        <v>1</v>
      </c>
      <c r="E248" s="25" t="n">
        <f aca="false">IF(OR(A248&lt;Resumen!$B$6,A248&gt;=Resumen!$B$7),0,MAX(0,AVERAGEIFS(B200:B296,D200:D296,1)-Resumen!$B$5*AVERAGEIFS(C200:C296,D200:D296,1)))</f>
        <v>0</v>
      </c>
      <c r="F248" s="10" t="n">
        <f aca="false">IF(B248="","",(B248-E248)/Resumen!$B$5)</f>
        <v>2.37092930897538</v>
      </c>
      <c r="G248" s="10" t="n">
        <f aca="false">IF(OR(F248="",C248=""),0,(F248-C248)*0.9)</f>
        <v>0.15410637807784</v>
      </c>
      <c r="H248" s="26" t="str">
        <f aca="false">IF(A248&lt;Resumen!$B$11,"",IF(H247="",0,H247)+G248/Resumen!$B$9)</f>
        <v/>
      </c>
      <c r="I248" s="26" t="str">
        <f aca="false">IF(H248="","",H248-AVERAGE(H200:H296))</f>
        <v/>
      </c>
      <c r="J248" s="27" t="str">
        <f aca="false">IF(I248="","",Resumen!$B$10-(MAX(I200:I296)-I248))</f>
        <v/>
      </c>
    </row>
    <row r="249" customFormat="false" ht="15" hidden="false" customHeight="false" outlineLevel="0" collapsed="false">
      <c r="A249" s="24" t="n">
        <v>46263.96875</v>
      </c>
      <c r="B249" s="10" t="n">
        <v>2.7203</v>
      </c>
      <c r="C249" s="10" t="n">
        <v>2.1441</v>
      </c>
      <c r="D249" s="10" t="n">
        <f aca="false">IF(OR(B249="",C249="",B249&lt;=0.05,C249&lt;=0.05),0,1)</f>
        <v>1</v>
      </c>
      <c r="E249" s="25" t="n">
        <f aca="false">IF(OR(A249&lt;Resumen!$B$6,A249&gt;=Resumen!$B$7),0,MAX(0,AVERAGEIFS(B201:B297,D201:D297,1)-Resumen!$B$5*AVERAGEIFS(C201:C297,D201:D297,1)))</f>
        <v>0</v>
      </c>
      <c r="F249" s="10" t="n">
        <f aca="false">IF(B249="","",(B249-E249)/Resumen!$B$5)</f>
        <v>2.16068308181096</v>
      </c>
      <c r="G249" s="10" t="n">
        <f aca="false">IF(OR(F249="",C249=""),0,(F249-C249)*0.9)</f>
        <v>0.0149247736298652</v>
      </c>
      <c r="H249" s="26" t="str">
        <f aca="false">IF(A249&lt;Resumen!$B$11,"",IF(H248="",0,H248)+G249/Resumen!$B$9)</f>
        <v/>
      </c>
      <c r="I249" s="26" t="str">
        <f aca="false">IF(H249="","",H249-AVERAGE(H201:H297))</f>
        <v/>
      </c>
      <c r="J249" s="27" t="str">
        <f aca="false">IF(I249="","",Resumen!$B$10-(MAX(I201:I297)-I249))</f>
        <v/>
      </c>
    </row>
    <row r="250" customFormat="false" ht="15" hidden="false" customHeight="false" outlineLevel="0" collapsed="false">
      <c r="A250" s="24" t="n">
        <v>46263.9791666667</v>
      </c>
      <c r="B250" s="10" t="n">
        <v>2.5375</v>
      </c>
      <c r="C250" s="10" t="n">
        <v>2.2176</v>
      </c>
      <c r="D250" s="10" t="n">
        <f aca="false">IF(OR(B250="",C250="",B250&lt;=0.05,C250&lt;=0.05),0,1)</f>
        <v>1</v>
      </c>
      <c r="E250" s="25" t="n">
        <f aca="false">IF(OR(A250&lt;Resumen!$B$6,A250&gt;=Resumen!$B$7),0,MAX(0,AVERAGEIFS(B202:B298,D202:D298,1)-Resumen!$B$5*AVERAGEIFS(C202:C298,D202:D298,1)))</f>
        <v>0</v>
      </c>
      <c r="F250" s="10" t="n">
        <f aca="false">IF(B250="","",(B250-E250)/Resumen!$B$5)</f>
        <v>2.01548848292296</v>
      </c>
      <c r="G250" s="10" t="n">
        <f aca="false">IF(OR(F250="",C250=""),0,(F250-C250)*0.9)</f>
        <v>-0.181900365369341</v>
      </c>
      <c r="H250" s="26" t="str">
        <f aca="false">IF(A250&lt;Resumen!$B$11,"",IF(H249="",0,H249)+G250/Resumen!$B$9)</f>
        <v/>
      </c>
      <c r="I250" s="26" t="str">
        <f aca="false">IF(H250="","",H250-AVERAGE(H202:H298))</f>
        <v/>
      </c>
      <c r="J250" s="27" t="str">
        <f aca="false">IF(I250="","",Resumen!$B$10-(MAX(I202:I298)-I250))</f>
        <v/>
      </c>
    </row>
    <row r="251" customFormat="false" ht="15" hidden="false" customHeight="false" outlineLevel="0" collapsed="false">
      <c r="A251" s="24" t="n">
        <v>46263.9895833333</v>
      </c>
      <c r="B251" s="10" t="n">
        <v>2.4945</v>
      </c>
      <c r="C251" s="10" t="n">
        <v>2.0348</v>
      </c>
      <c r="D251" s="10" t="n">
        <f aca="false">IF(OR(B251="",C251="",B251&lt;=0.05,C251&lt;=0.05),0,1)</f>
        <v>1</v>
      </c>
      <c r="E251" s="25" t="n">
        <f aca="false">IF(OR(A251&lt;Resumen!$B$6,A251&gt;=Resumen!$B$7),0,MAX(0,AVERAGEIFS(B203:B299,D203:D299,1)-Resumen!$B$5*AVERAGEIFS(C203:C299,D203:D299,1)))</f>
        <v>0</v>
      </c>
      <c r="F251" s="10" t="n">
        <f aca="false">IF(B251="","",(B251-E251)/Resumen!$B$5)</f>
        <v>1.9813343923749</v>
      </c>
      <c r="G251" s="10" t="n">
        <f aca="false">IF(OR(F251="",C251=""),0,(F251-C251)*0.9)</f>
        <v>-0.0481190468625895</v>
      </c>
      <c r="H251" s="26" t="str">
        <f aca="false">IF(A251&lt;Resumen!$B$11,"",IF(H250="",0,H250)+G251/Resumen!$B$9)</f>
        <v/>
      </c>
      <c r="I251" s="26" t="str">
        <f aca="false">IF(H251="","",H251-AVERAGE(H203:H299))</f>
        <v/>
      </c>
      <c r="J251" s="27" t="str">
        <f aca="false">IF(I251="","",Resumen!$B$10-(MAX(I203:I299)-I251))</f>
        <v/>
      </c>
    </row>
    <row r="252" customFormat="false" ht="15" hidden="false" customHeight="false" outlineLevel="0" collapsed="false">
      <c r="A252" s="24" t="n">
        <v>46264</v>
      </c>
      <c r="B252" s="10" t="n">
        <v>2.5002</v>
      </c>
      <c r="C252" s="10" t="n">
        <v>2.2102</v>
      </c>
      <c r="D252" s="10" t="n">
        <f aca="false">IF(OR(B252="",C252="",B252&lt;=0.05,C252&lt;=0.05),0,1)</f>
        <v>1</v>
      </c>
      <c r="E252" s="25" t="n">
        <f aca="false">IF(OR(A252&lt;Resumen!$B$6,A252&gt;=Resumen!$B$7),0,MAX(0,AVERAGEIFS(B204:B300,D204:D300,1)-Resumen!$B$5*AVERAGEIFS(C204:C300,D204:D300,1)))</f>
        <v>0</v>
      </c>
      <c r="F252" s="10" t="n">
        <f aca="false">IF(B252="","",(B252-E252)/Resumen!$B$5)</f>
        <v>1.98586179507546</v>
      </c>
      <c r="G252" s="10" t="n">
        <f aca="false">IF(OR(F252="",C252=""),0,(F252-C252)*0.9)</f>
        <v>-0.201904384432089</v>
      </c>
      <c r="H252" s="26" t="str">
        <f aca="false">IF(A252&lt;Resumen!$B$11,"",IF(H251="",0,H251)+G252/Resumen!$B$9)</f>
        <v/>
      </c>
      <c r="I252" s="26" t="str">
        <f aca="false">IF(H252="","",H252-AVERAGE(H204:H300))</f>
        <v/>
      </c>
      <c r="J252" s="27" t="str">
        <f aca="false">IF(I252="","",Resumen!$B$10-(MAX(I204:I300)-I252))</f>
        <v/>
      </c>
    </row>
    <row r="253" customFormat="false" ht="15" hidden="false" customHeight="false" outlineLevel="0" collapsed="false">
      <c r="A253" s="24" t="n">
        <v>46264.0104166667</v>
      </c>
      <c r="B253" s="10" t="n">
        <v>2.1117</v>
      </c>
      <c r="C253" s="10" t="n">
        <v>1.6978</v>
      </c>
      <c r="D253" s="10" t="n">
        <f aca="false">IF(OR(B253="",C253="",B253&lt;=0.05,C253&lt;=0.05),0,1)</f>
        <v>1</v>
      </c>
      <c r="E253" s="25" t="n">
        <f aca="false">IF(OR(A253&lt;Resumen!$B$6,A253&gt;=Resumen!$B$7),0,MAX(0,AVERAGEIFS(B205:B301,D205:D301,1)-Resumen!$B$5*AVERAGEIFS(C205:C301,D205:D301,1)))</f>
        <v>0</v>
      </c>
      <c r="F253" s="10" t="n">
        <f aca="false">IF(B253="","",(B253-E253)/Resumen!$B$5)</f>
        <v>1.67728355837967</v>
      </c>
      <c r="G253" s="10" t="n">
        <f aca="false">IF(OR(F253="",C253=""),0,(F253-C253)*0.9)</f>
        <v>-0.0184647974583003</v>
      </c>
      <c r="H253" s="26" t="str">
        <f aca="false">IF(A253&lt;Resumen!$B$11,"",IF(H252="",0,H252)+G253/Resumen!$B$9)</f>
        <v/>
      </c>
      <c r="I253" s="26" t="str">
        <f aca="false">IF(H253="","",H253-AVERAGE(H205:H301))</f>
        <v/>
      </c>
      <c r="J253" s="27" t="str">
        <f aca="false">IF(I253="","",Resumen!$B$10-(MAX(I205:I301)-I253))</f>
        <v/>
      </c>
    </row>
    <row r="254" customFormat="false" ht="15" hidden="false" customHeight="false" outlineLevel="0" collapsed="false">
      <c r="A254" s="24" t="n">
        <v>46264.0208333333</v>
      </c>
      <c r="B254" s="10" t="n">
        <v>1.9501</v>
      </c>
      <c r="C254" s="10" t="n">
        <v>1.5526</v>
      </c>
      <c r="D254" s="10" t="n">
        <f aca="false">IF(OR(B254="",C254="",B254&lt;=0.05,C254&lt;=0.05),0,1)</f>
        <v>1</v>
      </c>
      <c r="E254" s="25" t="n">
        <f aca="false">IF(OR(A254&lt;Resumen!$B$6,A254&gt;=Resumen!$B$7),0,MAX(0,AVERAGEIFS(B206:B302,D206:D302,1)-Resumen!$B$5*AVERAGEIFS(C206:C302,D206:D302,1)))</f>
        <v>0</v>
      </c>
      <c r="F254" s="10" t="n">
        <f aca="false">IF(B254="","",(B254-E254)/Resumen!$B$5)</f>
        <v>1.54892772041303</v>
      </c>
      <c r="G254" s="10" t="n">
        <f aca="false">IF(OR(F254="",C254=""),0,(F254-C254)*0.9)</f>
        <v>-0.00330505162827632</v>
      </c>
      <c r="H254" s="26" t="str">
        <f aca="false">IF(A254&lt;Resumen!$B$11,"",IF(H253="",0,H253)+G254/Resumen!$B$9)</f>
        <v/>
      </c>
      <c r="I254" s="26" t="str">
        <f aca="false">IF(H254="","",H254-AVERAGE(H206:H302))</f>
        <v/>
      </c>
      <c r="J254" s="27" t="str">
        <f aca="false">IF(I254="","",Resumen!$B$10-(MAX(I206:I302)-I254))</f>
        <v/>
      </c>
    </row>
    <row r="255" customFormat="false" ht="15" hidden="false" customHeight="false" outlineLevel="0" collapsed="false">
      <c r="A255" s="24" t="n">
        <v>46264.03125</v>
      </c>
      <c r="B255" s="10" t="n">
        <v>1.8933</v>
      </c>
      <c r="C255" s="10" t="n">
        <v>1.5956</v>
      </c>
      <c r="D255" s="10" t="n">
        <f aca="false">IF(OR(B255="",C255="",B255&lt;=0.05,C255&lt;=0.05),0,1)</f>
        <v>1</v>
      </c>
      <c r="E255" s="25" t="n">
        <f aca="false">IF(OR(A255&lt;Resumen!$B$6,A255&gt;=Resumen!$B$7),0,MAX(0,AVERAGEIFS(B207:B303,D207:D303,1)-Resumen!$B$5*AVERAGEIFS(C207:C303,D207:D303,1)))</f>
        <v>0</v>
      </c>
      <c r="F255" s="10" t="n">
        <f aca="false">IF(B255="","",(B255-E255)/Resumen!$B$5)</f>
        <v>1.50381254964257</v>
      </c>
      <c r="G255" s="10" t="n">
        <f aca="false">IF(OR(F255="",C255=""),0,(F255-C255)*0.9)</f>
        <v>-0.0826087053216837</v>
      </c>
      <c r="H255" s="26" t="str">
        <f aca="false">IF(A255&lt;Resumen!$B$11,"",IF(H254="",0,H254)+G255/Resumen!$B$9)</f>
        <v/>
      </c>
      <c r="I255" s="26" t="str">
        <f aca="false">IF(H255="","",H255-AVERAGE(H207:H303))</f>
        <v/>
      </c>
      <c r="J255" s="27" t="str">
        <f aca="false">IF(I255="","",Resumen!$B$10-(MAX(I207:I303)-I255))</f>
        <v/>
      </c>
    </row>
    <row r="256" customFormat="false" ht="15" hidden="false" customHeight="false" outlineLevel="0" collapsed="false">
      <c r="A256" s="24" t="n">
        <v>46264.0416666667</v>
      </c>
      <c r="B256" s="10" t="n">
        <v>1.8732</v>
      </c>
      <c r="C256" s="10" t="n">
        <v>1.806</v>
      </c>
      <c r="D256" s="10" t="n">
        <f aca="false">IF(OR(B256="",C256="",B256&lt;=0.05,C256&lt;=0.05),0,1)</f>
        <v>1</v>
      </c>
      <c r="E256" s="25" t="n">
        <f aca="false">IF(OR(A256&lt;Resumen!$B$6,A256&gt;=Resumen!$B$7),0,MAX(0,AVERAGEIFS(B208:B304,D208:D304,1)-Resumen!$B$5*AVERAGEIFS(C208:C304,D208:D304,1)))</f>
        <v>0</v>
      </c>
      <c r="F256" s="10" t="n">
        <f aca="false">IF(B256="","",(B256-E256)/Resumen!$B$5)</f>
        <v>1.4878474980143</v>
      </c>
      <c r="G256" s="10" t="n">
        <f aca="false">IF(OR(F256="",C256=""),0,(F256-C256)*0.9)</f>
        <v>-0.286337251787133</v>
      </c>
      <c r="H256" s="26" t="str">
        <f aca="false">IF(A256&lt;Resumen!$B$11,"",IF(H255="",0,H255)+G256/Resumen!$B$9)</f>
        <v/>
      </c>
      <c r="I256" s="26" t="str">
        <f aca="false">IF(H256="","",H256-AVERAGE(H208:H304))</f>
        <v/>
      </c>
      <c r="J256" s="27" t="str">
        <f aca="false">IF(I256="","",Resumen!$B$10-(MAX(I208:I304)-I256))</f>
        <v/>
      </c>
    </row>
    <row r="257" customFormat="false" ht="15" hidden="false" customHeight="false" outlineLevel="0" collapsed="false">
      <c r="A257" s="24" t="n">
        <v>46264.0520833333</v>
      </c>
      <c r="B257" s="10" t="n">
        <v>2.1122</v>
      </c>
      <c r="C257" s="10" t="n">
        <v>1.6782</v>
      </c>
      <c r="D257" s="10" t="n">
        <f aca="false">IF(OR(B257="",C257="",B257&lt;=0.05,C257&lt;=0.05),0,1)</f>
        <v>1</v>
      </c>
      <c r="E257" s="25" t="n">
        <f aca="false">IF(OR(A257&lt;Resumen!$B$6,A257&gt;=Resumen!$B$7),0,MAX(0,AVERAGEIFS(B209:B305,D209:D305,1)-Resumen!$B$5*AVERAGEIFS(C209:C305,D209:D305,1)))</f>
        <v>0</v>
      </c>
      <c r="F257" s="10" t="n">
        <f aca="false">IF(B257="","",(B257-E257)/Resumen!$B$5)</f>
        <v>1.67768069896743</v>
      </c>
      <c r="G257" s="10" t="n">
        <f aca="false">IF(OR(F257="",C257=""),0,(F257-C257)*0.9)</f>
        <v>-0.00046737092930873</v>
      </c>
      <c r="H257" s="26" t="str">
        <f aca="false">IF(A257&lt;Resumen!$B$11,"",IF(H256="",0,H256)+G257/Resumen!$B$9)</f>
        <v/>
      </c>
      <c r="I257" s="26" t="str">
        <f aca="false">IF(H257="","",H257-AVERAGE(H209:H305))</f>
        <v/>
      </c>
      <c r="J257" s="27" t="str">
        <f aca="false">IF(I257="","",Resumen!$B$10-(MAX(I209:I305)-I257))</f>
        <v/>
      </c>
    </row>
    <row r="258" customFormat="false" ht="15" hidden="false" customHeight="false" outlineLevel="0" collapsed="false">
      <c r="A258" s="24" t="n">
        <v>46264.0625</v>
      </c>
      <c r="B258" s="10" t="n">
        <v>2.0209</v>
      </c>
      <c r="C258" s="10" t="n">
        <v>1.6705</v>
      </c>
      <c r="D258" s="10" t="n">
        <f aca="false">IF(OR(B258="",C258="",B258&lt;=0.05,C258&lt;=0.05),0,1)</f>
        <v>1</v>
      </c>
      <c r="E258" s="25" t="n">
        <f aca="false">IF(OR(A258&lt;Resumen!$B$6,A258&gt;=Resumen!$B$7),0,MAX(0,AVERAGEIFS(B210:B306,D210:D306,1)-Resumen!$B$5*AVERAGEIFS(C210:C306,D210:D306,1)))</f>
        <v>0</v>
      </c>
      <c r="F258" s="10" t="n">
        <f aca="false">IF(B258="","",(B258-E258)/Resumen!$B$5)</f>
        <v>1.60516282764099</v>
      </c>
      <c r="G258" s="10" t="n">
        <f aca="false">IF(OR(F258="",C258=""),0,(F258-C258)*0.9)</f>
        <v>-0.0588034551231135</v>
      </c>
      <c r="H258" s="26" t="str">
        <f aca="false">IF(A258&lt;Resumen!$B$11,"",IF(H257="",0,H257)+G258/Resumen!$B$9)</f>
        <v/>
      </c>
      <c r="I258" s="26" t="str">
        <f aca="false">IF(H258="","",H258-AVERAGE(H210:H306))</f>
        <v/>
      </c>
      <c r="J258" s="27" t="str">
        <f aca="false">IF(I258="","",Resumen!$B$10-(MAX(I210:I306)-I258))</f>
        <v/>
      </c>
    </row>
    <row r="259" customFormat="false" ht="15" hidden="false" customHeight="false" outlineLevel="0" collapsed="false">
      <c r="A259" s="24" t="n">
        <v>46264.0729166667</v>
      </c>
      <c r="B259" s="10" t="n">
        <v>1.8692</v>
      </c>
      <c r="C259" s="10" t="n">
        <v>1.4886</v>
      </c>
      <c r="D259" s="10" t="n">
        <f aca="false">IF(OR(B259="",C259="",B259&lt;=0.05,C259&lt;=0.05),0,1)</f>
        <v>1</v>
      </c>
      <c r="E259" s="25" t="n">
        <f aca="false">IF(OR(A259&lt;Resumen!$B$6,A259&gt;=Resumen!$B$7),0,MAX(0,AVERAGEIFS(B211:B307,D211:D307,1)-Resumen!$B$5*AVERAGEIFS(C211:C307,D211:D307,1)))</f>
        <v>0</v>
      </c>
      <c r="F259" s="10" t="n">
        <f aca="false">IF(B259="","",(B259-E259)/Resumen!$B$5)</f>
        <v>1.48467037331215</v>
      </c>
      <c r="G259" s="10" t="n">
        <f aca="false">IF(OR(F259="",C259=""),0,(F259-C259)*0.9)</f>
        <v>-0.00353666401906252</v>
      </c>
      <c r="H259" s="26" t="str">
        <f aca="false">IF(A259&lt;Resumen!$B$11,"",IF(H258="",0,H258)+G259/Resumen!$B$9)</f>
        <v/>
      </c>
      <c r="I259" s="26" t="str">
        <f aca="false">IF(H259="","",H259-AVERAGE(H211:H307))</f>
        <v/>
      </c>
      <c r="J259" s="27" t="str">
        <f aca="false">IF(I259="","",Resumen!$B$10-(MAX(I211:I307)-I259))</f>
        <v/>
      </c>
    </row>
    <row r="260" customFormat="false" ht="15" hidden="false" customHeight="false" outlineLevel="0" collapsed="false">
      <c r="A260" s="24" t="n">
        <v>46264.0833333333</v>
      </c>
      <c r="B260" s="10" t="n">
        <v>1.8785</v>
      </c>
      <c r="C260" s="10" t="n">
        <v>1.5356</v>
      </c>
      <c r="D260" s="10" t="n">
        <f aca="false">IF(OR(B260="",C260="",B260&lt;=0.05,C260&lt;=0.05),0,1)</f>
        <v>1</v>
      </c>
      <c r="E260" s="25" t="n">
        <f aca="false">IF(OR(A260&lt;Resumen!$B$6,A260&gt;=Resumen!$B$7),0,MAX(0,AVERAGEIFS(B212:B308,D212:D308,1)-Resumen!$B$5*AVERAGEIFS(C212:C308,D212:D308,1)))</f>
        <v>0</v>
      </c>
      <c r="F260" s="10" t="n">
        <f aca="false">IF(B260="","",(B260-E260)/Resumen!$B$5)</f>
        <v>1.49205718824464</v>
      </c>
      <c r="G260" s="10" t="n">
        <f aca="false">IF(OR(F260="",C260=""),0,(F260-C260)*0.9)</f>
        <v>-0.0391885305798252</v>
      </c>
      <c r="H260" s="26" t="str">
        <f aca="false">IF(A260&lt;Resumen!$B$11,"",IF(H259="",0,H259)+G260/Resumen!$B$9)</f>
        <v/>
      </c>
      <c r="I260" s="26" t="str">
        <f aca="false">IF(H260="","",H260-AVERAGE(H212:H308))</f>
        <v/>
      </c>
      <c r="J260" s="27" t="str">
        <f aca="false">IF(I260="","",Resumen!$B$10-(MAX(I212:I308)-I260))</f>
        <v/>
      </c>
    </row>
    <row r="261" customFormat="false" ht="15" hidden="false" customHeight="false" outlineLevel="0" collapsed="false">
      <c r="A261" s="24" t="n">
        <v>46264.09375</v>
      </c>
      <c r="B261" s="10" t="n">
        <v>1.9054</v>
      </c>
      <c r="C261" s="10" t="n">
        <v>1.7974</v>
      </c>
      <c r="D261" s="10" t="n">
        <f aca="false">IF(OR(B261="",C261="",B261&lt;=0.05,C261&lt;=0.05),0,1)</f>
        <v>1</v>
      </c>
      <c r="E261" s="25" t="n">
        <f aca="false">IF(OR(A261&lt;Resumen!$B$6,A261&gt;=Resumen!$B$7),0,MAX(0,AVERAGEIFS(B213:B309,D213:D309,1)-Resumen!$B$5*AVERAGEIFS(C213:C309,D213:D309,1)))</f>
        <v>0</v>
      </c>
      <c r="F261" s="10" t="n">
        <f aca="false">IF(B261="","",(B261-E261)/Resumen!$B$5)</f>
        <v>1.51342335186656</v>
      </c>
      <c r="G261" s="10" t="n">
        <f aca="false">IF(OR(F261="",C261=""),0,(F261-C261)*0.9)</f>
        <v>-0.255578983320095</v>
      </c>
      <c r="H261" s="26" t="str">
        <f aca="false">IF(A261&lt;Resumen!$B$11,"",IF(H260="",0,H260)+G261/Resumen!$B$9)</f>
        <v/>
      </c>
      <c r="I261" s="26" t="str">
        <f aca="false">IF(H261="","",H261-AVERAGE(H213:H309))</f>
        <v/>
      </c>
      <c r="J261" s="27" t="str">
        <f aca="false">IF(I261="","",Resumen!$B$10-(MAX(I213:I309)-I261))</f>
        <v/>
      </c>
    </row>
    <row r="262" customFormat="false" ht="15" hidden="false" customHeight="false" outlineLevel="0" collapsed="false">
      <c r="A262" s="24" t="n">
        <v>46264.1041666667</v>
      </c>
      <c r="B262" s="10" t="n">
        <v>1.9039</v>
      </c>
      <c r="C262" s="10" t="n">
        <v>1.5271</v>
      </c>
      <c r="D262" s="10" t="n">
        <f aca="false">IF(OR(B262="",C262="",B262&lt;=0.05,C262&lt;=0.05),0,1)</f>
        <v>1</v>
      </c>
      <c r="E262" s="25" t="n">
        <f aca="false">IF(OR(A262&lt;Resumen!$B$6,A262&gt;=Resumen!$B$7),0,MAX(0,AVERAGEIFS(B214:B310,D214:D310,1)-Resumen!$B$5*AVERAGEIFS(C214:C310,D214:D310,1)))</f>
        <v>0</v>
      </c>
      <c r="F262" s="10" t="n">
        <f aca="false">IF(B262="","",(B262-E262)/Resumen!$B$5)</f>
        <v>1.51223193010326</v>
      </c>
      <c r="G262" s="10" t="n">
        <f aca="false">IF(OR(F262="",C262=""),0,(F262-C262)*0.9)</f>
        <v>-0.013381262907069</v>
      </c>
      <c r="H262" s="26" t="str">
        <f aca="false">IF(A262&lt;Resumen!$B$11,"",IF(H261="",0,H261)+G262/Resumen!$B$9)</f>
        <v/>
      </c>
      <c r="I262" s="26" t="str">
        <f aca="false">IF(H262="","",H262-AVERAGE(H214:H310))</f>
        <v/>
      </c>
      <c r="J262" s="27" t="str">
        <f aca="false">IF(I262="","",Resumen!$B$10-(MAX(I214:I310)-I262))</f>
        <v/>
      </c>
    </row>
    <row r="263" customFormat="false" ht="15" hidden="false" customHeight="false" outlineLevel="0" collapsed="false">
      <c r="A263" s="24" t="n">
        <v>46264.1145833333</v>
      </c>
      <c r="B263" s="10" t="n">
        <v>1.9391</v>
      </c>
      <c r="C263" s="10" t="n">
        <v>1.6182</v>
      </c>
      <c r="D263" s="10" t="n">
        <f aca="false">IF(OR(B263="",C263="",B263&lt;=0.05,C263&lt;=0.05),0,1)</f>
        <v>1</v>
      </c>
      <c r="E263" s="25" t="n">
        <f aca="false">IF(OR(A263&lt;Resumen!$B$6,A263&gt;=Resumen!$B$7),0,MAX(0,AVERAGEIFS(B215:B311,D215:D311,1)-Resumen!$B$5*AVERAGEIFS(C215:C311,D215:D311,1)))</f>
        <v>0</v>
      </c>
      <c r="F263" s="10" t="n">
        <f aca="false">IF(B263="","",(B263-E263)/Resumen!$B$5)</f>
        <v>1.54019062748213</v>
      </c>
      <c r="G263" s="10" t="n">
        <f aca="false">IF(OR(F263="",C263=""),0,(F263-C263)*0.9)</f>
        <v>-0.0702084352660841</v>
      </c>
      <c r="H263" s="26" t="str">
        <f aca="false">IF(A263&lt;Resumen!$B$11,"",IF(H262="",0,H262)+G263/Resumen!$B$9)</f>
        <v/>
      </c>
      <c r="I263" s="26" t="str">
        <f aca="false">IF(H263="","",H263-AVERAGE(H215:H311))</f>
        <v/>
      </c>
      <c r="J263" s="27" t="str">
        <f aca="false">IF(I263="","",Resumen!$B$10-(MAX(I215:I311)-I263))</f>
        <v/>
      </c>
    </row>
    <row r="264" customFormat="false" ht="15" hidden="false" customHeight="false" outlineLevel="0" collapsed="false">
      <c r="A264" s="24" t="n">
        <v>46264.125</v>
      </c>
      <c r="B264" s="10" t="n">
        <v>1.8889</v>
      </c>
      <c r="C264" s="10" t="n">
        <v>1.4921</v>
      </c>
      <c r="D264" s="10" t="n">
        <f aca="false">IF(OR(B264="",C264="",B264&lt;=0.05,C264&lt;=0.05),0,1)</f>
        <v>1</v>
      </c>
      <c r="E264" s="25" t="n">
        <f aca="false">IF(OR(A264&lt;Resumen!$B$6,A264&gt;=Resumen!$B$7),0,MAX(0,AVERAGEIFS(B216:B312,D216:D312,1)-Resumen!$B$5*AVERAGEIFS(C216:C312,D216:D312,1)))</f>
        <v>0</v>
      </c>
      <c r="F264" s="10" t="n">
        <f aca="false">IF(B264="","",(B264-E264)/Resumen!$B$5)</f>
        <v>1.50031771247021</v>
      </c>
      <c r="G264" s="10" t="n">
        <f aca="false">IF(OR(F264="",C264=""),0,(F264-C264)*0.9)</f>
        <v>0.00739594122319307</v>
      </c>
      <c r="H264" s="26" t="str">
        <f aca="false">IF(A264&lt;Resumen!$B$11,"",IF(H263="",0,H263)+G264/Resumen!$B$9)</f>
        <v/>
      </c>
      <c r="I264" s="26" t="str">
        <f aca="false">IF(H264="","",H264-AVERAGE(H216:H312))</f>
        <v/>
      </c>
      <c r="J264" s="27" t="str">
        <f aca="false">IF(I264="","",Resumen!$B$10-(MAX(I216:I312)-I264))</f>
        <v/>
      </c>
    </row>
    <row r="265" customFormat="false" ht="15" hidden="false" customHeight="false" outlineLevel="0" collapsed="false">
      <c r="A265" s="24" t="n">
        <v>46264.1354166667</v>
      </c>
      <c r="B265" s="10" t="n">
        <v>1.9016</v>
      </c>
      <c r="C265" s="10" t="n">
        <v>1.4941</v>
      </c>
      <c r="D265" s="10" t="n">
        <f aca="false">IF(OR(B265="",C265="",B265&lt;=0.05,C265&lt;=0.05),0,1)</f>
        <v>1</v>
      </c>
      <c r="E265" s="25" t="n">
        <f aca="false">IF(OR(A265&lt;Resumen!$B$6,A265&gt;=Resumen!$B$7),0,MAX(0,AVERAGEIFS(B217:B313,D217:D313,1)-Resumen!$B$5*AVERAGEIFS(C217:C313,D217:D313,1)))</f>
        <v>0</v>
      </c>
      <c r="F265" s="10" t="n">
        <f aca="false">IF(B265="","",(B265-E265)/Resumen!$B$5)</f>
        <v>1.51040508339952</v>
      </c>
      <c r="G265" s="10" t="n">
        <f aca="false">IF(OR(F265="",C265=""),0,(F265-C265)*0.9)</f>
        <v>0.0146745750595712</v>
      </c>
      <c r="H265" s="26" t="str">
        <f aca="false">IF(A265&lt;Resumen!$B$11,"",IF(H264="",0,H264)+G265/Resumen!$B$9)</f>
        <v/>
      </c>
      <c r="I265" s="26" t="str">
        <f aca="false">IF(H265="","",H265-AVERAGE(H217:H313))</f>
        <v/>
      </c>
      <c r="J265" s="27" t="str">
        <f aca="false">IF(I265="","",Resumen!$B$10-(MAX(I217:I313)-I265))</f>
        <v/>
      </c>
    </row>
    <row r="266" customFormat="false" ht="15" hidden="false" customHeight="false" outlineLevel="0" collapsed="false">
      <c r="A266" s="24" t="n">
        <v>46264.1458333333</v>
      </c>
      <c r="B266" s="10" t="n">
        <v>1.8394</v>
      </c>
      <c r="C266" s="10" t="n">
        <v>1.4443</v>
      </c>
      <c r="D266" s="10" t="n">
        <f aca="false">IF(OR(B266="",C266="",B266&lt;=0.05,C266&lt;=0.05),0,1)</f>
        <v>1</v>
      </c>
      <c r="E266" s="25" t="n">
        <f aca="false">IF(OR(A266&lt;Resumen!$B$6,A266&gt;=Resumen!$B$7),0,MAX(0,AVERAGEIFS(B218:B314,D218:D314,1)-Resumen!$B$5*AVERAGEIFS(C218:C314,D218:D314,1)))</f>
        <v>0</v>
      </c>
      <c r="F266" s="10" t="n">
        <f aca="false">IF(B266="","",(B266-E266)/Resumen!$B$5)</f>
        <v>1.46100079428118</v>
      </c>
      <c r="G266" s="10" t="n">
        <f aca="false">IF(OR(F266="",C266=""),0,(F266-C266)*0.9)</f>
        <v>0.0150307148530581</v>
      </c>
      <c r="H266" s="26" t="str">
        <f aca="false">IF(A266&lt;Resumen!$B$11,"",IF(H265="",0,H265)+G266/Resumen!$B$9)</f>
        <v/>
      </c>
      <c r="I266" s="26" t="str">
        <f aca="false">IF(H266="","",H266-AVERAGE(H218:H314))</f>
        <v/>
      </c>
      <c r="J266" s="27" t="str">
        <f aca="false">IF(I266="","",Resumen!$B$10-(MAX(I218:I314)-I266))</f>
        <v/>
      </c>
    </row>
    <row r="267" customFormat="false" ht="15" hidden="false" customHeight="false" outlineLevel="0" collapsed="false">
      <c r="A267" s="24" t="n">
        <v>46264.15625</v>
      </c>
      <c r="B267" s="10" t="n">
        <v>1.748</v>
      </c>
      <c r="C267" s="10" t="n">
        <v>1.5206</v>
      </c>
      <c r="D267" s="10" t="n">
        <f aca="false">IF(OR(B267="",C267="",B267&lt;=0.05,C267&lt;=0.05),0,1)</f>
        <v>1</v>
      </c>
      <c r="E267" s="25" t="n">
        <f aca="false">IF(OR(A267&lt;Resumen!$B$6,A267&gt;=Resumen!$B$7),0,MAX(0,AVERAGEIFS(B219:B315,D219:D315,1)-Resumen!$B$5*AVERAGEIFS(C219:C315,D219:D315,1)))</f>
        <v>0</v>
      </c>
      <c r="F267" s="10" t="n">
        <f aca="false">IF(B267="","",(B267-E267)/Resumen!$B$5)</f>
        <v>1.38840349483717</v>
      </c>
      <c r="G267" s="10" t="n">
        <f aca="false">IF(OR(F267="",C267=""),0,(F267-C267)*0.9)</f>
        <v>-0.118976854646545</v>
      </c>
      <c r="H267" s="26" t="str">
        <f aca="false">IF(A267&lt;Resumen!$B$11,"",IF(H266="",0,H266)+G267/Resumen!$B$9)</f>
        <v/>
      </c>
      <c r="I267" s="26" t="str">
        <f aca="false">IF(H267="","",H267-AVERAGE(H219:H315))</f>
        <v/>
      </c>
      <c r="J267" s="27" t="str">
        <f aca="false">IF(I267="","",Resumen!$B$10-(MAX(I219:I315)-I267))</f>
        <v/>
      </c>
    </row>
    <row r="268" customFormat="false" ht="15" hidden="false" customHeight="false" outlineLevel="0" collapsed="false">
      <c r="A268" s="24" t="n">
        <v>46264.1666666667</v>
      </c>
      <c r="B268" s="10" t="n">
        <v>1.8686</v>
      </c>
      <c r="C268" s="10" t="n">
        <v>1.5749</v>
      </c>
      <c r="D268" s="10" t="n">
        <f aca="false">IF(OR(B268="",C268="",B268&lt;=0.05,C268&lt;=0.05),0,1)</f>
        <v>1</v>
      </c>
      <c r="E268" s="25" t="n">
        <f aca="false">IF(OR(A268&lt;Resumen!$B$6,A268&gt;=Resumen!$B$7),0,MAX(0,AVERAGEIFS(B220:B316,D220:D316,1)-Resumen!$B$5*AVERAGEIFS(C220:C316,D220:D316,1)))</f>
        <v>0</v>
      </c>
      <c r="F268" s="10" t="n">
        <f aca="false">IF(B268="","",(B268-E268)/Resumen!$B$5)</f>
        <v>1.48419380460683</v>
      </c>
      <c r="G268" s="10" t="n">
        <f aca="false">IF(OR(F268="",C268=""),0,(F268-C268)*0.9)</f>
        <v>-0.0816355758538521</v>
      </c>
      <c r="H268" s="26" t="str">
        <f aca="false">IF(A268&lt;Resumen!$B$11,"",IF(H267="",0,H267)+G268/Resumen!$B$9)</f>
        <v/>
      </c>
      <c r="I268" s="26" t="str">
        <f aca="false">IF(H268="","",H268-AVERAGE(H220:H316))</f>
        <v/>
      </c>
      <c r="J268" s="27" t="str">
        <f aca="false">IF(I268="","",Resumen!$B$10-(MAX(I220:I316)-I268))</f>
        <v/>
      </c>
    </row>
    <row r="269" customFormat="false" ht="15" hidden="false" customHeight="false" outlineLevel="0" collapsed="false">
      <c r="A269" s="24" t="n">
        <v>46264.1770833333</v>
      </c>
      <c r="B269" s="10" t="n">
        <v>1.9171</v>
      </c>
      <c r="C269" s="10" t="n">
        <v>1.4595</v>
      </c>
      <c r="D269" s="10" t="n">
        <f aca="false">IF(OR(B269="",C269="",B269&lt;=0.05,C269&lt;=0.05),0,1)</f>
        <v>1</v>
      </c>
      <c r="E269" s="25" t="n">
        <f aca="false">IF(OR(A269&lt;Resumen!$B$6,A269&gt;=Resumen!$B$7),0,MAX(0,AVERAGEIFS(B221:B317,D221:D317,1)-Resumen!$B$5*AVERAGEIFS(C221:C317,D221:D317,1)))</f>
        <v>0</v>
      </c>
      <c r="F269" s="10" t="n">
        <f aca="false">IF(B269="","",(B269-E269)/Resumen!$B$5)</f>
        <v>1.52271644162033</v>
      </c>
      <c r="G269" s="10" t="n">
        <f aca="false">IF(OR(F269="",C269=""),0,(F269-C269)*0.9)</f>
        <v>0.0568947974583004</v>
      </c>
      <c r="H269" s="26" t="str">
        <f aca="false">IF(A269&lt;Resumen!$B$11,"",IF(H268="",0,H268)+G269/Resumen!$B$9)</f>
        <v/>
      </c>
      <c r="I269" s="26" t="str">
        <f aca="false">IF(H269="","",H269-AVERAGE(H221:H317))</f>
        <v/>
      </c>
      <c r="J269" s="27" t="str">
        <f aca="false">IF(I269="","",Resumen!$B$10-(MAX(I221:I317)-I269))</f>
        <v/>
      </c>
    </row>
    <row r="270" customFormat="false" ht="15" hidden="false" customHeight="false" outlineLevel="0" collapsed="false">
      <c r="A270" s="24" t="n">
        <v>46264.1875</v>
      </c>
      <c r="B270" s="10" t="n">
        <v>1.9137</v>
      </c>
      <c r="C270" s="10" t="n">
        <v>1.4327</v>
      </c>
      <c r="D270" s="10" t="n">
        <f aca="false">IF(OR(B270="",C270="",B270&lt;=0.05,C270&lt;=0.05),0,1)</f>
        <v>1</v>
      </c>
      <c r="E270" s="25" t="n">
        <f aca="false">IF(OR(A270&lt;Resumen!$B$6,A270&gt;=Resumen!$B$7),0,MAX(0,AVERAGEIFS(B222:B318,D222:D318,1)-Resumen!$B$5*AVERAGEIFS(C222:C318,D222:D318,1)))</f>
        <v>0</v>
      </c>
      <c r="F270" s="10" t="n">
        <f aca="false">IF(B270="","",(B270-E270)/Resumen!$B$5)</f>
        <v>1.52001588562351</v>
      </c>
      <c r="G270" s="10" t="n">
        <f aca="false">IF(OR(F270="",C270=""),0,(F270-C270)*0.9)</f>
        <v>0.0785842970611597</v>
      </c>
      <c r="H270" s="26" t="str">
        <f aca="false">IF(A270&lt;Resumen!$B$11,"",IF(H269="",0,H269)+G270/Resumen!$B$9)</f>
        <v/>
      </c>
      <c r="I270" s="26" t="str">
        <f aca="false">IF(H270="","",H270-AVERAGE(H222:H318))</f>
        <v/>
      </c>
      <c r="J270" s="27" t="str">
        <f aca="false">IF(I270="","",Resumen!$B$10-(MAX(I222:I318)-I270))</f>
        <v/>
      </c>
    </row>
    <row r="271" customFormat="false" ht="15" hidden="false" customHeight="false" outlineLevel="0" collapsed="false">
      <c r="A271" s="24" t="n">
        <v>46264.1979166667</v>
      </c>
      <c r="B271" s="10" t="n">
        <v>1.9265</v>
      </c>
      <c r="C271" s="10" t="n">
        <v>1.5045</v>
      </c>
      <c r="D271" s="10" t="n">
        <f aca="false">IF(OR(B271="",C271="",B271&lt;=0.05,C271&lt;=0.05),0,1)</f>
        <v>1</v>
      </c>
      <c r="E271" s="25" t="n">
        <f aca="false">IF(OR(A271&lt;Resumen!$B$6,A271&gt;=Resumen!$B$7),0,MAX(0,AVERAGEIFS(B223:B319,D223:D319,1)-Resumen!$B$5*AVERAGEIFS(C223:C319,D223:D319,1)))</f>
        <v>0</v>
      </c>
      <c r="F271" s="10" t="n">
        <f aca="false">IF(B271="","",(B271-E271)/Resumen!$B$5)</f>
        <v>1.53018268467037</v>
      </c>
      <c r="G271" s="10" t="n">
        <f aca="false">IF(OR(F271="",C271=""),0,(F271-C271)*0.9)</f>
        <v>0.0231144162033361</v>
      </c>
      <c r="H271" s="26" t="str">
        <f aca="false">IF(A271&lt;Resumen!$B$11,"",IF(H270="",0,H270)+G271/Resumen!$B$9)</f>
        <v/>
      </c>
      <c r="I271" s="26" t="str">
        <f aca="false">IF(H271="","",H271-AVERAGE(H223:H319))</f>
        <v/>
      </c>
      <c r="J271" s="27" t="str">
        <f aca="false">IF(I271="","",Resumen!$B$10-(MAX(I223:I319)-I271))</f>
        <v/>
      </c>
    </row>
    <row r="272" customFormat="false" ht="15" hidden="false" customHeight="false" outlineLevel="0" collapsed="false">
      <c r="A272" s="24" t="n">
        <v>46264.2083333333</v>
      </c>
      <c r="B272" s="10" t="n">
        <v>1.827</v>
      </c>
      <c r="C272" s="10" t="n">
        <v>1.5058</v>
      </c>
      <c r="D272" s="10" t="n">
        <f aca="false">IF(OR(B272="",C272="",B272&lt;=0.05,C272&lt;=0.05),0,1)</f>
        <v>1</v>
      </c>
      <c r="E272" s="25" t="n">
        <f aca="false">IF(OR(A272&lt;Resumen!$B$6,A272&gt;=Resumen!$B$7),0,MAX(0,AVERAGEIFS(B224:B320,D224:D320,1)-Resumen!$B$5*AVERAGEIFS(C224:C320,D224:D320,1)))</f>
        <v>0</v>
      </c>
      <c r="F272" s="10" t="n">
        <f aca="false">IF(B272="","",(B272-E272)/Resumen!$B$5)</f>
        <v>1.45115170770453</v>
      </c>
      <c r="G272" s="10" t="n">
        <f aca="false">IF(OR(F272="",C272=""),0,(F272-C272)*0.9)</f>
        <v>-0.0491834630659253</v>
      </c>
      <c r="H272" s="26" t="str">
        <f aca="false">IF(A272&lt;Resumen!$B$11,"",IF(H271="",0,H271)+G272/Resumen!$B$9)</f>
        <v/>
      </c>
      <c r="I272" s="26" t="str">
        <f aca="false">IF(H272="","",H272-AVERAGE(H224:H320))</f>
        <v/>
      </c>
      <c r="J272" s="27" t="str">
        <f aca="false">IF(I272="","",Resumen!$B$10-(MAX(I224:I320)-I272))</f>
        <v/>
      </c>
    </row>
    <row r="273" customFormat="false" ht="15" hidden="false" customHeight="false" outlineLevel="0" collapsed="false">
      <c r="A273" s="24" t="n">
        <v>46264.21875</v>
      </c>
      <c r="B273" s="10" t="n">
        <v>1.9177</v>
      </c>
      <c r="C273" s="10" t="n">
        <v>1.5592</v>
      </c>
      <c r="D273" s="10" t="n">
        <f aca="false">IF(OR(B273="",C273="",B273&lt;=0.05,C273&lt;=0.05),0,1)</f>
        <v>1</v>
      </c>
      <c r="E273" s="25" t="n">
        <f aca="false">IF(OR(A273&lt;Resumen!$B$6,A273&gt;=Resumen!$B$7),0,MAX(0,AVERAGEIFS(B225:B321,D225:D321,1)-Resumen!$B$5*AVERAGEIFS(C225:C321,D225:D321,1)))</f>
        <v>0</v>
      </c>
      <c r="F273" s="10" t="n">
        <f aca="false">IF(B273="","",(B273-E273)/Resumen!$B$5)</f>
        <v>1.52319301032566</v>
      </c>
      <c r="G273" s="10" t="n">
        <f aca="false">IF(OR(F273="",C273=""),0,(F273-C273)*0.9)</f>
        <v>-0.03240629070691</v>
      </c>
      <c r="H273" s="26" t="str">
        <f aca="false">IF(A273&lt;Resumen!$B$11,"",IF(H272="",0,H272)+G273/Resumen!$B$9)</f>
        <v/>
      </c>
      <c r="I273" s="26" t="str">
        <f aca="false">IF(H273="","",H273-AVERAGE(H225:H321))</f>
        <v/>
      </c>
      <c r="J273" s="27" t="str">
        <f aca="false">IF(I273="","",Resumen!$B$10-(MAX(I225:I321)-I273))</f>
        <v/>
      </c>
    </row>
    <row r="274" customFormat="false" ht="15" hidden="false" customHeight="false" outlineLevel="0" collapsed="false">
      <c r="A274" s="24" t="n">
        <v>46264.2291666667</v>
      </c>
      <c r="B274" s="10" t="n">
        <v>2.2018</v>
      </c>
      <c r="C274" s="10" t="n">
        <v>1.7831</v>
      </c>
      <c r="D274" s="10" t="n">
        <f aca="false">IF(OR(B274="",C274="",B274&lt;=0.05,C274&lt;=0.05),0,1)</f>
        <v>1</v>
      </c>
      <c r="E274" s="25" t="n">
        <f aca="false">IF(OR(A274&lt;Resumen!$B$6,A274&gt;=Resumen!$B$7),0,MAX(0,AVERAGEIFS(B226:B322,D226:D322,1)-Resumen!$B$5*AVERAGEIFS(C226:C322,D226:D322,1)))</f>
        <v>0</v>
      </c>
      <c r="F274" s="10" t="n">
        <f aca="false">IF(B274="","",(B274-E274)/Resumen!$B$5)</f>
        <v>1.74884829229547</v>
      </c>
      <c r="G274" s="10" t="n">
        <f aca="false">IF(OR(F274="",C274=""),0,(F274-C274)*0.9)</f>
        <v>-0.0308265369340745</v>
      </c>
      <c r="H274" s="26" t="str">
        <f aca="false">IF(A274&lt;Resumen!$B$11,"",IF(H273="",0,H273)+G274/Resumen!$B$9)</f>
        <v/>
      </c>
      <c r="I274" s="26" t="str">
        <f aca="false">IF(H274="","",H274-AVERAGE(H226:H322))</f>
        <v/>
      </c>
      <c r="J274" s="27" t="str">
        <f aca="false">IF(I274="","",Resumen!$B$10-(MAX(I226:I322)-I274))</f>
        <v/>
      </c>
    </row>
    <row r="275" customFormat="false" ht="15" hidden="false" customHeight="false" outlineLevel="0" collapsed="false">
      <c r="A275" s="24" t="n">
        <v>46264.2395833333</v>
      </c>
      <c r="B275" s="10" t="n">
        <v>2.3328</v>
      </c>
      <c r="C275" s="10" t="n">
        <v>1.9248</v>
      </c>
      <c r="D275" s="10" t="n">
        <f aca="false">IF(OR(B275="",C275="",B275&lt;=0.05,C275&lt;=0.05),0,1)</f>
        <v>1</v>
      </c>
      <c r="E275" s="25" t="n">
        <f aca="false">IF(OR(A275&lt;Resumen!$B$6,A275&gt;=Resumen!$B$7),0,MAX(0,AVERAGEIFS(B227:B323,D227:D323,1)-Resumen!$B$5*AVERAGEIFS(C227:C323,D227:D323,1)))</f>
        <v>0</v>
      </c>
      <c r="F275" s="10" t="n">
        <f aca="false">IF(B275="","",(B275-E275)/Resumen!$B$5)</f>
        <v>1.85289912629071</v>
      </c>
      <c r="G275" s="10" t="n">
        <f aca="false">IF(OR(F275="",C275=""),0,(F275-C275)*0.9)</f>
        <v>-0.0647107863383635</v>
      </c>
      <c r="H275" s="26" t="str">
        <f aca="false">IF(A275&lt;Resumen!$B$11,"",IF(H274="",0,H274)+G275/Resumen!$B$9)</f>
        <v/>
      </c>
      <c r="I275" s="26" t="str">
        <f aca="false">IF(H275="","",H275-AVERAGE(H227:H323))</f>
        <v/>
      </c>
      <c r="J275" s="27" t="str">
        <f aca="false">IF(I275="","",Resumen!$B$10-(MAX(I227:I323)-I275))</f>
        <v/>
      </c>
    </row>
    <row r="276" customFormat="false" ht="15" hidden="false" customHeight="false" outlineLevel="0" collapsed="false">
      <c r="A276" s="24" t="n">
        <v>46264.25</v>
      </c>
      <c r="B276" s="10" t="n">
        <v>2.3091</v>
      </c>
      <c r="C276" s="10" t="n">
        <v>1.8025</v>
      </c>
      <c r="D276" s="10" t="n">
        <f aca="false">IF(OR(B276="",C276="",B276&lt;=0.05,C276&lt;=0.05),0,1)</f>
        <v>1</v>
      </c>
      <c r="E276" s="25" t="n">
        <f aca="false">IF(OR(A276&lt;Resumen!$B$6,A276&gt;=Resumen!$B$7),0,MAX(0,AVERAGEIFS(B228:B324,D228:D324,1)-Resumen!$B$5*AVERAGEIFS(C228:C324,D228:D324,1)))</f>
        <v>0</v>
      </c>
      <c r="F276" s="10" t="n">
        <f aca="false">IF(B276="","",(B276-E276)/Resumen!$B$5)</f>
        <v>1.8340746624305</v>
      </c>
      <c r="G276" s="10" t="n">
        <f aca="false">IF(OR(F276="",C276=""),0,(F276-C276)*0.9)</f>
        <v>0.0284171961874504</v>
      </c>
      <c r="H276" s="26" t="str">
        <f aca="false">IF(A276&lt;Resumen!$B$11,"",IF(H275="",0,H275)+G276/Resumen!$B$9)</f>
        <v/>
      </c>
      <c r="I276" s="26" t="str">
        <f aca="false">IF(H276="","",H276-AVERAGE(H228:H324))</f>
        <v/>
      </c>
      <c r="J276" s="27" t="str">
        <f aca="false">IF(I276="","",Resumen!$B$10-(MAX(I228:I324)-I276))</f>
        <v/>
      </c>
    </row>
    <row r="277" customFormat="false" ht="15" hidden="false" customHeight="false" outlineLevel="0" collapsed="false">
      <c r="A277" s="24" t="n">
        <v>46264.2604166667</v>
      </c>
      <c r="B277" s="10" t="n">
        <v>2.5243</v>
      </c>
      <c r="C277" s="10" t="n">
        <v>2.0547</v>
      </c>
      <c r="D277" s="10" t="n">
        <f aca="false">IF(OR(B277="",C277="",B277&lt;=0.05,C277&lt;=0.05),0,1)</f>
        <v>1</v>
      </c>
      <c r="E277" s="25" t="n">
        <f aca="false">IF(OR(A277&lt;Resumen!$B$6,A277&gt;=Resumen!$B$7),0,MAX(0,AVERAGEIFS(B229:B325,D229:D325,1)-Resumen!$B$5*AVERAGEIFS(C229:C325,D229:D325,1)))</f>
        <v>0</v>
      </c>
      <c r="F277" s="10" t="n">
        <f aca="false">IF(B277="","",(B277-E277)/Resumen!$B$5)</f>
        <v>2.00500397140588</v>
      </c>
      <c r="G277" s="10" t="n">
        <f aca="false">IF(OR(F277="",C277=""),0,(F277-C277)*0.9)</f>
        <v>-0.0447264257347099</v>
      </c>
      <c r="H277" s="26" t="str">
        <f aca="false">IF(A277&lt;Resumen!$B$11,"",IF(H276="",0,H276)+G277/Resumen!$B$9)</f>
        <v/>
      </c>
      <c r="I277" s="26" t="str">
        <f aca="false">IF(H277="","",H277-AVERAGE(H229:H325))</f>
        <v/>
      </c>
      <c r="J277" s="27" t="str">
        <f aca="false">IF(I277="","",Resumen!$B$10-(MAX(I229:I325)-I277))</f>
        <v/>
      </c>
    </row>
    <row r="278" customFormat="false" ht="15" hidden="false" customHeight="false" outlineLevel="0" collapsed="false">
      <c r="A278" s="24" t="n">
        <v>46264.2708333333</v>
      </c>
      <c r="B278" s="10" t="n">
        <v>2.6762</v>
      </c>
      <c r="C278" s="10" t="n">
        <v>1.9773</v>
      </c>
      <c r="D278" s="10" t="n">
        <f aca="false">IF(OR(B278="",C278="",B278&lt;=0.05,C278&lt;=0.05),0,1)</f>
        <v>1</v>
      </c>
      <c r="E278" s="25" t="n">
        <f aca="false">IF(OR(A278&lt;Resumen!$B$6,A278&gt;=Resumen!$B$7),0,MAX(0,AVERAGEIFS(B230:B326,D230:D326,1)-Resumen!$B$5*AVERAGEIFS(C230:C326,D230:D326,1)))</f>
        <v>0</v>
      </c>
      <c r="F278" s="10" t="n">
        <f aca="false">IF(B278="","",(B278-E278)/Resumen!$B$5)</f>
        <v>2.12565528196982</v>
      </c>
      <c r="G278" s="10" t="n">
        <f aca="false">IF(OR(F278="",C278=""),0,(F278-C278)*0.9)</f>
        <v>0.133519753772836</v>
      </c>
      <c r="H278" s="26" t="str">
        <f aca="false">IF(A278&lt;Resumen!$B$11,"",IF(H277="",0,H277)+G278/Resumen!$B$9)</f>
        <v/>
      </c>
      <c r="I278" s="26" t="str">
        <f aca="false">IF(H278="","",H278-AVERAGE(H230:H326))</f>
        <v/>
      </c>
      <c r="J278" s="27" t="str">
        <f aca="false">IF(I278="","",Resumen!$B$10-(MAX(I230:I326)-I278))</f>
        <v/>
      </c>
    </row>
    <row r="279" customFormat="false" ht="15" hidden="false" customHeight="false" outlineLevel="0" collapsed="false">
      <c r="A279" s="24" t="n">
        <v>46264.28125</v>
      </c>
      <c r="B279" s="10" t="n">
        <v>2.5889</v>
      </c>
      <c r="C279" s="10" t="n">
        <v>2.004</v>
      </c>
      <c r="D279" s="10" t="n">
        <f aca="false">IF(OR(B279="",C279="",B279&lt;=0.05,C279&lt;=0.05),0,1)</f>
        <v>1</v>
      </c>
      <c r="E279" s="25" t="n">
        <f aca="false">IF(OR(A279&lt;Resumen!$B$6,A279&gt;=Resumen!$B$7),0,MAX(0,AVERAGEIFS(B231:B327,D231:D327,1)-Resumen!$B$5*AVERAGEIFS(C231:C327,D231:D327,1)))</f>
        <v>0</v>
      </c>
      <c r="F279" s="10" t="n">
        <f aca="false">IF(B279="","",(B279-E279)/Resumen!$B$5)</f>
        <v>2.05631453534551</v>
      </c>
      <c r="G279" s="10" t="n">
        <f aca="false">IF(OR(F279="",C279=""),0,(F279-C279)*0.9)</f>
        <v>0.0470830818109615</v>
      </c>
      <c r="H279" s="26" t="str">
        <f aca="false">IF(A279&lt;Resumen!$B$11,"",IF(H278="",0,H278)+G279/Resumen!$B$9)</f>
        <v/>
      </c>
      <c r="I279" s="26" t="str">
        <f aca="false">IF(H279="","",H279-AVERAGE(H231:H327))</f>
        <v/>
      </c>
      <c r="J279" s="27" t="str">
        <f aca="false">IF(I279="","",Resumen!$B$10-(MAX(I231:I327)-I279))</f>
        <v/>
      </c>
    </row>
    <row r="280" customFormat="false" ht="15" hidden="false" customHeight="false" outlineLevel="0" collapsed="false">
      <c r="A280" s="24" t="n">
        <v>46264.2916666667</v>
      </c>
      <c r="B280" s="10" t="n">
        <v>3.488</v>
      </c>
      <c r="C280" s="10" t="n">
        <v>2.9684</v>
      </c>
      <c r="D280" s="10" t="n">
        <f aca="false">IF(OR(B280="",C280="",B280&lt;=0.05,C280&lt;=0.05),0,1)</f>
        <v>1</v>
      </c>
      <c r="E280" s="25" t="n">
        <f aca="false">IF(OR(A280&lt;Resumen!$B$6,A280&gt;=Resumen!$B$7),0,MAX(0,AVERAGEIFS(B232:B328,D232:D328,1)-Resumen!$B$5*AVERAGEIFS(C232:C328,D232:D328,1)))</f>
        <v>0</v>
      </c>
      <c r="F280" s="10" t="n">
        <f aca="false">IF(B280="","",(B280-E280)/Resumen!$B$5)</f>
        <v>2.77045274027006</v>
      </c>
      <c r="G280" s="10" t="n">
        <f aca="false">IF(OR(F280="",C280=""),0,(F280-C280)*0.9)</f>
        <v>-0.17815253375695</v>
      </c>
      <c r="H280" s="26" t="str">
        <f aca="false">IF(A280&lt;Resumen!$B$11,"",IF(H279="",0,H279)+G280/Resumen!$B$9)</f>
        <v/>
      </c>
      <c r="I280" s="26" t="str">
        <f aca="false">IF(H280="","",H280-AVERAGE(H232:H328))</f>
        <v/>
      </c>
      <c r="J280" s="27" t="str">
        <f aca="false">IF(I280="","",Resumen!$B$10-(MAX(I232:I328)-I280))</f>
        <v/>
      </c>
    </row>
    <row r="281" customFormat="false" ht="15" hidden="false" customHeight="false" outlineLevel="0" collapsed="false">
      <c r="A281" s="24" t="n">
        <v>46264.3020833333</v>
      </c>
      <c r="B281" s="10" t="n">
        <v>3.044</v>
      </c>
      <c r="C281" s="10" t="n">
        <v>2.4788</v>
      </c>
      <c r="D281" s="10" t="n">
        <f aca="false">IF(OR(B281="",C281="",B281&lt;=0.05,C281&lt;=0.05),0,1)</f>
        <v>1</v>
      </c>
      <c r="E281" s="25" t="n">
        <f aca="false">IF(OR(A281&lt;Resumen!$B$6,A281&gt;=Resumen!$B$7),0,MAX(0,AVERAGEIFS(B233:B329,D233:D329,1)-Resumen!$B$5*AVERAGEIFS(C233:C329,D233:D329,1)))</f>
        <v>0</v>
      </c>
      <c r="F281" s="10" t="n">
        <f aca="false">IF(B281="","",(B281-E281)/Resumen!$B$5)</f>
        <v>2.41779189833201</v>
      </c>
      <c r="G281" s="10" t="n">
        <f aca="false">IF(OR(F281="",C281=""),0,(F281-C281)*0.9)</f>
        <v>-0.0549072915011912</v>
      </c>
      <c r="H281" s="26" t="str">
        <f aca="false">IF(A281&lt;Resumen!$B$11,"",IF(H280="",0,H280)+G281/Resumen!$B$9)</f>
        <v/>
      </c>
      <c r="I281" s="26" t="str">
        <f aca="false">IF(H281="","",H281-AVERAGE(H233:H329))</f>
        <v/>
      </c>
      <c r="J281" s="27" t="str">
        <f aca="false">IF(I281="","",Resumen!$B$10-(MAX(I233:I329)-I281))</f>
        <v/>
      </c>
    </row>
    <row r="282" customFormat="false" ht="15" hidden="false" customHeight="false" outlineLevel="0" collapsed="false">
      <c r="A282" s="24" t="n">
        <v>46264.3125</v>
      </c>
      <c r="B282" s="10" t="n">
        <v>3.3024</v>
      </c>
      <c r="C282" s="10" t="n">
        <v>2.538</v>
      </c>
      <c r="D282" s="10" t="n">
        <f aca="false">IF(OR(B282="",C282="",B282&lt;=0.05,C282&lt;=0.05),0,1)</f>
        <v>1</v>
      </c>
      <c r="E282" s="25" t="n">
        <f aca="false">IF(OR(A282&lt;Resumen!$B$6,A282&gt;=Resumen!$B$7),0,MAX(0,AVERAGEIFS(B234:B330,D234:D330,1)-Resumen!$B$5*AVERAGEIFS(C234:C330,D234:D330,1)))</f>
        <v>0</v>
      </c>
      <c r="F282" s="10" t="n">
        <f aca="false">IF(B282="","",(B282-E282)/Resumen!$B$5)</f>
        <v>2.62303415409055</v>
      </c>
      <c r="G282" s="10" t="n">
        <f aca="false">IF(OR(F282="",C282=""),0,(F282-C282)*0.9)</f>
        <v>0.0765307386814937</v>
      </c>
      <c r="H282" s="26" t="str">
        <f aca="false">IF(A282&lt;Resumen!$B$11,"",IF(H281="",0,H281)+G282/Resumen!$B$9)</f>
        <v/>
      </c>
      <c r="I282" s="26" t="str">
        <f aca="false">IF(H282="","",H282-AVERAGE(H234:H330))</f>
        <v/>
      </c>
      <c r="J282" s="27" t="str">
        <f aca="false">IF(I282="","",Resumen!$B$10-(MAX(I234:I330)-I282))</f>
        <v/>
      </c>
    </row>
    <row r="283" customFormat="false" ht="15" hidden="false" customHeight="false" outlineLevel="0" collapsed="false">
      <c r="A283" s="24" t="n">
        <v>46264.3229166667</v>
      </c>
      <c r="B283" s="10" t="n">
        <v>3.5037</v>
      </c>
      <c r="C283" s="10" t="n">
        <v>3.0379</v>
      </c>
      <c r="D283" s="10" t="n">
        <f aca="false">IF(OR(B283="",C283="",B283&lt;=0.05,C283&lt;=0.05),0,1)</f>
        <v>1</v>
      </c>
      <c r="E283" s="25" t="n">
        <f aca="false">IF(OR(A283&lt;Resumen!$B$6,A283&gt;=Resumen!$B$7),0,MAX(0,AVERAGEIFS(B235:B331,D235:D331,1)-Resumen!$B$5*AVERAGEIFS(C235:C331,D235:D331,1)))</f>
        <v>0</v>
      </c>
      <c r="F283" s="10" t="n">
        <f aca="false">IF(B283="","",(B283-E283)/Resumen!$B$5)</f>
        <v>2.78292295472597</v>
      </c>
      <c r="G283" s="10" t="n">
        <f aca="false">IF(OR(F283="",C283=""),0,(F283-C283)*0.9)</f>
        <v>-0.229479340746624</v>
      </c>
      <c r="H283" s="26" t="str">
        <f aca="false">IF(A283&lt;Resumen!$B$11,"",IF(H282="",0,H282)+G283/Resumen!$B$9)</f>
        <v/>
      </c>
      <c r="I283" s="26" t="str">
        <f aca="false">IF(H283="","",H283-AVERAGE(H235:H331))</f>
        <v/>
      </c>
      <c r="J283" s="27" t="str">
        <f aca="false">IF(I283="","",Resumen!$B$10-(MAX(I235:I331)-I283))</f>
        <v/>
      </c>
    </row>
    <row r="284" customFormat="false" ht="15" hidden="false" customHeight="false" outlineLevel="0" collapsed="false">
      <c r="A284" s="24" t="n">
        <v>46264.3333333333</v>
      </c>
      <c r="B284" s="10" t="n">
        <v>3.691</v>
      </c>
      <c r="C284" s="10" t="n">
        <v>3.1176</v>
      </c>
      <c r="D284" s="10" t="n">
        <f aca="false">IF(OR(B284="",C284="",B284&lt;=0.05,C284&lt;=0.05),0,1)</f>
        <v>1</v>
      </c>
      <c r="E284" s="25" t="n">
        <f aca="false">IF(OR(A284&lt;Resumen!$B$6,A284&gt;=Resumen!$B$7),0,MAX(0,AVERAGEIFS(B236:B332,D236:D332,1)-Resumen!$B$5*AVERAGEIFS(C236:C332,D236:D332,1)))</f>
        <v>0</v>
      </c>
      <c r="F284" s="10" t="n">
        <f aca="false">IF(B284="","",(B284-E284)/Resumen!$B$5)</f>
        <v>2.93169181890389</v>
      </c>
      <c r="G284" s="10" t="n">
        <f aca="false">IF(OR(F284="",C284=""),0,(F284-C284)*0.9)</f>
        <v>-0.167317362986497</v>
      </c>
      <c r="H284" s="26" t="str">
        <f aca="false">IF(A284&lt;Resumen!$B$11,"",IF(H283="",0,H283)+G284/Resumen!$B$9)</f>
        <v/>
      </c>
      <c r="I284" s="26" t="str">
        <f aca="false">IF(H284="","",H284-AVERAGE(H236:H332))</f>
        <v/>
      </c>
      <c r="J284" s="27" t="str">
        <f aca="false">IF(I284="","",Resumen!$B$10-(MAX(I236:I332)-I284))</f>
        <v/>
      </c>
    </row>
    <row r="285" customFormat="false" ht="15" hidden="false" customHeight="false" outlineLevel="0" collapsed="false">
      <c r="A285" s="24" t="n">
        <v>46264.34375</v>
      </c>
      <c r="B285" s="10" t="n">
        <v>3.7581</v>
      </c>
      <c r="C285" s="10" t="n">
        <v>2.8237</v>
      </c>
      <c r="D285" s="10" t="n">
        <f aca="false">IF(OR(B285="",C285="",B285&lt;=0.05,C285&lt;=0.05),0,1)</f>
        <v>1</v>
      </c>
      <c r="E285" s="25" t="n">
        <f aca="false">IF(OR(A285&lt;Resumen!$B$6,A285&gt;=Resumen!$B$7),0,MAX(0,AVERAGEIFS(B237:B333,D237:D333,1)-Resumen!$B$5*AVERAGEIFS(C237:C333,D237:D333,1)))</f>
        <v>0</v>
      </c>
      <c r="F285" s="10" t="n">
        <f aca="false">IF(B285="","",(B285-E285)/Resumen!$B$5)</f>
        <v>2.98498808578237</v>
      </c>
      <c r="G285" s="10" t="n">
        <f aca="false">IF(OR(F285="",C285=""),0,(F285-C285)*0.9)</f>
        <v>0.145159277204131</v>
      </c>
      <c r="H285" s="26" t="str">
        <f aca="false">IF(A285&lt;Resumen!$B$11,"",IF(H284="",0,H284)+G285/Resumen!$B$9)</f>
        <v/>
      </c>
      <c r="I285" s="26" t="str">
        <f aca="false">IF(H285="","",H285-AVERAGE(H237:H333))</f>
        <v/>
      </c>
      <c r="J285" s="27" t="str">
        <f aca="false">IF(I285="","",Resumen!$B$10-(MAX(I237:I333)-I285))</f>
        <v/>
      </c>
    </row>
    <row r="286" customFormat="false" ht="15" hidden="false" customHeight="false" outlineLevel="0" collapsed="false">
      <c r="A286" s="24" t="n">
        <v>46264.3541666667</v>
      </c>
      <c r="B286" s="10" t="n">
        <v>4.3169</v>
      </c>
      <c r="C286" s="10" t="n">
        <v>3.2881</v>
      </c>
      <c r="D286" s="10" t="n">
        <f aca="false">IF(OR(B286="",C286="",B286&lt;=0.05,C286&lt;=0.05),0,1)</f>
        <v>1</v>
      </c>
      <c r="E286" s="25" t="n">
        <f aca="false">IF(OR(A286&lt;Resumen!$B$6,A286&gt;=Resumen!$B$7),0,MAX(0,AVERAGEIFS(B238:B334,D238:D334,1)-Resumen!$B$5*AVERAGEIFS(C238:C334,D238:D334,1)))</f>
        <v>0</v>
      </c>
      <c r="F286" s="10" t="n">
        <f aca="false">IF(B286="","",(B286-E286)/Resumen!$B$5)</f>
        <v>3.42883240667196</v>
      </c>
      <c r="G286" s="10" t="n">
        <f aca="false">IF(OR(F286="",C286=""),0,(F286-C286)*0.9)</f>
        <v>0.126659166004766</v>
      </c>
      <c r="H286" s="26" t="str">
        <f aca="false">IF(A286&lt;Resumen!$B$11,"",IF(H285="",0,H285)+G286/Resumen!$B$9)</f>
        <v/>
      </c>
      <c r="I286" s="26" t="str">
        <f aca="false">IF(H286="","",H286-AVERAGE(H238:H334))</f>
        <v/>
      </c>
      <c r="J286" s="27" t="str">
        <f aca="false">IF(I286="","",Resumen!$B$10-(MAX(I238:I334)-I286))</f>
        <v/>
      </c>
    </row>
    <row r="287" customFormat="false" ht="15" hidden="false" customHeight="false" outlineLevel="0" collapsed="false">
      <c r="A287" s="24" t="n">
        <v>46264.3645833333</v>
      </c>
      <c r="B287" s="10" t="n">
        <v>4.2097</v>
      </c>
      <c r="C287" s="10" t="n">
        <v>4.0363</v>
      </c>
      <c r="D287" s="10" t="n">
        <f aca="false">IF(OR(B287="",C287="",B287&lt;=0.05,C287&lt;=0.05),0,1)</f>
        <v>1</v>
      </c>
      <c r="E287" s="25" t="n">
        <f aca="false">IF(OR(A287&lt;Resumen!$B$6,A287&gt;=Resumen!$B$7),0,MAX(0,AVERAGEIFS(B239:B335,D239:D335,1)-Resumen!$B$5*AVERAGEIFS(C239:C335,D239:D335,1)))</f>
        <v>0</v>
      </c>
      <c r="F287" s="10" t="n">
        <f aca="false">IF(B287="","",(B287-E287)/Resumen!$B$5)</f>
        <v>3.34368546465449</v>
      </c>
      <c r="G287" s="10" t="n">
        <f aca="false">IF(OR(F287="",C287=""),0,(F287-C287)*0.9)</f>
        <v>-0.623353081810961</v>
      </c>
      <c r="H287" s="26" t="str">
        <f aca="false">IF(A287&lt;Resumen!$B$11,"",IF(H286="",0,H286)+G287/Resumen!$B$9)</f>
        <v/>
      </c>
      <c r="I287" s="26" t="str">
        <f aca="false">IF(H287="","",H287-AVERAGE(H239:H335))</f>
        <v/>
      </c>
      <c r="J287" s="27" t="str">
        <f aca="false">IF(I287="","",Resumen!$B$10-(MAX(I239:I335)-I287))</f>
        <v/>
      </c>
    </row>
    <row r="288" customFormat="false" ht="15" hidden="false" customHeight="false" outlineLevel="0" collapsed="false">
      <c r="A288" s="24" t="n">
        <v>46264.375</v>
      </c>
      <c r="B288" s="10" t="n">
        <v>4.0328</v>
      </c>
      <c r="C288" s="10" t="n">
        <v>3.0139</v>
      </c>
      <c r="D288" s="10" t="n">
        <f aca="false">IF(OR(B288="",C288="",B288&lt;=0.05,C288&lt;=0.05),0,1)</f>
        <v>1</v>
      </c>
      <c r="E288" s="25" t="n">
        <f aca="false">IF(OR(A288&lt;Resumen!$B$6,A288&gt;=Resumen!$B$7),0,MAX(0,AVERAGEIFS(B240:B336,D240:D336,1)-Resumen!$B$5*AVERAGEIFS(C240:C336,D240:D336,1)))</f>
        <v>0</v>
      </c>
      <c r="F288" s="10" t="n">
        <f aca="false">IF(B288="","",(B288-E288)/Resumen!$B$5)</f>
        <v>3.20317712470214</v>
      </c>
      <c r="G288" s="10" t="n">
        <f aca="false">IF(OR(F288="",C288=""),0,(F288-C288)*0.9)</f>
        <v>0.17034941223193</v>
      </c>
      <c r="H288" s="26" t="str">
        <f aca="false">IF(A288&lt;Resumen!$B$11,"",IF(H287="",0,H287)+G288/Resumen!$B$9)</f>
        <v/>
      </c>
      <c r="I288" s="26" t="str">
        <f aca="false">IF(H288="","",H288-AVERAGE(H240:H336))</f>
        <v/>
      </c>
      <c r="J288" s="27" t="str">
        <f aca="false">IF(I288="","",Resumen!$B$10-(MAX(I240:I336)-I288))</f>
        <v/>
      </c>
    </row>
    <row r="289" customFormat="false" ht="15" hidden="false" customHeight="false" outlineLevel="0" collapsed="false">
      <c r="A289" s="24" t="n">
        <v>46264.3854166667</v>
      </c>
      <c r="B289" s="10" t="n">
        <v>5.9588</v>
      </c>
      <c r="C289" s="10" t="n">
        <v>5.0774</v>
      </c>
      <c r="D289" s="10" t="n">
        <f aca="false">IF(OR(B289="",C289="",B289&lt;=0.05,C289&lt;=0.05),0,1)</f>
        <v>1</v>
      </c>
      <c r="E289" s="25" t="n">
        <f aca="false">IF(OR(A289&lt;Resumen!$B$6,A289&gt;=Resumen!$B$7),0,MAX(0,AVERAGEIFS(B241:B337,D241:D337,1)-Resumen!$B$5*AVERAGEIFS(C241:C337,D241:D337,1)))</f>
        <v>0</v>
      </c>
      <c r="F289" s="10" t="n">
        <f aca="false">IF(B289="","",(B289-E289)/Resumen!$B$5)</f>
        <v>4.73296266878475</v>
      </c>
      <c r="G289" s="10" t="n">
        <f aca="false">IF(OR(F289="",C289=""),0,(F289-C289)*0.9)</f>
        <v>-0.309993598093725</v>
      </c>
      <c r="H289" s="26" t="str">
        <f aca="false">IF(A289&lt;Resumen!$B$11,"",IF(H288="",0,H288)+G289/Resumen!$B$9)</f>
        <v/>
      </c>
      <c r="I289" s="26" t="str">
        <f aca="false">IF(H289="","",H289-AVERAGE(H241:H337))</f>
        <v/>
      </c>
      <c r="J289" s="27" t="str">
        <f aca="false">IF(I289="","",Resumen!$B$10-(MAX(I241:I337)-I289))</f>
        <v/>
      </c>
    </row>
    <row r="290" customFormat="false" ht="15" hidden="false" customHeight="false" outlineLevel="0" collapsed="false">
      <c r="A290" s="24" t="n">
        <v>46264.3958333333</v>
      </c>
      <c r="B290" s="10" t="n">
        <v>4.3221</v>
      </c>
      <c r="C290" s="10" t="n">
        <v>3.5007</v>
      </c>
      <c r="D290" s="10" t="n">
        <f aca="false">IF(OR(B290="",C290="",B290&lt;=0.05,C290&lt;=0.05),0,1)</f>
        <v>1</v>
      </c>
      <c r="E290" s="25" t="n">
        <f aca="false">IF(OR(A290&lt;Resumen!$B$6,A290&gt;=Resumen!$B$7),0,MAX(0,AVERAGEIFS(B242:B338,D242:D338,1)-Resumen!$B$5*AVERAGEIFS(C242:C338,D242:D338,1)))</f>
        <v>0</v>
      </c>
      <c r="F290" s="10" t="n">
        <f aca="false">IF(B290="","",(B290-E290)/Resumen!$B$5)</f>
        <v>3.43296266878475</v>
      </c>
      <c r="G290" s="10" t="n">
        <f aca="false">IF(OR(F290="",C290=""),0,(F290-C290)*0.9)</f>
        <v>-0.0609635980937251</v>
      </c>
      <c r="H290" s="26" t="str">
        <f aca="false">IF(A290&lt;Resumen!$B$11,"",IF(H289="",0,H289)+G290/Resumen!$B$9)</f>
        <v/>
      </c>
      <c r="I290" s="26" t="str">
        <f aca="false">IF(H290="","",H290-AVERAGE(H242:H338))</f>
        <v/>
      </c>
      <c r="J290" s="27" t="str">
        <f aca="false">IF(I290="","",Resumen!$B$10-(MAX(I242:I338)-I290))</f>
        <v/>
      </c>
    </row>
    <row r="291" customFormat="false" ht="15" hidden="false" customHeight="false" outlineLevel="0" collapsed="false">
      <c r="A291" s="24" t="n">
        <v>46264.40625</v>
      </c>
      <c r="B291" s="10" t="n">
        <v>5.2072</v>
      </c>
      <c r="C291" s="10" t="n">
        <v>4.3418</v>
      </c>
      <c r="D291" s="10" t="n">
        <f aca="false">IF(OR(B291="",C291="",B291&lt;=0.05,C291&lt;=0.05),0,1)</f>
        <v>1</v>
      </c>
      <c r="E291" s="25" t="n">
        <f aca="false">IF(OR(A291&lt;Resumen!$B$6,A291&gt;=Resumen!$B$7),0,MAX(0,AVERAGEIFS(B243:B339,D243:D339,1)-Resumen!$B$5*AVERAGEIFS(C243:C339,D243:D339,1)))</f>
        <v>0</v>
      </c>
      <c r="F291" s="10" t="n">
        <f aca="false">IF(B291="","",(B291-E291)/Resumen!$B$5)</f>
        <v>4.13598093725179</v>
      </c>
      <c r="G291" s="10" t="n">
        <f aca="false">IF(OR(F291="",C291=""),0,(F291-C291)*0.9)</f>
        <v>-0.185237156473392</v>
      </c>
      <c r="H291" s="26" t="str">
        <f aca="false">IF(A291&lt;Resumen!$B$11,"",IF(H290="",0,H290)+G291/Resumen!$B$9)</f>
        <v/>
      </c>
      <c r="I291" s="26" t="str">
        <f aca="false">IF(H291="","",H291-AVERAGE(H243:H339))</f>
        <v/>
      </c>
      <c r="J291" s="27" t="str">
        <f aca="false">IF(I291="","",Resumen!$B$10-(MAX(I243:I339)-I291))</f>
        <v/>
      </c>
    </row>
    <row r="292" customFormat="false" ht="15" hidden="false" customHeight="false" outlineLevel="0" collapsed="false">
      <c r="A292" s="24" t="n">
        <v>46264.4166666667</v>
      </c>
      <c r="B292" s="10" t="n">
        <v>5.4552</v>
      </c>
      <c r="C292" s="10" t="n">
        <v>4.7418</v>
      </c>
      <c r="D292" s="10" t="n">
        <f aca="false">IF(OR(B292="",C292="",B292&lt;=0.05,C292&lt;=0.05),0,1)</f>
        <v>1</v>
      </c>
      <c r="E292" s="25" t="n">
        <f aca="false">IF(OR(A292&lt;Resumen!$B$6,A292&gt;=Resumen!$B$7),0,MAX(0,AVERAGEIFS(B244:B340,D244:D340,1)-Resumen!$B$5*AVERAGEIFS(C244:C340,D244:D340,1)))</f>
        <v>0</v>
      </c>
      <c r="F292" s="10" t="n">
        <f aca="false">IF(B292="","",(B292-E292)/Resumen!$B$5)</f>
        <v>4.33296266878475</v>
      </c>
      <c r="G292" s="10" t="n">
        <f aca="false">IF(OR(F292="",C292=""),0,(F292-C292)*0.9)</f>
        <v>-0.367953598093725</v>
      </c>
      <c r="H292" s="26" t="str">
        <f aca="false">IF(A292&lt;Resumen!$B$11,"",IF(H291="",0,H291)+G292/Resumen!$B$9)</f>
        <v/>
      </c>
      <c r="I292" s="26" t="str">
        <f aca="false">IF(H292="","",H292-AVERAGE(H244:H340))</f>
        <v/>
      </c>
      <c r="J292" s="27" t="str">
        <f aca="false">IF(I292="","",Resumen!$B$10-(MAX(I244:I340)-I292))</f>
        <v/>
      </c>
    </row>
    <row r="293" customFormat="false" ht="15" hidden="false" customHeight="false" outlineLevel="0" collapsed="false">
      <c r="A293" s="24" t="n">
        <v>46264.4270833333</v>
      </c>
      <c r="B293" s="10" t="n">
        <v>4.4576</v>
      </c>
      <c r="C293" s="10" t="n">
        <v>4.3835</v>
      </c>
      <c r="D293" s="10" t="n">
        <f aca="false">IF(OR(B293="",C293="",B293&lt;=0.05,C293&lt;=0.05),0,1)</f>
        <v>1</v>
      </c>
      <c r="E293" s="25" t="n">
        <f aca="false">IF(OR(A293&lt;Resumen!$B$6,A293&gt;=Resumen!$B$7),0,MAX(0,AVERAGEIFS(B245:B341,D245:D341,1)-Resumen!$B$5*AVERAGEIFS(C245:C341,D245:D341,1)))</f>
        <v>0</v>
      </c>
      <c r="F293" s="10" t="n">
        <f aca="false">IF(B293="","",(B293-E293)/Resumen!$B$5)</f>
        <v>3.5405877680699</v>
      </c>
      <c r="G293" s="10" t="n">
        <f aca="false">IF(OR(F293="",C293=""),0,(F293-C293)*0.9)</f>
        <v>-0.758621008737092</v>
      </c>
      <c r="H293" s="26" t="str">
        <f aca="false">IF(A293&lt;Resumen!$B$11,"",IF(H292="",0,H292)+G293/Resumen!$B$9)</f>
        <v/>
      </c>
      <c r="I293" s="26" t="str">
        <f aca="false">IF(H293="","",H293-AVERAGE(H245:H341))</f>
        <v/>
      </c>
      <c r="J293" s="27" t="str">
        <f aca="false">IF(I293="","",Resumen!$B$10-(MAX(I245:I341)-I293))</f>
        <v/>
      </c>
    </row>
    <row r="294" customFormat="false" ht="15" hidden="false" customHeight="false" outlineLevel="0" collapsed="false">
      <c r="A294" s="24" t="n">
        <v>46264.4375</v>
      </c>
      <c r="B294" s="10" t="n">
        <v>5.0373</v>
      </c>
      <c r="C294" s="10" t="n">
        <v>3.9847</v>
      </c>
      <c r="D294" s="10" t="n">
        <f aca="false">IF(OR(B294="",C294="",B294&lt;=0.05,C294&lt;=0.05),0,1)</f>
        <v>1</v>
      </c>
      <c r="E294" s="25" t="n">
        <f aca="false">IF(OR(A294&lt;Resumen!$B$6,A294&gt;=Resumen!$B$7),0,MAX(0,AVERAGEIFS(B246:B342,D246:D342,1)-Resumen!$B$5*AVERAGEIFS(C246:C342,D246:D342,1)))</f>
        <v>0</v>
      </c>
      <c r="F294" s="10" t="n">
        <f aca="false">IF(B294="","",(B294-E294)/Resumen!$B$5)</f>
        <v>4.0010325655282</v>
      </c>
      <c r="G294" s="10" t="n">
        <f aca="false">IF(OR(F294="",C294=""),0,(F294-C294)*0.9)</f>
        <v>0.0146993089753773</v>
      </c>
      <c r="H294" s="26" t="str">
        <f aca="false">IF(A294&lt;Resumen!$B$11,"",IF(H293="",0,H293)+G294/Resumen!$B$9)</f>
        <v/>
      </c>
      <c r="I294" s="26" t="str">
        <f aca="false">IF(H294="","",H294-AVERAGE(H246:H342))</f>
        <v/>
      </c>
      <c r="J294" s="27" t="str">
        <f aca="false">IF(I294="","",Resumen!$B$10-(MAX(I246:I342)-I294))</f>
        <v/>
      </c>
    </row>
    <row r="295" customFormat="false" ht="15" hidden="false" customHeight="false" outlineLevel="0" collapsed="false">
      <c r="A295" s="24" t="n">
        <v>46264.4479166667</v>
      </c>
      <c r="B295" s="10" t="n">
        <v>4.3758</v>
      </c>
      <c r="C295" s="10" t="n">
        <v>3.2721</v>
      </c>
      <c r="D295" s="10" t="n">
        <f aca="false">IF(OR(B295="",C295="",B295&lt;=0.05,C295&lt;=0.05),0,1)</f>
        <v>1</v>
      </c>
      <c r="E295" s="25" t="n">
        <f aca="false">IF(OR(A295&lt;Resumen!$B$6,A295&gt;=Resumen!$B$7),0,MAX(0,AVERAGEIFS(B247:B343,D247:D343,1)-Resumen!$B$5*AVERAGEIFS(C247:C343,D247:D343,1)))</f>
        <v>0</v>
      </c>
      <c r="F295" s="10" t="n">
        <f aca="false">IF(B295="","",(B295-E295)/Resumen!$B$5)</f>
        <v>3.47561556791104</v>
      </c>
      <c r="G295" s="10" t="n">
        <f aca="false">IF(OR(F295="",C295=""),0,(F295-C295)*0.9)</f>
        <v>0.183164011119937</v>
      </c>
      <c r="H295" s="26" t="str">
        <f aca="false">IF(A295&lt;Resumen!$B$11,"",IF(H294="",0,H294)+G295/Resumen!$B$9)</f>
        <v/>
      </c>
      <c r="I295" s="26" t="str">
        <f aca="false">IF(H295="","",H295-AVERAGE(H247:H343))</f>
        <v/>
      </c>
      <c r="J295" s="27" t="str">
        <f aca="false">IF(I295="","",Resumen!$B$10-(MAX(I247:I343)-I295))</f>
        <v/>
      </c>
    </row>
    <row r="296" customFormat="false" ht="15" hidden="false" customHeight="false" outlineLevel="0" collapsed="false">
      <c r="A296" s="24" t="n">
        <v>46264.4583333333</v>
      </c>
      <c r="B296" s="10" t="n">
        <v>4.2394</v>
      </c>
      <c r="C296" s="10" t="n">
        <v>3.4952</v>
      </c>
      <c r="D296" s="10" t="n">
        <f aca="false">IF(OR(B296="",C296="",B296&lt;=0.05,C296&lt;=0.05),0,1)</f>
        <v>1</v>
      </c>
      <c r="E296" s="25" t="n">
        <f aca="false">IF(OR(A296&lt;Resumen!$B$6,A296&gt;=Resumen!$B$7),0,MAX(0,AVERAGEIFS(B248:B344,D248:D344,1)-Resumen!$B$5*AVERAGEIFS(C248:C344,D248:D344,1)))</f>
        <v>0</v>
      </c>
      <c r="F296" s="10" t="n">
        <f aca="false">IF(B296="","",(B296-E296)/Resumen!$B$5)</f>
        <v>3.36727561556791</v>
      </c>
      <c r="G296" s="10" t="n">
        <f aca="false">IF(OR(F296="",C296=""),0,(F296-C296)*0.9)</f>
        <v>-0.11513194598888</v>
      </c>
      <c r="H296" s="26" t="str">
        <f aca="false">IF(A296&lt;Resumen!$B$11,"",IF(H295="",0,H295)+G296/Resumen!$B$9)</f>
        <v/>
      </c>
      <c r="I296" s="26" t="str">
        <f aca="false">IF(H296="","",H296-AVERAGE(H248:H344))</f>
        <v/>
      </c>
      <c r="J296" s="27" t="str">
        <f aca="false">IF(I296="","",Resumen!$B$10-(MAX(I248:I344)-I296))</f>
        <v/>
      </c>
    </row>
    <row r="297" customFormat="false" ht="15" hidden="false" customHeight="false" outlineLevel="0" collapsed="false">
      <c r="A297" s="24" t="n">
        <v>46264.46875</v>
      </c>
      <c r="B297" s="10" t="n">
        <v>5.5964</v>
      </c>
      <c r="C297" s="10" t="n">
        <v>4.802</v>
      </c>
      <c r="D297" s="10" t="n">
        <f aca="false">IF(OR(B297="",C297="",B297&lt;=0.05,C297&lt;=0.05),0,1)</f>
        <v>1</v>
      </c>
      <c r="E297" s="25" t="n">
        <f aca="false">IF(OR(A297&lt;Resumen!$B$6,A297&gt;=Resumen!$B$7),0,MAX(0,AVERAGEIFS(B249:B345,D249:D345,1)-Resumen!$B$5*AVERAGEIFS(C249:C345,D249:D345,1)))</f>
        <v>0</v>
      </c>
      <c r="F297" s="10" t="n">
        <f aca="false">IF(B297="","",(B297-E297)/Resumen!$B$5)</f>
        <v>4.44511517077045</v>
      </c>
      <c r="G297" s="10" t="n">
        <f aca="false">IF(OR(F297="",C297=""),0,(F297-C297)*0.9)</f>
        <v>-0.321196346306592</v>
      </c>
      <c r="H297" s="26" t="str">
        <f aca="false">IF(A297&lt;Resumen!$B$11,"",IF(H296="",0,H296)+G297/Resumen!$B$9)</f>
        <v/>
      </c>
      <c r="I297" s="26" t="str">
        <f aca="false">IF(H297="","",H297-AVERAGE(H249:H345))</f>
        <v/>
      </c>
      <c r="J297" s="27" t="str">
        <f aca="false">IF(I297="","",Resumen!$B$10-(MAX(I249:I345)-I297))</f>
        <v/>
      </c>
    </row>
    <row r="298" customFormat="false" ht="15" hidden="false" customHeight="false" outlineLevel="0" collapsed="false">
      <c r="A298" s="24" t="n">
        <v>46264.4791666667</v>
      </c>
      <c r="B298" s="10" t="n">
        <v>4.5835</v>
      </c>
      <c r="C298" s="10" t="n">
        <v>3.3466</v>
      </c>
      <c r="D298" s="10" t="n">
        <f aca="false">IF(OR(B298="",C298="",B298&lt;=0.05,C298&lt;=0.05),0,1)</f>
        <v>1</v>
      </c>
      <c r="E298" s="25" t="n">
        <f aca="false">IF(OR(A298&lt;Resumen!$B$6,A298&gt;=Resumen!$B$7),0,MAX(0,AVERAGEIFS(B250:B346,D250:D346,1)-Resumen!$B$5*AVERAGEIFS(C250:C346,D250:D346,1)))</f>
        <v>0</v>
      </c>
      <c r="F298" s="10" t="n">
        <f aca="false">IF(B298="","",(B298-E298)/Resumen!$B$5)</f>
        <v>3.6405877680699</v>
      </c>
      <c r="G298" s="10" t="n">
        <f aca="false">IF(OR(F298="",C298=""),0,(F298-C298)*0.9)</f>
        <v>0.264588991262907</v>
      </c>
      <c r="H298" s="26" t="str">
        <f aca="false">IF(A298&lt;Resumen!$B$11,"",IF(H297="",0,H297)+G298/Resumen!$B$9)</f>
        <v/>
      </c>
      <c r="I298" s="26" t="str">
        <f aca="false">IF(H298="","",H298-AVERAGE(H250:H346))</f>
        <v/>
      </c>
      <c r="J298" s="27" t="str">
        <f aca="false">IF(I298="","",Resumen!$B$10-(MAX(I250:I346)-I298))</f>
        <v/>
      </c>
    </row>
    <row r="299" customFormat="false" ht="15" hidden="false" customHeight="false" outlineLevel="0" collapsed="false">
      <c r="A299" s="24" t="n">
        <v>46264.4895833333</v>
      </c>
      <c r="B299" s="10" t="n">
        <v>4.4603</v>
      </c>
      <c r="C299" s="10" t="n">
        <v>3.4732</v>
      </c>
      <c r="D299" s="10" t="n">
        <f aca="false">IF(OR(B299="",C299="",B299&lt;=0.05,C299&lt;=0.05),0,1)</f>
        <v>1</v>
      </c>
      <c r="E299" s="25" t="n">
        <f aca="false">IF(OR(A299&lt;Resumen!$B$6,A299&gt;=Resumen!$B$7),0,MAX(0,AVERAGEIFS(B251:B347,D251:D347,1)-Resumen!$B$5*AVERAGEIFS(C251:C347,D251:D347,1)))</f>
        <v>0</v>
      </c>
      <c r="F299" s="10" t="n">
        <f aca="false">IF(B299="","",(B299-E299)/Resumen!$B$5)</f>
        <v>3.54273232724385</v>
      </c>
      <c r="G299" s="10" t="n">
        <f aca="false">IF(OR(F299="",C299=""),0,(F299-C299)*0.9)</f>
        <v>0.0625790945194606</v>
      </c>
      <c r="H299" s="26" t="str">
        <f aca="false">IF(A299&lt;Resumen!$B$11,"",IF(H298="",0,H298)+G299/Resumen!$B$9)</f>
        <v/>
      </c>
      <c r="I299" s="26" t="str">
        <f aca="false">IF(H299="","",H299-AVERAGE(H251:H347))</f>
        <v/>
      </c>
      <c r="J299" s="27" t="str">
        <f aca="false">IF(I299="","",Resumen!$B$10-(MAX(I251:I347)-I299))</f>
        <v/>
      </c>
    </row>
    <row r="300" customFormat="false" ht="15" hidden="false" customHeight="false" outlineLevel="0" collapsed="false">
      <c r="A300" s="24" t="n">
        <v>46264.5</v>
      </c>
      <c r="B300" s="10" t="n">
        <v>5.3803</v>
      </c>
      <c r="C300" s="10" t="n">
        <v>4.2179</v>
      </c>
      <c r="D300" s="10" t="n">
        <f aca="false">IF(OR(B300="",C300="",B300&lt;=0.05,C300&lt;=0.05),0,1)</f>
        <v>1</v>
      </c>
      <c r="E300" s="25" t="n">
        <f aca="false">IF(OR(A300&lt;Resumen!$B$6,A300&gt;=Resumen!$B$7),0,MAX(0,AVERAGEIFS(B252:B348,D252:D348,1)-Resumen!$B$5*AVERAGEIFS(C252:C348,D252:D348,1)))</f>
        <v>0</v>
      </c>
      <c r="F300" s="10" t="n">
        <f aca="false">IF(B300="","",(B300-E300)/Resumen!$B$5)</f>
        <v>4.27347100873709</v>
      </c>
      <c r="G300" s="10" t="n">
        <f aca="false">IF(OR(F300="",C300=""),0,(F300-C300)*0.9)</f>
        <v>0.050013907863384</v>
      </c>
      <c r="H300" s="26" t="str">
        <f aca="false">IF(A300&lt;Resumen!$B$11,"",IF(H299="",0,H299)+G300/Resumen!$B$9)</f>
        <v/>
      </c>
      <c r="I300" s="26" t="str">
        <f aca="false">IF(H300="","",H300-AVERAGE(H252:H348))</f>
        <v/>
      </c>
      <c r="J300" s="27" t="str">
        <f aca="false">IF(I300="","",Resumen!$B$10-(MAX(I252:I348)-I300))</f>
        <v/>
      </c>
    </row>
    <row r="301" customFormat="false" ht="15" hidden="false" customHeight="false" outlineLevel="0" collapsed="false">
      <c r="A301" s="24" t="n">
        <v>46264.5104166667</v>
      </c>
      <c r="B301" s="10" t="n">
        <v>4.6042</v>
      </c>
      <c r="C301" s="10" t="n">
        <v>3.7639</v>
      </c>
      <c r="D301" s="10" t="n">
        <f aca="false">IF(OR(B301="",C301="",B301&lt;=0.05,C301&lt;=0.05),0,1)</f>
        <v>1</v>
      </c>
      <c r="E301" s="25" t="n">
        <f aca="false">IF(OR(A301&lt;Resumen!$B$6,A301&gt;=Resumen!$B$7),0,MAX(0,AVERAGEIFS(B253:B349,D253:D349,1)-Resumen!$B$5*AVERAGEIFS(C253:C349,D253:D349,1)))</f>
        <v>0</v>
      </c>
      <c r="F301" s="10" t="n">
        <f aca="false">IF(B301="","",(B301-E301)/Resumen!$B$5)</f>
        <v>3.6570293884035</v>
      </c>
      <c r="G301" s="10" t="n">
        <f aca="false">IF(OR(F301="",C301=""),0,(F301-C301)*0.9)</f>
        <v>-0.0961835504368547</v>
      </c>
      <c r="H301" s="26" t="str">
        <f aca="false">IF(A301&lt;Resumen!$B$11,"",IF(H300="",0,H300)+G301/Resumen!$B$9)</f>
        <v/>
      </c>
      <c r="I301" s="26" t="str">
        <f aca="false">IF(H301="","",H301-AVERAGE(H253:H349))</f>
        <v/>
      </c>
      <c r="J301" s="27" t="str">
        <f aca="false">IF(I301="","",Resumen!$B$10-(MAX(I253:I349)-I301))</f>
        <v/>
      </c>
    </row>
    <row r="302" customFormat="false" ht="15" hidden="false" customHeight="false" outlineLevel="0" collapsed="false">
      <c r="A302" s="24" t="n">
        <v>46264.5208333333</v>
      </c>
      <c r="B302" s="10" t="n">
        <v>5.4628</v>
      </c>
      <c r="C302" s="10" t="n">
        <v>3.9546</v>
      </c>
      <c r="D302" s="10" t="n">
        <f aca="false">IF(OR(B302="",C302="",B302&lt;=0.05,C302&lt;=0.05),0,1)</f>
        <v>1</v>
      </c>
      <c r="E302" s="25" t="n">
        <f aca="false">IF(OR(A302&lt;Resumen!$B$6,A302&gt;=Resumen!$B$7),0,MAX(0,AVERAGEIFS(B254:B350,D254:D350,1)-Resumen!$B$5*AVERAGEIFS(C254:C350,D254:D350,1)))</f>
        <v>0</v>
      </c>
      <c r="F302" s="10" t="n">
        <f aca="false">IF(B302="","",(B302-E302)/Resumen!$B$5)</f>
        <v>4.33899920571882</v>
      </c>
      <c r="G302" s="10" t="n">
        <f aca="false">IF(OR(F302="",C302=""),0,(F302-C302)*0.9)</f>
        <v>0.345959285146942</v>
      </c>
      <c r="H302" s="26" t="str">
        <f aca="false">IF(A302&lt;Resumen!$B$11,"",IF(H301="",0,H301)+G302/Resumen!$B$9)</f>
        <v/>
      </c>
      <c r="I302" s="26" t="str">
        <f aca="false">IF(H302="","",H302-AVERAGE(H254:H350))</f>
        <v/>
      </c>
      <c r="J302" s="27" t="str">
        <f aca="false">IF(I302="","",Resumen!$B$10-(MAX(I254:I350)-I302))</f>
        <v/>
      </c>
    </row>
    <row r="303" customFormat="false" ht="15" hidden="false" customHeight="false" outlineLevel="0" collapsed="false">
      <c r="A303" s="24" t="n">
        <v>46264.53125</v>
      </c>
      <c r="B303" s="10" t="n">
        <v>5.0523</v>
      </c>
      <c r="C303" s="10" t="n">
        <v>4.3165</v>
      </c>
      <c r="D303" s="10" t="n">
        <f aca="false">IF(OR(B303="",C303="",B303&lt;=0.05,C303&lt;=0.05),0,1)</f>
        <v>1</v>
      </c>
      <c r="E303" s="25" t="n">
        <f aca="false">IF(OR(A303&lt;Resumen!$B$6,A303&gt;=Resumen!$B$7),0,MAX(0,AVERAGEIFS(B255:B351,D255:D351,1)-Resumen!$B$5*AVERAGEIFS(C255:C351,D255:D351,1)))</f>
        <v>0</v>
      </c>
      <c r="F303" s="10" t="n">
        <f aca="false">IF(B303="","",(B303-E303)/Resumen!$B$5)</f>
        <v>4.01294678316124</v>
      </c>
      <c r="G303" s="10" t="n">
        <f aca="false">IF(OR(F303="",C303=""),0,(F303-C303)*0.9)</f>
        <v>-0.273197895154884</v>
      </c>
      <c r="H303" s="26" t="str">
        <f aca="false">IF(A303&lt;Resumen!$B$11,"",IF(H302="",0,H302)+G303/Resumen!$B$9)</f>
        <v/>
      </c>
      <c r="I303" s="26" t="str">
        <f aca="false">IF(H303="","",H303-AVERAGE(H255:H351))</f>
        <v/>
      </c>
      <c r="J303" s="27" t="str">
        <f aca="false">IF(I303="","",Resumen!$B$10-(MAX(I255:I351)-I303))</f>
        <v/>
      </c>
    </row>
    <row r="304" customFormat="false" ht="15" hidden="false" customHeight="false" outlineLevel="0" collapsed="false">
      <c r="A304" s="24" t="n">
        <v>46264.5416666667</v>
      </c>
      <c r="B304" s="10" t="n">
        <v>5.5064</v>
      </c>
      <c r="C304" s="10" t="n">
        <v>4.4169</v>
      </c>
      <c r="D304" s="10" t="n">
        <f aca="false">IF(OR(B304="",C304="",B304&lt;=0.05,C304&lt;=0.05),0,1)</f>
        <v>1</v>
      </c>
      <c r="E304" s="25" t="n">
        <f aca="false">IF(OR(A304&lt;Resumen!$B$6,A304&gt;=Resumen!$B$7),0,MAX(0,AVERAGEIFS(B256:B352,D256:D352,1)-Resumen!$B$5*AVERAGEIFS(C256:C352,D256:D352,1)))</f>
        <v>0</v>
      </c>
      <c r="F304" s="10" t="n">
        <f aca="false">IF(B304="","",(B304-E304)/Resumen!$B$5)</f>
        <v>4.3736298649722</v>
      </c>
      <c r="G304" s="10" t="n">
        <f aca="false">IF(OR(F304="",C304=""),0,(F304-C304)*0.9)</f>
        <v>-0.0389431215250194</v>
      </c>
      <c r="H304" s="26" t="str">
        <f aca="false">IF(A304&lt;Resumen!$B$11,"",IF(H303="",0,H303)+G304/Resumen!$B$9)</f>
        <v/>
      </c>
      <c r="I304" s="26" t="str">
        <f aca="false">IF(H304="","",H304-AVERAGE(H256:H352))</f>
        <v/>
      </c>
      <c r="J304" s="27" t="str">
        <f aca="false">IF(I304="","",Resumen!$B$10-(MAX(I256:I352)-I304))</f>
        <v/>
      </c>
    </row>
    <row r="305" customFormat="false" ht="15" hidden="false" customHeight="false" outlineLevel="0" collapsed="false">
      <c r="A305" s="24" t="n">
        <v>46264.5520833333</v>
      </c>
      <c r="B305" s="10" t="n">
        <v>4.4073</v>
      </c>
      <c r="C305" s="10" t="n">
        <v>3.8385</v>
      </c>
      <c r="D305" s="10" t="n">
        <f aca="false">IF(OR(B305="",C305="",B305&lt;=0.05,C305&lt;=0.05),0,1)</f>
        <v>1</v>
      </c>
      <c r="E305" s="25" t="n">
        <f aca="false">IF(OR(A305&lt;Resumen!$B$6,A305&gt;=Resumen!$B$7),0,MAX(0,AVERAGEIFS(B257:B353,D257:D353,1)-Resumen!$B$5*AVERAGEIFS(C257:C353,D257:D353,1)))</f>
        <v>0</v>
      </c>
      <c r="F305" s="10" t="n">
        <f aca="false">IF(B305="","",(B305-E305)/Resumen!$B$5)</f>
        <v>3.50063542494043</v>
      </c>
      <c r="G305" s="10" t="n">
        <f aca="false">IF(OR(F305="",C305=""),0,(F305-C305)*0.9)</f>
        <v>-0.304078117553613</v>
      </c>
      <c r="H305" s="26" t="str">
        <f aca="false">IF(A305&lt;Resumen!$B$11,"",IF(H304="",0,H304)+G305/Resumen!$B$9)</f>
        <v/>
      </c>
      <c r="I305" s="26" t="str">
        <f aca="false">IF(H305="","",H305-AVERAGE(H257:H353))</f>
        <v/>
      </c>
      <c r="J305" s="27" t="str">
        <f aca="false">IF(I305="","",Resumen!$B$10-(MAX(I257:I353)-I305))</f>
        <v/>
      </c>
    </row>
    <row r="306" customFormat="false" ht="15" hidden="false" customHeight="false" outlineLevel="0" collapsed="false">
      <c r="A306" s="24" t="n">
        <v>46264.5625</v>
      </c>
      <c r="B306" s="10" t="n">
        <v>4.108</v>
      </c>
      <c r="C306" s="10" t="n">
        <v>3.5791</v>
      </c>
      <c r="D306" s="10" t="n">
        <f aca="false">IF(OR(B306="",C306="",B306&lt;=0.05,C306&lt;=0.05),0,1)</f>
        <v>1</v>
      </c>
      <c r="E306" s="25" t="n">
        <f aca="false">IF(OR(A306&lt;Resumen!$B$6,A306&gt;=Resumen!$B$7),0,MAX(0,AVERAGEIFS(B258:B354,D258:D354,1)-Resumen!$B$5*AVERAGEIFS(C258:C354,D258:D354,1)))</f>
        <v>0</v>
      </c>
      <c r="F306" s="10" t="n">
        <f aca="false">IF(B306="","",(B306-E306)/Resumen!$B$5)</f>
        <v>3.26290706910246</v>
      </c>
      <c r="G306" s="10" t="n">
        <f aca="false">IF(OR(F306="",C306=""),0,(F306-C306)*0.9)</f>
        <v>-0.284573637807784</v>
      </c>
      <c r="H306" s="26" t="str">
        <f aca="false">IF(A306&lt;Resumen!$B$11,"",IF(H305="",0,H305)+G306/Resumen!$B$9)</f>
        <v/>
      </c>
      <c r="I306" s="26" t="str">
        <f aca="false">IF(H306="","",H306-AVERAGE(H258:H354))</f>
        <v/>
      </c>
      <c r="J306" s="27" t="str">
        <f aca="false">IF(I306="","",Resumen!$B$10-(MAX(I258:I354)-I306))</f>
        <v/>
      </c>
    </row>
    <row r="307" customFormat="false" ht="15" hidden="false" customHeight="false" outlineLevel="0" collapsed="false">
      <c r="A307" s="24" t="n">
        <v>46264.5729166667</v>
      </c>
      <c r="B307" s="10" t="n">
        <v>4.2025</v>
      </c>
      <c r="C307" s="10" t="n">
        <v>3.7605</v>
      </c>
      <c r="D307" s="10" t="n">
        <f aca="false">IF(OR(B307="",C307="",B307&lt;=0.05,C307&lt;=0.05),0,1)</f>
        <v>1</v>
      </c>
      <c r="E307" s="25" t="n">
        <f aca="false">IF(OR(A307&lt;Resumen!$B$6,A307&gt;=Resumen!$B$7),0,MAX(0,AVERAGEIFS(B259:B355,D259:D355,1)-Resumen!$B$5*AVERAGEIFS(C259:C355,D259:D355,1)))</f>
        <v>0</v>
      </c>
      <c r="F307" s="10" t="n">
        <f aca="false">IF(B307="","",(B307-E307)/Resumen!$B$5)</f>
        <v>3.33796664019063</v>
      </c>
      <c r="G307" s="10" t="n">
        <f aca="false">IF(OR(F307="",C307=""),0,(F307-C307)*0.9)</f>
        <v>-0.380280023828435</v>
      </c>
      <c r="H307" s="26" t="str">
        <f aca="false">IF(A307&lt;Resumen!$B$11,"",IF(H306="",0,H306)+G307/Resumen!$B$9)</f>
        <v/>
      </c>
      <c r="I307" s="26" t="str">
        <f aca="false">IF(H307="","",H307-AVERAGE(H259:H355))</f>
        <v/>
      </c>
      <c r="J307" s="27" t="str">
        <f aca="false">IF(I307="","",Resumen!$B$10-(MAX(I259:I355)-I307))</f>
        <v/>
      </c>
    </row>
    <row r="308" customFormat="false" ht="15" hidden="false" customHeight="false" outlineLevel="0" collapsed="false">
      <c r="A308" s="24" t="n">
        <v>46264.5833333333</v>
      </c>
      <c r="B308" s="10" t="n">
        <v>3.5531</v>
      </c>
      <c r="C308" s="10" t="n">
        <v>2.9924</v>
      </c>
      <c r="D308" s="10" t="n">
        <f aca="false">IF(OR(B308="",C308="",B308&lt;=0.05,C308&lt;=0.05),0,1)</f>
        <v>1</v>
      </c>
      <c r="E308" s="25" t="n">
        <f aca="false">IF(OR(A308&lt;Resumen!$B$6,A308&gt;=Resumen!$B$7),0,MAX(0,AVERAGEIFS(B260:B356,D260:D356,1)-Resumen!$B$5*AVERAGEIFS(C260:C356,D260:D356,1)))</f>
        <v>0</v>
      </c>
      <c r="F308" s="10" t="n">
        <f aca="false">IF(B308="","",(B308-E308)/Resumen!$B$5)</f>
        <v>2.82216044479746</v>
      </c>
      <c r="G308" s="10" t="n">
        <f aca="false">IF(OR(F308="",C308=""),0,(F308-C308)*0.9)</f>
        <v>-0.153215599682287</v>
      </c>
      <c r="H308" s="26" t="str">
        <f aca="false">IF(A308&lt;Resumen!$B$11,"",IF(H307="",0,H307)+G308/Resumen!$B$9)</f>
        <v/>
      </c>
      <c r="I308" s="26" t="str">
        <f aca="false">IF(H308="","",H308-AVERAGE(H260:H356))</f>
        <v/>
      </c>
      <c r="J308" s="27" t="str">
        <f aca="false">IF(I308="","",Resumen!$B$10-(MAX(I260:I356)-I308))</f>
        <v/>
      </c>
    </row>
    <row r="309" customFormat="false" ht="15" hidden="false" customHeight="false" outlineLevel="0" collapsed="false">
      <c r="A309" s="24" t="n">
        <v>46264.59375</v>
      </c>
      <c r="B309" s="10" t="n">
        <v>3.3531</v>
      </c>
      <c r="C309" s="10" t="n">
        <v>2.9093</v>
      </c>
      <c r="D309" s="10" t="n">
        <f aca="false">IF(OR(B309="",C309="",B309&lt;=0.05,C309&lt;=0.05),0,1)</f>
        <v>1</v>
      </c>
      <c r="E309" s="25" t="n">
        <f aca="false">IF(OR(A309&lt;Resumen!$B$6,A309&gt;=Resumen!$B$7),0,MAX(0,AVERAGEIFS(B261:B357,D261:D357,1)-Resumen!$B$5*AVERAGEIFS(C261:C357,D261:D357,1)))</f>
        <v>0</v>
      </c>
      <c r="F309" s="10" t="n">
        <f aca="false">IF(B309="","",(B309-E309)/Resumen!$B$5)</f>
        <v>2.66330420969023</v>
      </c>
      <c r="G309" s="10" t="n">
        <f aca="false">IF(OR(F309="",C309=""),0,(F309-C309)*0.9)</f>
        <v>-0.221396211278792</v>
      </c>
      <c r="H309" s="26" t="str">
        <f aca="false">IF(A309&lt;Resumen!$B$11,"",IF(H308="",0,H308)+G309/Resumen!$B$9)</f>
        <v/>
      </c>
      <c r="I309" s="26" t="str">
        <f aca="false">IF(H309="","",H309-AVERAGE(H261:H357))</f>
        <v/>
      </c>
      <c r="J309" s="27" t="str">
        <f aca="false">IF(I309="","",Resumen!$B$10-(MAX(I261:I357)-I309))</f>
        <v/>
      </c>
    </row>
    <row r="310" customFormat="false" ht="15" hidden="false" customHeight="false" outlineLevel="0" collapsed="false">
      <c r="A310" s="24" t="n">
        <v>46264.6041666667</v>
      </c>
      <c r="B310" s="10" t="n">
        <v>3.5493</v>
      </c>
      <c r="C310" s="10" t="n">
        <v>3.8481</v>
      </c>
      <c r="D310" s="10" t="n">
        <f aca="false">IF(OR(B310="",C310="",B310&lt;=0.05,C310&lt;=0.05),0,1)</f>
        <v>1</v>
      </c>
      <c r="E310" s="25" t="n">
        <f aca="false">IF(OR(A310&lt;Resumen!$B$6,A310&gt;=Resumen!$B$7),0,MAX(0,AVERAGEIFS(B262:B358,D262:D358,1)-Resumen!$B$5*AVERAGEIFS(C262:C358,D262:D358,1)))</f>
        <v>0</v>
      </c>
      <c r="F310" s="10" t="n">
        <f aca="false">IF(B310="","",(B310-E310)/Resumen!$B$5)</f>
        <v>2.81914217633042</v>
      </c>
      <c r="G310" s="10" t="n">
        <f aca="false">IF(OR(F310="",C310=""),0,(F310-C310)*0.9)</f>
        <v>-0.926062041302621</v>
      </c>
      <c r="H310" s="26" t="str">
        <f aca="false">IF(A310&lt;Resumen!$B$11,"",IF(H309="",0,H309)+G310/Resumen!$B$9)</f>
        <v/>
      </c>
      <c r="I310" s="26" t="str">
        <f aca="false">IF(H310="","",H310-AVERAGE(H262:H358))</f>
        <v/>
      </c>
      <c r="J310" s="27" t="str">
        <f aca="false">IF(I310="","",Resumen!$B$10-(MAX(I262:I358)-I310))</f>
        <v/>
      </c>
    </row>
    <row r="311" customFormat="false" ht="15" hidden="false" customHeight="false" outlineLevel="0" collapsed="false">
      <c r="A311" s="24" t="n">
        <v>46264.6145833333</v>
      </c>
      <c r="B311" s="10" t="n">
        <v>1.6961</v>
      </c>
      <c r="C311" s="10" t="n">
        <v>2.5288</v>
      </c>
      <c r="D311" s="10" t="n">
        <f aca="false">IF(OR(B311="",C311="",B311&lt;=0.05,C311&lt;=0.05),0,1)</f>
        <v>1</v>
      </c>
      <c r="E311" s="25" t="n">
        <f aca="false">IF(OR(A311&lt;Resumen!$B$6,A311&gt;=Resumen!$B$7),0,MAX(0,AVERAGEIFS(B263:B359,D263:D359,1)-Resumen!$B$5*AVERAGEIFS(C263:C359,D263:D359,1)))</f>
        <v>0</v>
      </c>
      <c r="F311" s="10" t="n">
        <f aca="false">IF(B311="","",(B311-E311)/Resumen!$B$5)</f>
        <v>1.34718030182685</v>
      </c>
      <c r="G311" s="10" t="n">
        <f aca="false">IF(OR(F311="",C311=""),0,(F311-C311)*0.9)</f>
        <v>-1.06345772835584</v>
      </c>
      <c r="H311" s="26" t="str">
        <f aca="false">IF(A311&lt;Resumen!$B$11,"",IF(H310="",0,H310)+G311/Resumen!$B$9)</f>
        <v/>
      </c>
      <c r="I311" s="26" t="str">
        <f aca="false">IF(H311="","",H311-AVERAGE(H263:H359))</f>
        <v/>
      </c>
      <c r="J311" s="27" t="str">
        <f aca="false">IF(I311="","",Resumen!$B$10-(MAX(I263:I359)-I311))</f>
        <v/>
      </c>
    </row>
    <row r="312" customFormat="false" ht="15" hidden="false" customHeight="false" outlineLevel="0" collapsed="false">
      <c r="A312" s="24" t="n">
        <v>46264.625</v>
      </c>
      <c r="B312" s="10" t="n">
        <v>1.7658</v>
      </c>
      <c r="C312" s="10" t="n">
        <v>3.1035</v>
      </c>
      <c r="D312" s="10" t="n">
        <f aca="false">IF(OR(B312="",C312="",B312&lt;=0.05,C312&lt;=0.05),0,1)</f>
        <v>1</v>
      </c>
      <c r="E312" s="25" t="n">
        <f aca="false">IF(OR(A312&lt;Resumen!$B$6,A312&gt;=Resumen!$B$7),0,MAX(0,AVERAGEIFS(B264:B360,D264:D360,1)-Resumen!$B$5*AVERAGEIFS(C264:C360,D264:D360,1)))</f>
        <v>0</v>
      </c>
      <c r="F312" s="10" t="n">
        <f aca="false">IF(B312="","",(B312-E312)/Resumen!$B$5)</f>
        <v>1.40254169976172</v>
      </c>
      <c r="G312" s="10" t="n">
        <f aca="false">IF(OR(F312="",C312=""),0,(F312-C312)*0.9)</f>
        <v>-1.53086247021446</v>
      </c>
      <c r="H312" s="26" t="str">
        <f aca="false">IF(A312&lt;Resumen!$B$11,"",IF(H311="",0,H311)+G312/Resumen!$B$9)</f>
        <v/>
      </c>
      <c r="I312" s="26" t="str">
        <f aca="false">IF(H312="","",H312-AVERAGE(H264:H360))</f>
        <v/>
      </c>
      <c r="J312" s="27" t="str">
        <f aca="false">IF(I312="","",Resumen!$B$10-(MAX(I264:I360)-I312))</f>
        <v/>
      </c>
    </row>
    <row r="313" customFormat="false" ht="15" hidden="false" customHeight="false" outlineLevel="0" collapsed="false">
      <c r="A313" s="24" t="n">
        <v>46264.6354166667</v>
      </c>
      <c r="B313" s="10" t="n">
        <v>1.5866</v>
      </c>
      <c r="C313" s="10" t="n">
        <v>2.9492</v>
      </c>
      <c r="D313" s="10" t="n">
        <f aca="false">IF(OR(B313="",C313="",B313&lt;=0.05,C313&lt;=0.05),0,1)</f>
        <v>1</v>
      </c>
      <c r="E313" s="25" t="n">
        <f aca="false">IF(OR(A313&lt;Resumen!$B$6,A313&gt;=Resumen!$B$7),0,MAX(0,AVERAGEIFS(B265:B361,D265:D361,1)-Resumen!$B$5*AVERAGEIFS(C265:C361,D265:D361,1)))</f>
        <v>0</v>
      </c>
      <c r="F313" s="10" t="n">
        <f aca="false">IF(B313="","",(B313-E313)/Resumen!$B$5)</f>
        <v>1.26020651310564</v>
      </c>
      <c r="G313" s="10" t="n">
        <f aca="false">IF(OR(F313="",C313=""),0,(F313-C313)*0.9)</f>
        <v>-1.52009413820492</v>
      </c>
      <c r="H313" s="26" t="str">
        <f aca="false">IF(A313&lt;Resumen!$B$11,"",IF(H312="",0,H312)+G313/Resumen!$B$9)</f>
        <v/>
      </c>
      <c r="I313" s="26" t="str">
        <f aca="false">IF(H313="","",H313-AVERAGE(H265:H361))</f>
        <v/>
      </c>
      <c r="J313" s="27" t="str">
        <f aca="false">IF(I313="","",Resumen!$B$10-(MAX(I265:I361)-I313))</f>
        <v/>
      </c>
    </row>
    <row r="314" customFormat="false" ht="15" hidden="false" customHeight="false" outlineLevel="0" collapsed="false">
      <c r="A314" s="24" t="n">
        <v>46264.6458333333</v>
      </c>
      <c r="B314" s="10" t="n">
        <v>1.47</v>
      </c>
      <c r="C314" s="10" t="n">
        <v>3.1516</v>
      </c>
      <c r="D314" s="10" t="n">
        <f aca="false">IF(OR(B314="",C314="",B314&lt;=0.05,C314&lt;=0.05),0,1)</f>
        <v>1</v>
      </c>
      <c r="E314" s="25" t="n">
        <f aca="false">IF(OR(A314&lt;Resumen!$B$6,A314&gt;=Resumen!$B$7),0,MAX(0,AVERAGEIFS(B266:B362,D266:D362,1)-Resumen!$B$5*AVERAGEIFS(C266:C362,D266:D362,1)))</f>
        <v>0</v>
      </c>
      <c r="F314" s="10" t="n">
        <f aca="false">IF(B314="","",(B314-E314)/Resumen!$B$5)</f>
        <v>1.16759332803813</v>
      </c>
      <c r="G314" s="10" t="n">
        <f aca="false">IF(OR(F314="",C314=""),0,(F314-C314)*0.9)</f>
        <v>-1.78560600476569</v>
      </c>
      <c r="H314" s="26" t="str">
        <f aca="false">IF(A314&lt;Resumen!$B$11,"",IF(H313="",0,H313)+G314/Resumen!$B$9)</f>
        <v/>
      </c>
      <c r="I314" s="26" t="str">
        <f aca="false">IF(H314="","",H314-AVERAGE(H266:H362))</f>
        <v/>
      </c>
      <c r="J314" s="27" t="str">
        <f aca="false">IF(I314="","",Resumen!$B$10-(MAX(I266:I362)-I314))</f>
        <v/>
      </c>
    </row>
    <row r="315" customFormat="false" ht="15" hidden="false" customHeight="false" outlineLevel="0" collapsed="false">
      <c r="A315" s="24" t="n">
        <v>46264.65625</v>
      </c>
      <c r="B315" s="10" t="n">
        <v>2.067</v>
      </c>
      <c r="C315" s="10" t="n">
        <v>3.2376</v>
      </c>
      <c r="D315" s="10" t="n">
        <f aca="false">IF(OR(B315="",C315="",B315&lt;=0.05,C315&lt;=0.05),0,1)</f>
        <v>1</v>
      </c>
      <c r="E315" s="25" t="n">
        <f aca="false">IF(OR(A315&lt;Resumen!$B$6,A315&gt;=Resumen!$B$7),0,MAX(0,AVERAGEIFS(B267:B363,D267:D363,1)-Resumen!$B$5*AVERAGEIFS(C267:C363,D267:D363,1)))</f>
        <v>0</v>
      </c>
      <c r="F315" s="10" t="n">
        <f aca="false">IF(B315="","",(B315-E315)/Resumen!$B$5)</f>
        <v>1.6417791898332</v>
      </c>
      <c r="G315" s="10" t="n">
        <f aca="false">IF(OR(F315="",C315=""),0,(F315-C315)*0.9)</f>
        <v>-1.43623872915012</v>
      </c>
      <c r="H315" s="26" t="str">
        <f aca="false">IF(A315&lt;Resumen!$B$11,"",IF(H314="",0,H314)+G315/Resumen!$B$9)</f>
        <v/>
      </c>
      <c r="I315" s="26" t="str">
        <f aca="false">IF(H315="","",H315-AVERAGE(H267:H363))</f>
        <v/>
      </c>
      <c r="J315" s="27" t="str">
        <f aca="false">IF(I315="","",Resumen!$B$10-(MAX(I267:I363)-I315))</f>
        <v/>
      </c>
    </row>
    <row r="316" customFormat="false" ht="15" hidden="false" customHeight="false" outlineLevel="0" collapsed="false">
      <c r="A316" s="24" t="n">
        <v>46264.6666666667</v>
      </c>
      <c r="B316" s="10" t="n">
        <v>2.4421</v>
      </c>
      <c r="C316" s="10" t="n">
        <v>3.6327</v>
      </c>
      <c r="D316" s="10" t="n">
        <f aca="false">IF(OR(B316="",C316="",B316&lt;=0.05,C316&lt;=0.05),0,1)</f>
        <v>1</v>
      </c>
      <c r="E316" s="25" t="n">
        <f aca="false">IF(OR(A316&lt;Resumen!$B$6,A316&gt;=Resumen!$B$7),0,MAX(0,AVERAGEIFS(B268:B364,D268:D364,1)-Resumen!$B$5*AVERAGEIFS(C268:C364,D268:D364,1)))</f>
        <v>0</v>
      </c>
      <c r="F316" s="10" t="n">
        <f aca="false">IF(B316="","",(B316-E316)/Resumen!$B$5)</f>
        <v>1.93971405877681</v>
      </c>
      <c r="G316" s="10" t="n">
        <f aca="false">IF(OR(F316="",C316=""),0,(F316-C316)*0.9)</f>
        <v>-1.52368734710087</v>
      </c>
      <c r="H316" s="26" t="str">
        <f aca="false">IF(A316&lt;Resumen!$B$11,"",IF(H315="",0,H315)+G316/Resumen!$B$9)</f>
        <v/>
      </c>
      <c r="I316" s="26" t="str">
        <f aca="false">IF(H316="","",H316-AVERAGE(H268:H364))</f>
        <v/>
      </c>
      <c r="J316" s="27" t="str">
        <f aca="false">IF(I316="","",Resumen!$B$10-(MAX(I268:I364)-I316))</f>
        <v/>
      </c>
    </row>
    <row r="317" customFormat="false" ht="15" hidden="false" customHeight="false" outlineLevel="0" collapsed="false">
      <c r="A317" s="24" t="n">
        <v>46264.6770833333</v>
      </c>
      <c r="B317" s="10" t="n">
        <v>2.5355</v>
      </c>
      <c r="C317" s="10" t="n">
        <v>3.0211</v>
      </c>
      <c r="D317" s="10" t="n">
        <f aca="false">IF(OR(B317="",C317="",B317&lt;=0.05,C317&lt;=0.05),0,1)</f>
        <v>1</v>
      </c>
      <c r="E317" s="25" t="n">
        <f aca="false">IF(OR(A317&lt;Resumen!$B$6,A317&gt;=Resumen!$B$7),0,MAX(0,AVERAGEIFS(B269:B365,D269:D365,1)-Resumen!$B$5*AVERAGEIFS(C269:C365,D269:D365,1)))</f>
        <v>0</v>
      </c>
      <c r="F317" s="10" t="n">
        <f aca="false">IF(B317="","",(B317-E317)/Resumen!$B$5)</f>
        <v>2.01389992057188</v>
      </c>
      <c r="G317" s="10" t="n">
        <f aca="false">IF(OR(F317="",C317=""),0,(F317-C317)*0.9)</f>
        <v>-0.906480071485306</v>
      </c>
      <c r="H317" s="26" t="str">
        <f aca="false">IF(A317&lt;Resumen!$B$11,"",IF(H316="",0,H316)+G317/Resumen!$B$9)</f>
        <v/>
      </c>
      <c r="I317" s="26" t="str">
        <f aca="false">IF(H317="","",H317-AVERAGE(H269:H365))</f>
        <v/>
      </c>
      <c r="J317" s="27" t="str">
        <f aca="false">IF(I317="","",Resumen!$B$10-(MAX(I269:I365)-I317))</f>
        <v/>
      </c>
    </row>
    <row r="318" customFormat="false" ht="15" hidden="false" customHeight="false" outlineLevel="0" collapsed="false">
      <c r="A318" s="24" t="n">
        <v>46264.6875</v>
      </c>
      <c r="B318" s="10" t="n">
        <v>2.7925</v>
      </c>
      <c r="C318" s="10" t="n">
        <v>2.4712</v>
      </c>
      <c r="D318" s="10" t="n">
        <f aca="false">IF(OR(B318="",C318="",B318&lt;=0.05,C318&lt;=0.05),0,1)</f>
        <v>1</v>
      </c>
      <c r="E318" s="25" t="n">
        <f aca="false">IF(OR(A318&lt;Resumen!$B$6,A318&gt;=Resumen!$B$7),0,MAX(0,AVERAGEIFS(B270:B366,D270:D366,1)-Resumen!$B$5*AVERAGEIFS(C270:C366,D270:D366,1)))</f>
        <v>0</v>
      </c>
      <c r="F318" s="10" t="n">
        <f aca="false">IF(B318="","",(B318-E318)/Resumen!$B$5)</f>
        <v>2.21803018268467</v>
      </c>
      <c r="G318" s="10" t="n">
        <f aca="false">IF(OR(F318="",C318=""),0,(F318-C318)*0.9)</f>
        <v>-0.227852835583796</v>
      </c>
      <c r="H318" s="26" t="str">
        <f aca="false">IF(A318&lt;Resumen!$B$11,"",IF(H317="",0,H317)+G318/Resumen!$B$9)</f>
        <v/>
      </c>
      <c r="I318" s="26" t="str">
        <f aca="false">IF(H318="","",H318-AVERAGE(H270:H366))</f>
        <v/>
      </c>
      <c r="J318" s="27" t="str">
        <f aca="false">IF(I318="","",Resumen!$B$10-(MAX(I270:I366)-I318))</f>
        <v/>
      </c>
    </row>
    <row r="319" customFormat="false" ht="15" hidden="false" customHeight="false" outlineLevel="0" collapsed="false">
      <c r="A319" s="24" t="n">
        <v>46264.6979166667</v>
      </c>
      <c r="B319" s="10" t="n">
        <v>2.8913</v>
      </c>
      <c r="C319" s="10" t="n">
        <v>3.1982</v>
      </c>
      <c r="D319" s="10" t="n">
        <f aca="false">IF(OR(B319="",C319="",B319&lt;=0.05,C319&lt;=0.05),0,1)</f>
        <v>1</v>
      </c>
      <c r="E319" s="25" t="n">
        <f aca="false">IF(OR(A319&lt;Resumen!$B$6,A319&gt;=Resumen!$B$7),0,MAX(0,AVERAGEIFS(B271:B367,D271:D367,1)-Resumen!$B$5*AVERAGEIFS(C271:C367,D271:D367,1)))</f>
        <v>0</v>
      </c>
      <c r="F319" s="10" t="n">
        <f aca="false">IF(B319="","",(B319-E319)/Resumen!$B$5)</f>
        <v>2.29650516282764</v>
      </c>
      <c r="G319" s="10" t="n">
        <f aca="false">IF(OR(F319="",C319=""),0,(F319-C319)*0.9)</f>
        <v>-0.811525353455123</v>
      </c>
      <c r="H319" s="26" t="str">
        <f aca="false">IF(A319&lt;Resumen!$B$11,"",IF(H318="",0,H318)+G319/Resumen!$B$9)</f>
        <v/>
      </c>
      <c r="I319" s="26" t="str">
        <f aca="false">IF(H319="","",H319-AVERAGE(H271:H367))</f>
        <v/>
      </c>
      <c r="J319" s="27" t="str">
        <f aca="false">IF(I319="","",Resumen!$B$10-(MAX(I271:I367)-I319))</f>
        <v/>
      </c>
    </row>
    <row r="320" customFormat="false" ht="15" hidden="false" customHeight="false" outlineLevel="0" collapsed="false">
      <c r="A320" s="24" t="n">
        <v>46264.7083333333</v>
      </c>
      <c r="B320" s="10" t="n">
        <v>3.1932</v>
      </c>
      <c r="C320" s="10" t="n">
        <v>2.5299</v>
      </c>
      <c r="D320" s="10" t="n">
        <f aca="false">IF(OR(B320="",C320="",B320&lt;=0.05,C320&lt;=0.05),0,1)</f>
        <v>1</v>
      </c>
      <c r="E320" s="25" t="n">
        <f aca="false">IF(OR(A320&lt;Resumen!$B$6,A320&gt;=Resumen!$B$7),0,MAX(0,AVERAGEIFS(B272:B368,D272:D368,1)-Resumen!$B$5*AVERAGEIFS(C272:C368,D272:D368,1)))</f>
        <v>0</v>
      </c>
      <c r="F320" s="10" t="n">
        <f aca="false">IF(B320="","",(B320-E320)/Resumen!$B$5)</f>
        <v>2.536298649722</v>
      </c>
      <c r="G320" s="10" t="n">
        <f aca="false">IF(OR(F320="",C320=""),0,(F320-C320)*0.9)</f>
        <v>0.00575878474980169</v>
      </c>
      <c r="H320" s="26" t="str">
        <f aca="false">IF(A320&lt;Resumen!$B$11,"",IF(H319="",0,H319)+G320/Resumen!$B$9)</f>
        <v/>
      </c>
      <c r="I320" s="26" t="str">
        <f aca="false">IF(H320="","",H320-AVERAGE(H272:H368))</f>
        <v/>
      </c>
      <c r="J320" s="27" t="str">
        <f aca="false">IF(I320="","",Resumen!$B$10-(MAX(I272:I368)-I320))</f>
        <v/>
      </c>
    </row>
    <row r="321" customFormat="false" ht="15" hidden="false" customHeight="false" outlineLevel="0" collapsed="false">
      <c r="A321" s="24" t="n">
        <v>46264.71875</v>
      </c>
      <c r="B321" s="10" t="n">
        <v>3.1104</v>
      </c>
      <c r="C321" s="10" t="n">
        <v>2.3899</v>
      </c>
      <c r="D321" s="10" t="n">
        <f aca="false">IF(OR(B321="",C321="",B321&lt;=0.05,C321&lt;=0.05),0,1)</f>
        <v>1</v>
      </c>
      <c r="E321" s="25" t="n">
        <f aca="false">IF(OR(A321&lt;Resumen!$B$6,A321&gt;=Resumen!$B$7),0,MAX(0,AVERAGEIFS(B273:B369,D273:D369,1)-Resumen!$B$5*AVERAGEIFS(C273:C369,D273:D369,1)))</f>
        <v>0</v>
      </c>
      <c r="F321" s="10" t="n">
        <f aca="false">IF(B321="","",(B321-E321)/Resumen!$B$5)</f>
        <v>2.47053216838761</v>
      </c>
      <c r="G321" s="10" t="n">
        <f aca="false">IF(OR(F321="",C321=""),0,(F321-C321)*0.9)</f>
        <v>0.0725689515488483</v>
      </c>
      <c r="H321" s="26" t="str">
        <f aca="false">IF(A321&lt;Resumen!$B$11,"",IF(H320="",0,H320)+G321/Resumen!$B$9)</f>
        <v/>
      </c>
      <c r="I321" s="26" t="str">
        <f aca="false">IF(H321="","",H321-AVERAGE(H273:H369))</f>
        <v/>
      </c>
      <c r="J321" s="27" t="str">
        <f aca="false">IF(I321="","",Resumen!$B$10-(MAX(I273:I369)-I321))</f>
        <v/>
      </c>
    </row>
    <row r="322" customFormat="false" ht="15" hidden="false" customHeight="false" outlineLevel="0" collapsed="false">
      <c r="A322" s="24" t="n">
        <v>46264.7291666667</v>
      </c>
      <c r="B322" s="10" t="n">
        <v>3.2132</v>
      </c>
      <c r="C322" s="10" t="n">
        <v>2.492</v>
      </c>
      <c r="D322" s="10" t="n">
        <f aca="false">IF(OR(B322="",C322="",B322&lt;=0.05,C322&lt;=0.05),0,1)</f>
        <v>1</v>
      </c>
      <c r="E322" s="25" t="n">
        <f aca="false">IF(OR(A322&lt;Resumen!$B$6,A322&gt;=Resumen!$B$7),0,MAX(0,AVERAGEIFS(B274:B370,D274:D370,1)-Resumen!$B$5*AVERAGEIFS(C274:C370,D274:D370,1)))</f>
        <v>0</v>
      </c>
      <c r="F322" s="10" t="n">
        <f aca="false">IF(B322="","",(B322-E322)/Resumen!$B$5)</f>
        <v>2.55218427323272</v>
      </c>
      <c r="G322" s="10" t="n">
        <f aca="false">IF(OR(F322="",C322=""),0,(F322-C322)*0.9)</f>
        <v>0.054165845909452</v>
      </c>
      <c r="H322" s="26" t="str">
        <f aca="false">IF(A322&lt;Resumen!$B$11,"",IF(H321="",0,H321)+G322/Resumen!$B$9)</f>
        <v/>
      </c>
      <c r="I322" s="26" t="str">
        <f aca="false">IF(H322="","",H322-AVERAGE(H274:H370))</f>
        <v/>
      </c>
      <c r="J322" s="27" t="str">
        <f aca="false">IF(I322="","",Resumen!$B$10-(MAX(I274:I370)-I322))</f>
        <v/>
      </c>
    </row>
    <row r="323" customFormat="false" ht="15" hidden="false" customHeight="false" outlineLevel="0" collapsed="false">
      <c r="A323" s="24" t="n">
        <v>46264.7395833333</v>
      </c>
      <c r="B323" s="10" t="n">
        <v>3.6649</v>
      </c>
      <c r="C323" s="10" t="n">
        <v>2.3042</v>
      </c>
      <c r="D323" s="10" t="n">
        <f aca="false">IF(OR(B323="",C323="",B323&lt;=0.05,C323&lt;=0.05),0,1)</f>
        <v>1</v>
      </c>
      <c r="E323" s="25" t="n">
        <f aca="false">IF(OR(A323&lt;Resumen!$B$6,A323&gt;=Resumen!$B$7),0,MAX(0,AVERAGEIFS(B275:B371,D275:D371,1)-Resumen!$B$5*AVERAGEIFS(C275:C371,D275:D371,1)))</f>
        <v>0</v>
      </c>
      <c r="F323" s="10" t="n">
        <f aca="false">IF(B323="","",(B323-E323)/Resumen!$B$5)</f>
        <v>2.9109610802224</v>
      </c>
      <c r="G323" s="10" t="n">
        <f aca="false">IF(OR(F323="",C323=""),0,(F323-C323)*0.9)</f>
        <v>0.546084972200159</v>
      </c>
      <c r="H323" s="26" t="str">
        <f aca="false">IF(A323&lt;Resumen!$B$11,"",IF(H322="",0,H322)+G323/Resumen!$B$9)</f>
        <v/>
      </c>
      <c r="I323" s="26" t="str">
        <f aca="false">IF(H323="","",H323-AVERAGE(H275:H371))</f>
        <v/>
      </c>
      <c r="J323" s="27" t="str">
        <f aca="false">IF(I323="","",Resumen!$B$10-(MAX(I275:I371)-I323))</f>
        <v/>
      </c>
    </row>
    <row r="324" customFormat="false" ht="15" hidden="false" customHeight="false" outlineLevel="0" collapsed="false">
      <c r="A324" s="24" t="n">
        <v>46264.75</v>
      </c>
      <c r="B324" s="10" t="n">
        <v>4.1419</v>
      </c>
      <c r="C324" s="10" t="n">
        <v>2.7014</v>
      </c>
      <c r="D324" s="10" t="n">
        <f aca="false">IF(OR(B324="",C324="",B324&lt;=0.05,C324&lt;=0.05),0,1)</f>
        <v>1</v>
      </c>
      <c r="E324" s="25" t="n">
        <f aca="false">IF(OR(A324&lt;Resumen!$B$6,A324&gt;=Resumen!$B$7),0,MAX(0,AVERAGEIFS(B276:B372,D276:D372,1)-Resumen!$B$5*AVERAGEIFS(C276:C372,D276:D372,1)))</f>
        <v>0</v>
      </c>
      <c r="F324" s="10" t="n">
        <f aca="false">IF(B324="","",(B324-E324)/Resumen!$B$5)</f>
        <v>3.28983320095314</v>
      </c>
      <c r="G324" s="10" t="n">
        <f aca="false">IF(OR(F324="",C324=""),0,(F324-C324)*0.9)</f>
        <v>0.529589880857824</v>
      </c>
      <c r="H324" s="26" t="str">
        <f aca="false">IF(A324&lt;Resumen!$B$11,"",IF(H323="",0,H323)+G324/Resumen!$B$9)</f>
        <v/>
      </c>
      <c r="I324" s="26" t="str">
        <f aca="false">IF(H324="","",H324-AVERAGE(H276:H372))</f>
        <v/>
      </c>
      <c r="J324" s="27" t="str">
        <f aca="false">IF(I324="","",Resumen!$B$10-(MAX(I276:I372)-I324))</f>
        <v/>
      </c>
    </row>
    <row r="325" customFormat="false" ht="15" hidden="false" customHeight="false" outlineLevel="0" collapsed="false">
      <c r="A325" s="24" t="n">
        <v>46264.7604166667</v>
      </c>
      <c r="B325" s="10" t="n">
        <v>4.0492</v>
      </c>
      <c r="C325" s="10" t="n">
        <v>2.8128</v>
      </c>
      <c r="D325" s="10" t="n">
        <f aca="false">IF(OR(B325="",C325="",B325&lt;=0.05,C325&lt;=0.05),0,1)</f>
        <v>1</v>
      </c>
      <c r="E325" s="25" t="n">
        <f aca="false">IF(OR(A325&lt;Resumen!$B$6,A325&gt;=Resumen!$B$7),0,MAX(0,AVERAGEIFS(B277:B373,D277:D373,1)-Resumen!$B$5*AVERAGEIFS(C277:C373,D277:D373,1)))</f>
        <v>0</v>
      </c>
      <c r="F325" s="10" t="n">
        <f aca="false">IF(B325="","",(B325-E325)/Resumen!$B$5)</f>
        <v>3.21620333598094</v>
      </c>
      <c r="G325" s="10" t="n">
        <f aca="false">IF(OR(F325="",C325=""),0,(F325-C325)*0.9)</f>
        <v>0.363063002382844</v>
      </c>
      <c r="H325" s="26" t="str">
        <f aca="false">IF(A325&lt;Resumen!$B$11,"",IF(H324="",0,H324)+G325/Resumen!$B$9)</f>
        <v/>
      </c>
      <c r="I325" s="26" t="str">
        <f aca="false">IF(H325="","",H325-AVERAGE(H277:H373))</f>
        <v/>
      </c>
      <c r="J325" s="27" t="str">
        <f aca="false">IF(I325="","",Resumen!$B$10-(MAX(I277:I373)-I325))</f>
        <v/>
      </c>
    </row>
    <row r="326" customFormat="false" ht="15" hidden="false" customHeight="false" outlineLevel="0" collapsed="false">
      <c r="A326" s="24" t="n">
        <v>46264.7708333333</v>
      </c>
      <c r="B326" s="10" t="n">
        <v>4.0375</v>
      </c>
      <c r="C326" s="10" t="n">
        <v>2.157</v>
      </c>
      <c r="D326" s="10" t="n">
        <f aca="false">IF(OR(B326="",C326="",B326&lt;=0.05,C326&lt;=0.05),0,1)</f>
        <v>1</v>
      </c>
      <c r="E326" s="25" t="n">
        <f aca="false">IF(OR(A326&lt;Resumen!$B$6,A326&gt;=Resumen!$B$7),0,MAX(0,AVERAGEIFS(B278:B374,D278:D374,1)-Resumen!$B$5*AVERAGEIFS(C278:C374,D278:D374,1)))</f>
        <v>0</v>
      </c>
      <c r="F326" s="10" t="n">
        <f aca="false">IF(B326="","",(B326-E326)/Resumen!$B$5)</f>
        <v>3.20691024622716</v>
      </c>
      <c r="G326" s="10" t="n">
        <f aca="false">IF(OR(F326="",C326=""),0,(F326-C326)*0.9)</f>
        <v>0.944919221604448</v>
      </c>
      <c r="H326" s="26" t="str">
        <f aca="false">IF(A326&lt;Resumen!$B$11,"",IF(H325="",0,H325)+G326/Resumen!$B$9)</f>
        <v/>
      </c>
      <c r="I326" s="26" t="str">
        <f aca="false">IF(H326="","",H326-AVERAGE(H278:H374))</f>
        <v/>
      </c>
      <c r="J326" s="27" t="str">
        <f aca="false">IF(I326="","",Resumen!$B$10-(MAX(I278:I374)-I326))</f>
        <v/>
      </c>
    </row>
    <row r="327" customFormat="false" ht="15" hidden="false" customHeight="false" outlineLevel="0" collapsed="false">
      <c r="A327" s="24" t="n">
        <v>46264.78125</v>
      </c>
      <c r="B327" s="10" t="n">
        <v>3.9918</v>
      </c>
      <c r="C327" s="10" t="n">
        <v>2.9327</v>
      </c>
      <c r="D327" s="10" t="n">
        <f aca="false">IF(OR(B327="",C327="",B327&lt;=0.05,C327&lt;=0.05),0,1)</f>
        <v>1</v>
      </c>
      <c r="E327" s="25" t="n">
        <f aca="false">IF(OR(A327&lt;Resumen!$B$6,A327&gt;=Resumen!$B$7),0,MAX(0,AVERAGEIFS(B279:B375,D279:D375,1)-Resumen!$B$5*AVERAGEIFS(C279:C375,D279:D375,1)))</f>
        <v>0</v>
      </c>
      <c r="F327" s="10" t="n">
        <f aca="false">IF(B327="","",(B327-E327)/Resumen!$B$5)</f>
        <v>3.17061159650516</v>
      </c>
      <c r="G327" s="10" t="n">
        <f aca="false">IF(OR(F327="",C327=""),0,(F327-C327)*0.9)</f>
        <v>0.214120436854647</v>
      </c>
      <c r="H327" s="26" t="str">
        <f aca="false">IF(A327&lt;Resumen!$B$11,"",IF(H326="",0,H326)+G327/Resumen!$B$9)</f>
        <v/>
      </c>
      <c r="I327" s="26" t="str">
        <f aca="false">IF(H327="","",H327-AVERAGE(H279:H375))</f>
        <v/>
      </c>
      <c r="J327" s="27" t="str">
        <f aca="false">IF(I327="","",Resumen!$B$10-(MAX(I279:I375)-I327))</f>
        <v/>
      </c>
    </row>
    <row r="328" customFormat="false" ht="15" hidden="false" customHeight="false" outlineLevel="0" collapsed="false">
      <c r="A328" s="24" t="n">
        <v>46264.7916666667</v>
      </c>
      <c r="B328" s="10" t="n">
        <v>3.7456</v>
      </c>
      <c r="C328" s="10" t="n">
        <v>3.0391</v>
      </c>
      <c r="D328" s="10" t="n">
        <f aca="false">IF(OR(B328="",C328="",B328&lt;=0.05,C328&lt;=0.05),0,1)</f>
        <v>1</v>
      </c>
      <c r="E328" s="25" t="n">
        <f aca="false">IF(OR(A328&lt;Resumen!$B$6,A328&gt;=Resumen!$B$7),0,MAX(0,AVERAGEIFS(B280:B376,D280:D376,1)-Resumen!$B$5*AVERAGEIFS(C280:C376,D280:D376,1)))</f>
        <v>0</v>
      </c>
      <c r="F328" s="10" t="n">
        <f aca="false">IF(B328="","",(B328-E328)/Resumen!$B$5)</f>
        <v>2.97505957108817</v>
      </c>
      <c r="G328" s="10" t="n">
        <f aca="false">IF(OR(F328="",C328=""),0,(F328-C328)*0.9)</f>
        <v>-0.0576363860206509</v>
      </c>
      <c r="H328" s="26" t="str">
        <f aca="false">IF(A328&lt;Resumen!$B$11,"",IF(H327="",0,H327)+G328/Resumen!$B$9)</f>
        <v/>
      </c>
      <c r="I328" s="26" t="str">
        <f aca="false">IF(H328="","",H328-AVERAGE(H280:H376))</f>
        <v/>
      </c>
      <c r="J328" s="27" t="str">
        <f aca="false">IF(I328="","",Resumen!$B$10-(MAX(I280:I376)-I328))</f>
        <v/>
      </c>
    </row>
    <row r="329" customFormat="false" ht="15" hidden="false" customHeight="false" outlineLevel="0" collapsed="false">
      <c r="A329" s="24" t="n">
        <v>46264.8020833333</v>
      </c>
      <c r="B329" s="10" t="n">
        <v>4.2778</v>
      </c>
      <c r="C329" s="10" t="n">
        <v>3.2557</v>
      </c>
      <c r="D329" s="10" t="n">
        <f aca="false">IF(OR(B329="",C329="",B329&lt;=0.05,C329&lt;=0.05),0,1)</f>
        <v>1</v>
      </c>
      <c r="E329" s="25" t="n">
        <f aca="false">IF(OR(A329&lt;Resumen!$B$6,A329&gt;=Resumen!$B$7),0,MAX(0,AVERAGEIFS(B281:B377,D281:D377,1)-Resumen!$B$5*AVERAGEIFS(C281:C377,D281:D377,1)))</f>
        <v>0</v>
      </c>
      <c r="F329" s="10" t="n">
        <f aca="false">IF(B329="","",(B329-E329)/Resumen!$B$5)</f>
        <v>3.3977760127085</v>
      </c>
      <c r="G329" s="10" t="n">
        <f aca="false">IF(OR(F329="",C329=""),0,(F329-C329)*0.9)</f>
        <v>0.127868411437649</v>
      </c>
      <c r="H329" s="26" t="str">
        <f aca="false">IF(A329&lt;Resumen!$B$11,"",IF(H328="",0,H328)+G329/Resumen!$B$9)</f>
        <v/>
      </c>
      <c r="I329" s="26" t="str">
        <f aca="false">IF(H329="","",H329-AVERAGE(H281:H377))</f>
        <v/>
      </c>
      <c r="J329" s="27" t="str">
        <f aca="false">IF(I329="","",Resumen!$B$10-(MAX(I281:I377)-I329))</f>
        <v/>
      </c>
    </row>
    <row r="330" customFormat="false" ht="15" hidden="false" customHeight="false" outlineLevel="0" collapsed="false">
      <c r="A330" s="24" t="n">
        <v>46264.8125</v>
      </c>
      <c r="B330" s="10" t="n">
        <v>4.1158</v>
      </c>
      <c r="C330" s="10" t="n">
        <v>2.9169</v>
      </c>
      <c r="D330" s="10" t="n">
        <f aca="false">IF(OR(B330="",C330="",B330&lt;=0.05,C330&lt;=0.05),0,1)</f>
        <v>1</v>
      </c>
      <c r="E330" s="25" t="n">
        <f aca="false">IF(OR(A330&lt;Resumen!$B$6,A330&gt;=Resumen!$B$7),0,MAX(0,AVERAGEIFS(B282:B378,D282:D378,1)-Resumen!$B$5*AVERAGEIFS(C282:C378,D282:D378,1)))</f>
        <v>0</v>
      </c>
      <c r="F330" s="10" t="n">
        <f aca="false">IF(B330="","",(B330-E330)/Resumen!$B$5)</f>
        <v>3.26910246227164</v>
      </c>
      <c r="G330" s="10" t="n">
        <f aca="false">IF(OR(F330="",C330=""),0,(F330-C330)*0.9)</f>
        <v>0.31698221604448</v>
      </c>
      <c r="H330" s="26" t="str">
        <f aca="false">IF(A330&lt;Resumen!$B$11,"",IF(H329="",0,H329)+G330/Resumen!$B$9)</f>
        <v/>
      </c>
      <c r="I330" s="26" t="str">
        <f aca="false">IF(H330="","",H330-AVERAGE(H282:H378))</f>
        <v/>
      </c>
      <c r="J330" s="27" t="str">
        <f aca="false">IF(I330="","",Resumen!$B$10-(MAX(I282:I378)-I330))</f>
        <v/>
      </c>
    </row>
    <row r="331" customFormat="false" ht="15" hidden="false" customHeight="false" outlineLevel="0" collapsed="false">
      <c r="A331" s="24" t="n">
        <v>46264.8229166667</v>
      </c>
      <c r="B331" s="10" t="n">
        <v>4.8199</v>
      </c>
      <c r="C331" s="10" t="n">
        <v>2.6689</v>
      </c>
      <c r="D331" s="10" t="n">
        <f aca="false">IF(OR(B331="",C331="",B331&lt;=0.05,C331&lt;=0.05),0,1)</f>
        <v>1</v>
      </c>
      <c r="E331" s="25" t="n">
        <f aca="false">IF(OR(A331&lt;Resumen!$B$6,A331&gt;=Resumen!$B$7),0,MAX(0,AVERAGEIFS(B283:B379,D283:D379,1)-Resumen!$B$5*AVERAGEIFS(C283:C379,D283:D379,1)))</f>
        <v>0</v>
      </c>
      <c r="F331" s="10" t="n">
        <f aca="false">IF(B331="","",(B331-E331)/Resumen!$B$5)</f>
        <v>3.82835583796664</v>
      </c>
      <c r="G331" s="10" t="n">
        <f aca="false">IF(OR(F331="",C331=""),0,(F331-C331)*0.9)</f>
        <v>1.04351025416998</v>
      </c>
      <c r="H331" s="26" t="str">
        <f aca="false">IF(A331&lt;Resumen!$B$11,"",IF(H330="",0,H330)+G331/Resumen!$B$9)</f>
        <v/>
      </c>
      <c r="I331" s="26" t="str">
        <f aca="false">IF(H331="","",H331-AVERAGE(H283:H379))</f>
        <v/>
      </c>
      <c r="J331" s="27" t="str">
        <f aca="false">IF(I331="","",Resumen!$B$10-(MAX(I283:I379)-I331))</f>
        <v/>
      </c>
    </row>
    <row r="332" customFormat="false" ht="15" hidden="false" customHeight="false" outlineLevel="0" collapsed="false">
      <c r="A332" s="24" t="n">
        <v>46264.8333333333</v>
      </c>
      <c r="B332" s="10" t="n">
        <v>4.9302</v>
      </c>
      <c r="C332" s="10" t="n">
        <v>2.5955</v>
      </c>
      <c r="D332" s="10" t="n">
        <f aca="false">IF(OR(B332="",C332="",B332&lt;=0.05,C332&lt;=0.05),0,1)</f>
        <v>1</v>
      </c>
      <c r="E332" s="25" t="n">
        <f aca="false">IF(OR(A332&lt;Resumen!$B$6,A332&gt;=Resumen!$B$7),0,MAX(0,AVERAGEIFS(B284:B380,D284:D380,1)-Resumen!$B$5*AVERAGEIFS(C284:C380,D284:D380,1)))</f>
        <v>0</v>
      </c>
      <c r="F332" s="10" t="n">
        <f aca="false">IF(B332="","",(B332-E332)/Resumen!$B$5)</f>
        <v>3.91596505162828</v>
      </c>
      <c r="G332" s="10" t="n">
        <f aca="false">IF(OR(F332="",C332=""),0,(F332-C332)*0.9)</f>
        <v>1.18841854646545</v>
      </c>
      <c r="H332" s="26" t="str">
        <f aca="false">IF(A332&lt;Resumen!$B$11,"",IF(H331="",0,H331)+G332/Resumen!$B$9)</f>
        <v/>
      </c>
      <c r="I332" s="26" t="str">
        <f aca="false">IF(H332="","",H332-AVERAGE(H284:H380))</f>
        <v/>
      </c>
      <c r="J332" s="27" t="str">
        <f aca="false">IF(I332="","",Resumen!$B$10-(MAX(I284:I380)-I332))</f>
        <v/>
      </c>
    </row>
    <row r="333" customFormat="false" ht="15" hidden="false" customHeight="false" outlineLevel="0" collapsed="false">
      <c r="A333" s="24" t="n">
        <v>46264.84375</v>
      </c>
      <c r="B333" s="10" t="n">
        <v>4.8273</v>
      </c>
      <c r="C333" s="10" t="n">
        <v>2.2833</v>
      </c>
      <c r="D333" s="10" t="n">
        <f aca="false">IF(OR(B333="",C333="",B333&lt;=0.05,C333&lt;=0.05),0,1)</f>
        <v>1</v>
      </c>
      <c r="E333" s="25" t="n">
        <f aca="false">IF(OR(A333&lt;Resumen!$B$6,A333&gt;=Resumen!$B$7),0,MAX(0,AVERAGEIFS(B285:B381,D285:D381,1)-Resumen!$B$5*AVERAGEIFS(C285:C381,D285:D381,1)))</f>
        <v>0</v>
      </c>
      <c r="F333" s="10" t="n">
        <f aca="false">IF(B333="","",(B333-E333)/Resumen!$B$5)</f>
        <v>3.83423351866561</v>
      </c>
      <c r="G333" s="10" t="n">
        <f aca="false">IF(OR(F333="",C333=""),0,(F333-C333)*0.9)</f>
        <v>1.39584016679905</v>
      </c>
      <c r="H333" s="26" t="str">
        <f aca="false">IF(A333&lt;Resumen!$B$11,"",IF(H332="",0,H332)+G333/Resumen!$B$9)</f>
        <v/>
      </c>
      <c r="I333" s="26" t="str">
        <f aca="false">IF(H333="","",H333-AVERAGE(H285:H381))</f>
        <v/>
      </c>
      <c r="J333" s="27" t="str">
        <f aca="false">IF(I333="","",Resumen!$B$10-(MAX(I285:I381)-I333))</f>
        <v/>
      </c>
    </row>
    <row r="334" customFormat="false" ht="15" hidden="false" customHeight="false" outlineLevel="0" collapsed="false">
      <c r="A334" s="24" t="n">
        <v>46264.8541666667</v>
      </c>
      <c r="B334" s="10" t="n">
        <v>4.5393</v>
      </c>
      <c r="C334" s="10" t="n">
        <v>2.5043</v>
      </c>
      <c r="D334" s="10" t="n">
        <f aca="false">IF(OR(B334="",C334="",B334&lt;=0.05,C334&lt;=0.05),0,1)</f>
        <v>1</v>
      </c>
      <c r="E334" s="25" t="n">
        <f aca="false">IF(OR(A334&lt;Resumen!$B$6,A334&gt;=Resumen!$B$7),0,MAX(0,AVERAGEIFS(B286:B382,D286:D382,1)-Resumen!$B$5*AVERAGEIFS(C286:C382,D286:D382,1)))</f>
        <v>0</v>
      </c>
      <c r="F334" s="10" t="n">
        <f aca="false">IF(B334="","",(B334-E334)/Resumen!$B$5)</f>
        <v>3.6054805401112</v>
      </c>
      <c r="G334" s="10" t="n">
        <f aca="false">IF(OR(F334="",C334=""),0,(F334-C334)*0.9)</f>
        <v>0.99106248610008</v>
      </c>
      <c r="H334" s="26" t="str">
        <f aca="false">IF(A334&lt;Resumen!$B$11,"",IF(H333="",0,H333)+G334/Resumen!$B$9)</f>
        <v/>
      </c>
      <c r="I334" s="26" t="str">
        <f aca="false">IF(H334="","",H334-AVERAGE(H286:H382))</f>
        <v/>
      </c>
      <c r="J334" s="27" t="str">
        <f aca="false">IF(I334="","",Resumen!$B$10-(MAX(I286:I382)-I334))</f>
        <v/>
      </c>
    </row>
    <row r="335" customFormat="false" ht="15" hidden="false" customHeight="false" outlineLevel="0" collapsed="false">
      <c r="A335" s="24" t="n">
        <v>46264.8645833333</v>
      </c>
      <c r="B335" s="10" t="n">
        <v>3.4967</v>
      </c>
      <c r="C335" s="10" t="n">
        <v>3.3726</v>
      </c>
      <c r="D335" s="10" t="n">
        <f aca="false">IF(OR(B335="",C335="",B335&lt;=0.05,C335&lt;=0.05),0,1)</f>
        <v>1</v>
      </c>
      <c r="E335" s="25" t="n">
        <f aca="false">IF(OR(A335&lt;Resumen!$B$6,A335&gt;=Resumen!$B$7),0,MAX(0,AVERAGEIFS(B287:B383,D287:D383,1)-Resumen!$B$5*AVERAGEIFS(C287:C383,D287:D383,1)))</f>
        <v>0</v>
      </c>
      <c r="F335" s="10" t="n">
        <f aca="false">IF(B335="","",(B335-E335)/Resumen!$B$5)</f>
        <v>2.77736298649722</v>
      </c>
      <c r="G335" s="10" t="n">
        <f aca="false">IF(OR(F335="",C335=""),0,(F335-C335)*0.9)</f>
        <v>-0.535713312152501</v>
      </c>
      <c r="H335" s="26" t="str">
        <f aca="false">IF(A335&lt;Resumen!$B$11,"",IF(H334="",0,H334)+G335/Resumen!$B$9)</f>
        <v/>
      </c>
      <c r="I335" s="26" t="str">
        <f aca="false">IF(H335="","",H335-AVERAGE(H287:H383))</f>
        <v/>
      </c>
      <c r="J335" s="27" t="str">
        <f aca="false">IF(I335="","",Resumen!$B$10-(MAX(I287:I383)-I335))</f>
        <v/>
      </c>
    </row>
    <row r="336" customFormat="false" ht="15" hidden="false" customHeight="false" outlineLevel="0" collapsed="false">
      <c r="A336" s="24" t="n">
        <v>46264.875</v>
      </c>
      <c r="B336" s="10" t="n">
        <v>3.1522</v>
      </c>
      <c r="C336" s="10" t="n">
        <v>2.5639</v>
      </c>
      <c r="D336" s="10" t="n">
        <f aca="false">IF(OR(B336="",C336="",B336&lt;=0.05,C336&lt;=0.05),0,1)</f>
        <v>1</v>
      </c>
      <c r="E336" s="25" t="n">
        <f aca="false">IF(OR(A336&lt;Resumen!$B$6,A336&gt;=Resumen!$B$7),0,MAX(0,AVERAGEIFS(B288:B384,D288:D384,1)-Resumen!$B$5*AVERAGEIFS(C288:C384,D288:D384,1)))</f>
        <v>0</v>
      </c>
      <c r="F336" s="10" t="n">
        <f aca="false">IF(B336="","",(B336-E336)/Resumen!$B$5)</f>
        <v>2.50373312152502</v>
      </c>
      <c r="G336" s="10" t="n">
        <f aca="false">IF(OR(F336="",C336=""),0,(F336-C336)*0.9)</f>
        <v>-0.0541501906274816</v>
      </c>
      <c r="H336" s="26" t="str">
        <f aca="false">IF(A336&lt;Resumen!$B$11,"",IF(H335="",0,H335)+G336/Resumen!$B$9)</f>
        <v/>
      </c>
      <c r="I336" s="26" t="str">
        <f aca="false">IF(H336="","",H336-AVERAGE(H288:H384))</f>
        <v/>
      </c>
      <c r="J336" s="27" t="str">
        <f aca="false">IF(I336="","",Resumen!$B$10-(MAX(I288:I384)-I336))</f>
        <v/>
      </c>
    </row>
    <row r="337" customFormat="false" ht="15" hidden="false" customHeight="false" outlineLevel="0" collapsed="false">
      <c r="A337" s="24" t="n">
        <v>46264.8854166667</v>
      </c>
      <c r="B337" s="10" t="n">
        <v>3.2566</v>
      </c>
      <c r="C337" s="10" t="n">
        <v>2.5046</v>
      </c>
      <c r="D337" s="10" t="n">
        <f aca="false">IF(OR(B337="",C337="",B337&lt;=0.05,C337&lt;=0.05),0,1)</f>
        <v>1</v>
      </c>
      <c r="E337" s="25" t="n">
        <f aca="false">IF(OR(A337&lt;Resumen!$B$6,A337&gt;=Resumen!$B$7),0,MAX(0,AVERAGEIFS(B289:B385,D289:D385,1)-Resumen!$B$5*AVERAGEIFS(C289:C385,D289:D385,1)))</f>
        <v>0</v>
      </c>
      <c r="F337" s="10" t="n">
        <f aca="false">IF(B337="","",(B337-E337)/Resumen!$B$5)</f>
        <v>2.58665607625099</v>
      </c>
      <c r="G337" s="10" t="n">
        <f aca="false">IF(OR(F337="",C337=""),0,(F337-C337)*0.9)</f>
        <v>0.0738504686258939</v>
      </c>
      <c r="H337" s="26" t="str">
        <f aca="false">IF(A337&lt;Resumen!$B$11,"",IF(H336="",0,H336)+G337/Resumen!$B$9)</f>
        <v/>
      </c>
      <c r="I337" s="26" t="str">
        <f aca="false">IF(H337="","",H337-AVERAGE(H289:H385))</f>
        <v/>
      </c>
      <c r="J337" s="27" t="str">
        <f aca="false">IF(I337="","",Resumen!$B$10-(MAX(I289:I385)-I337))</f>
        <v/>
      </c>
    </row>
    <row r="338" customFormat="false" ht="15" hidden="false" customHeight="false" outlineLevel="0" collapsed="false">
      <c r="A338" s="24" t="n">
        <v>46264.8958333333</v>
      </c>
      <c r="B338" s="10" t="n">
        <v>2.9958</v>
      </c>
      <c r="C338" s="10" t="n">
        <v>2.129</v>
      </c>
      <c r="D338" s="10" t="n">
        <f aca="false">IF(OR(B338="",C338="",B338&lt;=0.05,C338&lt;=0.05),0,1)</f>
        <v>1</v>
      </c>
      <c r="E338" s="25" t="n">
        <f aca="false">IF(OR(A338&lt;Resumen!$B$6,A338&gt;=Resumen!$B$7),0,MAX(0,AVERAGEIFS(B290:B386,D290:D386,1)-Resumen!$B$5*AVERAGEIFS(C290:C386,D290:D386,1)))</f>
        <v>0</v>
      </c>
      <c r="F338" s="10" t="n">
        <f aca="false">IF(B338="","",(B338-E338)/Resumen!$B$5)</f>
        <v>2.37950754567117</v>
      </c>
      <c r="G338" s="10" t="n">
        <f aca="false">IF(OR(F338="",C338=""),0,(F338-C338)*0.9)</f>
        <v>0.225456791104051</v>
      </c>
      <c r="H338" s="26" t="str">
        <f aca="false">IF(A338&lt;Resumen!$B$11,"",IF(H337="",0,H337)+G338/Resumen!$B$9)</f>
        <v/>
      </c>
      <c r="I338" s="26" t="str">
        <f aca="false">IF(H338="","",H338-AVERAGE(H290:H386))</f>
        <v/>
      </c>
      <c r="J338" s="27" t="str">
        <f aca="false">IF(I338="","",Resumen!$B$10-(MAX(I290:I386)-I338))</f>
        <v/>
      </c>
    </row>
    <row r="339" customFormat="false" ht="15" hidden="false" customHeight="false" outlineLevel="0" collapsed="false">
      <c r="A339" s="24" t="n">
        <v>46264.90625</v>
      </c>
      <c r="B339" s="10" t="n">
        <v>2.9251</v>
      </c>
      <c r="C339" s="10" t="n">
        <v>2.2545</v>
      </c>
      <c r="D339" s="10" t="n">
        <f aca="false">IF(OR(B339="",C339="",B339&lt;=0.05,C339&lt;=0.05),0,1)</f>
        <v>1</v>
      </c>
      <c r="E339" s="25" t="n">
        <f aca="false">IF(OR(A339&lt;Resumen!$B$6,A339&gt;=Resumen!$B$7),0,MAX(0,AVERAGEIFS(B291:B387,D291:D387,1)-Resumen!$B$5*AVERAGEIFS(C291:C387,D291:D387,1)))</f>
        <v>0</v>
      </c>
      <c r="F339" s="10" t="n">
        <f aca="false">IF(B339="","",(B339-E339)/Resumen!$B$5)</f>
        <v>2.32335186656076</v>
      </c>
      <c r="G339" s="10" t="n">
        <f aca="false">IF(OR(F339="",C339=""),0,(F339-C339)*0.9)</f>
        <v>0.0619666799046864</v>
      </c>
      <c r="H339" s="26" t="str">
        <f aca="false">IF(A339&lt;Resumen!$B$11,"",IF(H338="",0,H338)+G339/Resumen!$B$9)</f>
        <v/>
      </c>
      <c r="I339" s="26" t="str">
        <f aca="false">IF(H339="","",H339-AVERAGE(H291:H387))</f>
        <v/>
      </c>
      <c r="J339" s="27" t="str">
        <f aca="false">IF(I339="","",Resumen!$B$10-(MAX(I291:I387)-I339))</f>
        <v/>
      </c>
    </row>
    <row r="340" customFormat="false" ht="15" hidden="false" customHeight="false" outlineLevel="0" collapsed="false">
      <c r="A340" s="24" t="n">
        <v>46264.9166666667</v>
      </c>
      <c r="B340" s="10" t="n">
        <v>2.7344</v>
      </c>
      <c r="C340" s="10" t="n">
        <v>2.2423</v>
      </c>
      <c r="D340" s="10" t="n">
        <f aca="false">IF(OR(B340="",C340="",B340&lt;=0.05,C340&lt;=0.05),0,1)</f>
        <v>1</v>
      </c>
      <c r="E340" s="25" t="n">
        <f aca="false">IF(OR(A340&lt;Resumen!$B$6,A340&gt;=Resumen!$B$7),0,MAX(0,AVERAGEIFS(B292:B388,D292:D388,1)-Resumen!$B$5*AVERAGEIFS(C292:C388,D292:D388,1)))</f>
        <v>0</v>
      </c>
      <c r="F340" s="10" t="n">
        <f aca="false">IF(B340="","",(B340-E340)/Resumen!$B$5)</f>
        <v>2.17188244638602</v>
      </c>
      <c r="G340" s="10" t="n">
        <f aca="false">IF(OR(F340="",C340=""),0,(F340-C340)*0.9)</f>
        <v>-0.0633757982525816</v>
      </c>
      <c r="H340" s="26" t="str">
        <f aca="false">IF(A340&lt;Resumen!$B$11,"",IF(H339="",0,H339)+G340/Resumen!$B$9)</f>
        <v/>
      </c>
      <c r="I340" s="26" t="str">
        <f aca="false">IF(H340="","",H340-AVERAGE(H292:H388))</f>
        <v/>
      </c>
      <c r="J340" s="27" t="str">
        <f aca="false">IF(I340="","",Resumen!$B$10-(MAX(I292:I388)-I340))</f>
        <v/>
      </c>
    </row>
    <row r="341" customFormat="false" ht="15" hidden="false" customHeight="false" outlineLevel="0" collapsed="false">
      <c r="A341" s="24" t="n">
        <v>46264.9270833333</v>
      </c>
      <c r="B341" s="10" t="n">
        <v>2.8326</v>
      </c>
      <c r="C341" s="10" t="n">
        <v>2.2817</v>
      </c>
      <c r="D341" s="10" t="n">
        <f aca="false">IF(OR(B341="",C341="",B341&lt;=0.05,C341&lt;=0.05),0,1)</f>
        <v>1</v>
      </c>
      <c r="E341" s="25" t="n">
        <f aca="false">IF(OR(A341&lt;Resumen!$B$6,A341&gt;=Resumen!$B$7),0,MAX(0,AVERAGEIFS(B293:B389,D293:D389,1)-Resumen!$B$5*AVERAGEIFS(C293:C389,D293:D389,1)))</f>
        <v>0</v>
      </c>
      <c r="F341" s="10" t="n">
        <f aca="false">IF(B341="","",(B341-E341)/Resumen!$B$5)</f>
        <v>2.24988085782367</v>
      </c>
      <c r="G341" s="10" t="n">
        <f aca="false">IF(OR(F341="",C341=""),0,(F341-C341)*0.9)</f>
        <v>-0.0286372279586973</v>
      </c>
      <c r="H341" s="26" t="str">
        <f aca="false">IF(A341&lt;Resumen!$B$11,"",IF(H340="",0,H340)+G341/Resumen!$B$9)</f>
        <v/>
      </c>
      <c r="I341" s="26" t="str">
        <f aca="false">IF(H341="","",H341-AVERAGE(H293:H389))</f>
        <v/>
      </c>
      <c r="J341" s="27" t="str">
        <f aca="false">IF(I341="","",Resumen!$B$10-(MAX(I293:I389)-I341))</f>
        <v/>
      </c>
    </row>
    <row r="342" customFormat="false" ht="15" hidden="false" customHeight="false" outlineLevel="0" collapsed="false">
      <c r="A342" s="24" t="n">
        <v>46264.9375</v>
      </c>
      <c r="B342" s="10" t="n">
        <v>2.5818</v>
      </c>
      <c r="C342" s="10" t="n">
        <v>2.0098</v>
      </c>
      <c r="D342" s="10" t="n">
        <f aca="false">IF(OR(B342="",C342="",B342&lt;=0.05,C342&lt;=0.05),0,1)</f>
        <v>1</v>
      </c>
      <c r="E342" s="25" t="n">
        <f aca="false">IF(OR(A342&lt;Resumen!$B$6,A342&gt;=Resumen!$B$7),0,MAX(0,AVERAGEIFS(B294:B390,D294:D390,1)-Resumen!$B$5*AVERAGEIFS(C294:C390,D294:D390,1)))</f>
        <v>0</v>
      </c>
      <c r="F342" s="10" t="n">
        <f aca="false">IF(B342="","",(B342-E342)/Resumen!$B$5)</f>
        <v>2.05067513899921</v>
      </c>
      <c r="G342" s="10" t="n">
        <f aca="false">IF(OR(F342="",C342=""),0,(F342-C342)*0.9)</f>
        <v>0.0367876250992855</v>
      </c>
      <c r="H342" s="26" t="str">
        <f aca="false">IF(A342&lt;Resumen!$B$11,"",IF(H341="",0,H341)+G342/Resumen!$B$9)</f>
        <v/>
      </c>
      <c r="I342" s="26" t="str">
        <f aca="false">IF(H342="","",H342-AVERAGE(H294:H390))</f>
        <v/>
      </c>
      <c r="J342" s="27" t="str">
        <f aca="false">IF(I342="","",Resumen!$B$10-(MAX(I294:I390)-I342))</f>
        <v/>
      </c>
    </row>
    <row r="343" customFormat="false" ht="15" hidden="false" customHeight="false" outlineLevel="0" collapsed="false">
      <c r="A343" s="24" t="n">
        <v>46264.9479166667</v>
      </c>
      <c r="B343" s="10" t="n">
        <v>2.517</v>
      </c>
      <c r="C343" s="10" t="n">
        <v>1.9577</v>
      </c>
      <c r="D343" s="10" t="n">
        <f aca="false">IF(OR(B343="",C343="",B343&lt;=0.05,C343&lt;=0.05),0,1)</f>
        <v>1</v>
      </c>
      <c r="E343" s="25" t="n">
        <f aca="false">IF(OR(A343&lt;Resumen!$B$6,A343&gt;=Resumen!$B$7),0,MAX(0,AVERAGEIFS(B295:B391,D295:D391,1)-Resumen!$B$5*AVERAGEIFS(C295:C391,D295:D391,1)))</f>
        <v>0</v>
      </c>
      <c r="F343" s="10" t="n">
        <f aca="false">IF(B343="","",(B343-E343)/Resumen!$B$5)</f>
        <v>1.99920571882446</v>
      </c>
      <c r="G343" s="10" t="n">
        <f aca="false">IF(OR(F343="",C343=""),0,(F343-C343)*0.9)</f>
        <v>0.0373551469420175</v>
      </c>
      <c r="H343" s="26" t="str">
        <f aca="false">IF(A343&lt;Resumen!$B$11,"",IF(H342="",0,H342)+G343/Resumen!$B$9)</f>
        <v/>
      </c>
      <c r="I343" s="26" t="str">
        <f aca="false">IF(H343="","",H343-AVERAGE(H295:H391))</f>
        <v/>
      </c>
      <c r="J343" s="27" t="str">
        <f aca="false">IF(I343="","",Resumen!$B$10-(MAX(I295:I391)-I343))</f>
        <v/>
      </c>
    </row>
    <row r="344" customFormat="false" ht="15" hidden="false" customHeight="false" outlineLevel="0" collapsed="false">
      <c r="A344" s="24" t="n">
        <v>46264.9583333333</v>
      </c>
      <c r="B344" s="10" t="n">
        <v>2.8883</v>
      </c>
      <c r="C344" s="10" t="n">
        <v>2.7854</v>
      </c>
      <c r="D344" s="10" t="n">
        <f aca="false">IF(OR(B344="",C344="",B344&lt;=0.05,C344&lt;=0.05),0,1)</f>
        <v>1</v>
      </c>
      <c r="E344" s="25" t="n">
        <f aca="false">IF(OR(A344&lt;Resumen!$B$6,A344&gt;=Resumen!$B$7),0,MAX(0,AVERAGEIFS(B296:B392,D296:D392,1)-Resumen!$B$5*AVERAGEIFS(C296:C392,D296:D392,1)))</f>
        <v>0</v>
      </c>
      <c r="F344" s="10" t="n">
        <f aca="false">IF(B344="","",(B344-E344)/Resumen!$B$5)</f>
        <v>2.29412231930103</v>
      </c>
      <c r="G344" s="10" t="n">
        <f aca="false">IF(OR(F344="",C344=""),0,(F344-C344)*0.9)</f>
        <v>-0.44214991262907</v>
      </c>
      <c r="H344" s="26" t="str">
        <f aca="false">IF(A344&lt;Resumen!$B$11,"",IF(H343="",0,H343)+G344/Resumen!$B$9)</f>
        <v/>
      </c>
      <c r="I344" s="26" t="str">
        <f aca="false">IF(H344="","",H344-AVERAGE(H296:H392))</f>
        <v/>
      </c>
      <c r="J344" s="27" t="str">
        <f aca="false">IF(I344="","",Resumen!$B$10-(MAX(I296:I392)-I344))</f>
        <v/>
      </c>
    </row>
    <row r="345" customFormat="false" ht="15" hidden="false" customHeight="false" outlineLevel="0" collapsed="false">
      <c r="A345" s="24" t="n">
        <v>46264.96875</v>
      </c>
      <c r="B345" s="10" t="n">
        <v>2.8244</v>
      </c>
      <c r="C345" s="10" t="n">
        <v>2.1175</v>
      </c>
      <c r="D345" s="10" t="n">
        <f aca="false">IF(OR(B345="",C345="",B345&lt;=0.05,C345&lt;=0.05),0,1)</f>
        <v>1</v>
      </c>
      <c r="E345" s="25" t="n">
        <f aca="false">IF(OR(A345&lt;Resumen!$B$6,A345&gt;=Resumen!$B$7),0,MAX(0,AVERAGEIFS(B297:B393,D297:D393,1)-Resumen!$B$5*AVERAGEIFS(C297:C393,D297:D393,1)))</f>
        <v>0</v>
      </c>
      <c r="F345" s="10" t="n">
        <f aca="false">IF(B345="","",(B345-E345)/Resumen!$B$5)</f>
        <v>2.24336775218427</v>
      </c>
      <c r="G345" s="10" t="n">
        <f aca="false">IF(OR(F345="",C345=""),0,(F345-C345)*0.9)</f>
        <v>0.113280976965846</v>
      </c>
      <c r="H345" s="26" t="str">
        <f aca="false">IF(A345&lt;Resumen!$B$11,"",IF(H344="",0,H344)+G345/Resumen!$B$9)</f>
        <v/>
      </c>
      <c r="I345" s="26" t="str">
        <f aca="false">IF(H345="","",H345-AVERAGE(H297:H393))</f>
        <v/>
      </c>
      <c r="J345" s="27" t="str">
        <f aca="false">IF(I345="","",Resumen!$B$10-(MAX(I297:I393)-I345))</f>
        <v/>
      </c>
    </row>
    <row r="346" customFormat="false" ht="15" hidden="false" customHeight="false" outlineLevel="0" collapsed="false">
      <c r="A346" s="24" t="n">
        <v>46264.9791666667</v>
      </c>
      <c r="B346" s="10" t="n">
        <v>2.3959</v>
      </c>
      <c r="C346" s="10" t="n">
        <v>2.2234</v>
      </c>
      <c r="D346" s="10" t="n">
        <f aca="false">IF(OR(B346="",C346="",B346&lt;=0.05,C346&lt;=0.05),0,1)</f>
        <v>1</v>
      </c>
      <c r="E346" s="25" t="n">
        <f aca="false">IF(OR(A346&lt;Resumen!$B$6,A346&gt;=Resumen!$B$7),0,MAX(0,AVERAGEIFS(B298:B394,D298:D394,1)-Resumen!$B$5*AVERAGEIFS(C298:C394,D298:D394,1)))</f>
        <v>0</v>
      </c>
      <c r="F346" s="10" t="n">
        <f aca="false">IF(B346="","",(B346-E346)/Resumen!$B$5)</f>
        <v>1.90301826846704</v>
      </c>
      <c r="G346" s="10" t="n">
        <f aca="false">IF(OR(F346="",C346=""),0,(F346-C346)*0.9)</f>
        <v>-0.288343558379666</v>
      </c>
      <c r="H346" s="26" t="str">
        <f aca="false">IF(A346&lt;Resumen!$B$11,"",IF(H345="",0,H345)+G346/Resumen!$B$9)</f>
        <v/>
      </c>
      <c r="I346" s="26" t="str">
        <f aca="false">IF(H346="","",H346-AVERAGE(H298:H394))</f>
        <v/>
      </c>
      <c r="J346" s="27" t="str">
        <f aca="false">IF(I346="","",Resumen!$B$10-(MAX(I298:I394)-I346))</f>
        <v/>
      </c>
    </row>
    <row r="347" customFormat="false" ht="15" hidden="false" customHeight="false" outlineLevel="0" collapsed="false">
      <c r="A347" s="24" t="n">
        <v>46264.9895833333</v>
      </c>
      <c r="B347" s="10" t="n">
        <v>2.3305</v>
      </c>
      <c r="C347" s="10" t="n">
        <v>2.0576</v>
      </c>
      <c r="D347" s="10" t="n">
        <f aca="false">IF(OR(B347="",C347="",B347&lt;=0.05,C347&lt;=0.05),0,1)</f>
        <v>1</v>
      </c>
      <c r="E347" s="25" t="n">
        <f aca="false">IF(OR(A347&lt;Resumen!$B$6,A347&gt;=Resumen!$B$7),0,MAX(0,AVERAGEIFS(B299:B395,D299:D395,1)-Resumen!$B$5*AVERAGEIFS(C299:C395,D299:D395,1)))</f>
        <v>0</v>
      </c>
      <c r="F347" s="10" t="n">
        <f aca="false">IF(B347="","",(B347-E347)/Resumen!$B$5)</f>
        <v>1.85107227958697</v>
      </c>
      <c r="G347" s="10" t="n">
        <f aca="false">IF(OR(F347="",C347=""),0,(F347-C347)*0.9)</f>
        <v>-0.185874948371723</v>
      </c>
      <c r="H347" s="26" t="str">
        <f aca="false">IF(A347&lt;Resumen!$B$11,"",IF(H346="",0,H346)+G347/Resumen!$B$9)</f>
        <v/>
      </c>
      <c r="I347" s="26" t="str">
        <f aca="false">IF(H347="","",H347-AVERAGE(H299:H395))</f>
        <v/>
      </c>
      <c r="J347" s="27" t="str">
        <f aca="false">IF(I347="","",Resumen!$B$10-(MAX(I299:I395)-I347))</f>
        <v/>
      </c>
    </row>
    <row r="348" customFormat="false" ht="15" hidden="false" customHeight="false" outlineLevel="0" collapsed="false">
      <c r="A348" s="24" t="n">
        <v>46265</v>
      </c>
      <c r="B348" s="10" t="n">
        <v>2.3354</v>
      </c>
      <c r="C348" s="10" t="n">
        <v>1.8057</v>
      </c>
      <c r="D348" s="10" t="n">
        <f aca="false">IF(OR(B348="",C348="",B348&lt;=0.05,C348&lt;=0.05),0,1)</f>
        <v>1</v>
      </c>
      <c r="E348" s="25" t="n">
        <f aca="false">IF(OR(A348&lt;Resumen!$B$6,A348&gt;=Resumen!$B$7),0,MAX(0,AVERAGEIFS(B300:B396,D300:D396,1)-Resumen!$B$5*AVERAGEIFS(C300:C396,D300:D396,1)))</f>
        <v>0</v>
      </c>
      <c r="F348" s="10" t="n">
        <f aca="false">IF(B348="","",(B348-E348)/Resumen!$B$5)</f>
        <v>1.8549642573471</v>
      </c>
      <c r="G348" s="10" t="n">
        <f aca="false">IF(OR(F348="",C348=""),0,(F348-C348)*0.9)</f>
        <v>0.0443378316123909</v>
      </c>
      <c r="H348" s="26" t="str">
        <f aca="false">IF(A348&lt;Resumen!$B$11,"",IF(H347="",0,H347)+G348/Resumen!$B$9)</f>
        <v/>
      </c>
      <c r="I348" s="26" t="str">
        <f aca="false">IF(H348="","",H348-AVERAGE(H300:H396))</f>
        <v/>
      </c>
      <c r="J348" s="27" t="str">
        <f aca="false">IF(I348="","",Resumen!$B$10-(MAX(I300:I396)-I348))</f>
        <v/>
      </c>
    </row>
    <row r="349" customFormat="false" ht="15" hidden="false" customHeight="false" outlineLevel="0" collapsed="false">
      <c r="A349" s="24" t="n">
        <v>46265.0104166667</v>
      </c>
      <c r="B349" s="10" t="n">
        <v>2.2107</v>
      </c>
      <c r="C349" s="10" t="n">
        <v>1.9839</v>
      </c>
      <c r="D349" s="10" t="n">
        <f aca="false">IF(OR(B349="",C349="",B349&lt;=0.05,C349&lt;=0.05),0,1)</f>
        <v>1</v>
      </c>
      <c r="E349" s="25" t="n">
        <f aca="false">IF(OR(A349&lt;Resumen!$B$6,A349&gt;=Resumen!$B$7),0,MAX(0,AVERAGEIFS(B301:B397,D301:D397,1)-Resumen!$B$5*AVERAGEIFS(C301:C397,D301:D397,1)))</f>
        <v>0</v>
      </c>
      <c r="F349" s="10" t="n">
        <f aca="false">IF(B349="","",(B349-E349)/Resumen!$B$5)</f>
        <v>1.75591739475774</v>
      </c>
      <c r="G349" s="10" t="n">
        <f aca="false">IF(OR(F349="",C349=""),0,(F349-C349)*0.9)</f>
        <v>-0.20518434471803</v>
      </c>
      <c r="H349" s="26" t="str">
        <f aca="false">IF(A349&lt;Resumen!$B$11,"",IF(H348="",0,H348)+G349/Resumen!$B$9)</f>
        <v/>
      </c>
      <c r="I349" s="26" t="str">
        <f aca="false">IF(H349="","",H349-AVERAGE(H301:H397))</f>
        <v/>
      </c>
      <c r="J349" s="27" t="str">
        <f aca="false">IF(I349="","",Resumen!$B$10-(MAX(I301:I397)-I349))</f>
        <v/>
      </c>
    </row>
    <row r="350" customFormat="false" ht="15" hidden="false" customHeight="false" outlineLevel="0" collapsed="false">
      <c r="A350" s="24" t="n">
        <v>46265.0208333333</v>
      </c>
      <c r="B350" s="10" t="n">
        <v>2.0219</v>
      </c>
      <c r="C350" s="10" t="n">
        <v>1.6379</v>
      </c>
      <c r="D350" s="10" t="n">
        <f aca="false">IF(OR(B350="",C350="",B350&lt;=0.05,C350&lt;=0.05),0,1)</f>
        <v>1</v>
      </c>
      <c r="E350" s="25" t="n">
        <f aca="false">IF(OR(A350&lt;Resumen!$B$6,A350&gt;=Resumen!$B$7),0,MAX(0,AVERAGEIFS(B302:B398,D302:D398,1)-Resumen!$B$5*AVERAGEIFS(C302:C398,D302:D398,1)))</f>
        <v>0</v>
      </c>
      <c r="F350" s="10" t="n">
        <f aca="false">IF(B350="","",(B350-E350)/Resumen!$B$5)</f>
        <v>1.60595710881652</v>
      </c>
      <c r="G350" s="10" t="n">
        <f aca="false">IF(OR(F350="",C350=""),0,(F350-C350)*0.9)</f>
        <v>-0.0287486020651308</v>
      </c>
      <c r="H350" s="26" t="str">
        <f aca="false">IF(A350&lt;Resumen!$B$11,"",IF(H349="",0,H349)+G350/Resumen!$B$9)</f>
        <v/>
      </c>
      <c r="I350" s="26" t="str">
        <f aca="false">IF(H350="","",H350-AVERAGE(H302:H398))</f>
        <v/>
      </c>
      <c r="J350" s="27" t="str">
        <f aca="false">IF(I350="","",Resumen!$B$10-(MAX(I302:I398)-I350))</f>
        <v/>
      </c>
    </row>
    <row r="351" customFormat="false" ht="15" hidden="false" customHeight="false" outlineLevel="0" collapsed="false">
      <c r="A351" s="24" t="n">
        <v>46265.03125</v>
      </c>
      <c r="B351" s="10" t="n">
        <v>1.9666</v>
      </c>
      <c r="C351" s="10" t="n">
        <v>1.6265</v>
      </c>
      <c r="D351" s="10" t="n">
        <f aca="false">IF(OR(B351="",C351="",B351&lt;=0.05,C351&lt;=0.05),0,1)</f>
        <v>1</v>
      </c>
      <c r="E351" s="25" t="n">
        <f aca="false">IF(OR(A351&lt;Resumen!$B$6,A351&gt;=Resumen!$B$7),0,MAX(0,AVERAGEIFS(B303:B399,D303:D399,1)-Resumen!$B$5*AVERAGEIFS(C303:C399,D303:D399,1)))</f>
        <v>0</v>
      </c>
      <c r="F351" s="10" t="n">
        <f aca="false">IF(B351="","",(B351-E351)/Resumen!$B$5)</f>
        <v>1.56203335980937</v>
      </c>
      <c r="G351" s="10" t="n">
        <f aca="false">IF(OR(F351="",C351=""),0,(F351-C351)*0.9)</f>
        <v>-0.0580199761715648</v>
      </c>
      <c r="H351" s="26" t="str">
        <f aca="false">IF(A351&lt;Resumen!$B$11,"",IF(H350="",0,H350)+G351/Resumen!$B$9)</f>
        <v/>
      </c>
      <c r="I351" s="26" t="str">
        <f aca="false">IF(H351="","",H351-AVERAGE(H303:H399))</f>
        <v/>
      </c>
      <c r="J351" s="27" t="str">
        <f aca="false">IF(I351="","",Resumen!$B$10-(MAX(I303:I399)-I351))</f>
        <v/>
      </c>
    </row>
    <row r="352" customFormat="false" ht="15" hidden="false" customHeight="false" outlineLevel="0" collapsed="false">
      <c r="A352" s="24" t="n">
        <v>46265.0416666667</v>
      </c>
      <c r="B352" s="10" t="n">
        <v>2.0004</v>
      </c>
      <c r="C352" s="10" t="n">
        <v>1.8437</v>
      </c>
      <c r="D352" s="10" t="n">
        <f aca="false">IF(OR(B352="",C352="",B352&lt;=0.05,C352&lt;=0.05),0,1)</f>
        <v>1</v>
      </c>
      <c r="E352" s="25" t="n">
        <f aca="false">IF(OR(A352&lt;Resumen!$B$6,A352&gt;=Resumen!$B$7),0,MAX(0,AVERAGEIFS(B304:B400,D304:D400,1)-Resumen!$B$5*AVERAGEIFS(C304:C400,D304:D400,1)))</f>
        <v>0</v>
      </c>
      <c r="F352" s="10" t="n">
        <f aca="false">IF(B352="","",(B352-E352)/Resumen!$B$5)</f>
        <v>1.58888006354249</v>
      </c>
      <c r="G352" s="10" t="n">
        <f aca="false">IF(OR(F352="",C352=""),0,(F352-C352)*0.9)</f>
        <v>-0.229337942811755</v>
      </c>
      <c r="H352" s="26" t="str">
        <f aca="false">IF(A352&lt;Resumen!$B$11,"",IF(H351="",0,H351)+G352/Resumen!$B$9)</f>
        <v/>
      </c>
      <c r="I352" s="26" t="str">
        <f aca="false">IF(H352="","",H352-AVERAGE(H304:H400))</f>
        <v/>
      </c>
      <c r="J352" s="27" t="str">
        <f aca="false">IF(I352="","",Resumen!$B$10-(MAX(I304:I400)-I352))</f>
        <v/>
      </c>
    </row>
    <row r="353" customFormat="false" ht="15" hidden="false" customHeight="false" outlineLevel="0" collapsed="false">
      <c r="A353" s="24" t="n">
        <v>46265.0520833333</v>
      </c>
      <c r="B353" s="10" t="n">
        <v>1.9834</v>
      </c>
      <c r="C353" s="10" t="n">
        <v>1.5514</v>
      </c>
      <c r="D353" s="10" t="n">
        <f aca="false">IF(OR(B353="",C353="",B353&lt;=0.05,C353&lt;=0.05),0,1)</f>
        <v>1</v>
      </c>
      <c r="E353" s="25" t="n">
        <f aca="false">IF(OR(A353&lt;Resumen!$B$6,A353&gt;=Resumen!$B$7),0,MAX(0,AVERAGEIFS(B305:B401,D305:D401,1)-Resumen!$B$5*AVERAGEIFS(C305:C401,D305:D401,1)))</f>
        <v>0</v>
      </c>
      <c r="F353" s="10" t="n">
        <f aca="false">IF(B353="","",(B353-E353)/Resumen!$B$5)</f>
        <v>1.57537728355838</v>
      </c>
      <c r="G353" s="10" t="n">
        <f aca="false">IF(OR(F353="",C353=""),0,(F353-C353)*0.9)</f>
        <v>0.021579555202542</v>
      </c>
      <c r="H353" s="26" t="str">
        <f aca="false">IF(A353&lt;Resumen!$B$11,"",IF(H352="",0,H352)+G353/Resumen!$B$9)</f>
        <v/>
      </c>
      <c r="I353" s="26" t="str">
        <f aca="false">IF(H353="","",H353-AVERAGE(H305:H401))</f>
        <v/>
      </c>
      <c r="J353" s="27" t="str">
        <f aca="false">IF(I353="","",Resumen!$B$10-(MAX(I305:I401)-I353))</f>
        <v/>
      </c>
    </row>
    <row r="354" customFormat="false" ht="15" hidden="false" customHeight="false" outlineLevel="0" collapsed="false">
      <c r="A354" s="24" t="n">
        <v>46265.0625</v>
      </c>
      <c r="B354" s="10" t="n">
        <v>2.0308</v>
      </c>
      <c r="C354" s="10" t="n">
        <v>1.5575</v>
      </c>
      <c r="D354" s="10" t="n">
        <f aca="false">IF(OR(B354="",C354="",B354&lt;=0.05,C354&lt;=0.05),0,1)</f>
        <v>1</v>
      </c>
      <c r="E354" s="25" t="n">
        <f aca="false">IF(OR(A354&lt;Resumen!$B$6,A354&gt;=Resumen!$B$7),0,MAX(0,AVERAGEIFS(B306:B402,D306:D402,1)-Resumen!$B$5*AVERAGEIFS(C306:C402,D306:D402,1)))</f>
        <v>0</v>
      </c>
      <c r="F354" s="10" t="n">
        <f aca="false">IF(B354="","",(B354-E354)/Resumen!$B$5)</f>
        <v>1.61302621127879</v>
      </c>
      <c r="G354" s="10" t="n">
        <f aca="false">IF(OR(F354="",C354=""),0,(F354-C354)*0.9)</f>
        <v>0.0499735901509136</v>
      </c>
      <c r="H354" s="26" t="str">
        <f aca="false">IF(A354&lt;Resumen!$B$11,"",IF(H353="",0,H353)+G354/Resumen!$B$9)</f>
        <v/>
      </c>
      <c r="I354" s="26" t="str">
        <f aca="false">IF(H354="","",H354-AVERAGE(H306:H402))</f>
        <v/>
      </c>
      <c r="J354" s="27" t="str">
        <f aca="false">IF(I354="","",Resumen!$B$10-(MAX(I306:I402)-I354))</f>
        <v/>
      </c>
    </row>
    <row r="355" customFormat="false" ht="15" hidden="false" customHeight="false" outlineLevel="0" collapsed="false">
      <c r="A355" s="24" t="n">
        <v>46265.0729166667</v>
      </c>
      <c r="B355" s="10" t="n">
        <v>2.0046</v>
      </c>
      <c r="C355" s="10" t="n">
        <v>1.7192</v>
      </c>
      <c r="D355" s="10" t="n">
        <f aca="false">IF(OR(B355="",C355="",B355&lt;=0.05,C355&lt;=0.05),0,1)</f>
        <v>1</v>
      </c>
      <c r="E355" s="25" t="n">
        <f aca="false">IF(OR(A355&lt;Resumen!$B$6,A355&gt;=Resumen!$B$7),0,MAX(0,AVERAGEIFS(B307:B403,D307:D403,1)-Resumen!$B$5*AVERAGEIFS(C307:C403,D307:D403,1)))</f>
        <v>0</v>
      </c>
      <c r="F355" s="10" t="n">
        <f aca="false">IF(B355="","",(B355-E355)/Resumen!$B$5)</f>
        <v>1.59221604447975</v>
      </c>
      <c r="G355" s="10" t="n">
        <f aca="false">IF(OR(F355="",C355=""),0,(F355-C355)*0.9)</f>
        <v>-0.114285559968229</v>
      </c>
      <c r="H355" s="26" t="str">
        <f aca="false">IF(A355&lt;Resumen!$B$11,"",IF(H354="",0,H354)+G355/Resumen!$B$9)</f>
        <v/>
      </c>
      <c r="I355" s="26" t="str">
        <f aca="false">IF(H355="","",H355-AVERAGE(H307:H403))</f>
        <v/>
      </c>
      <c r="J355" s="27" t="str">
        <f aca="false">IF(I355="","",Resumen!$B$10-(MAX(I307:I403)-I355))</f>
        <v/>
      </c>
    </row>
    <row r="356" customFormat="false" ht="15" hidden="false" customHeight="false" outlineLevel="0" collapsed="false">
      <c r="A356" s="24" t="n">
        <v>46265.0833333333</v>
      </c>
      <c r="B356" s="10" t="n">
        <v>2.0351</v>
      </c>
      <c r="C356" s="10" t="n">
        <v>1.6703</v>
      </c>
      <c r="D356" s="10" t="n">
        <f aca="false">IF(OR(B356="",C356="",B356&lt;=0.05,C356&lt;=0.05),0,1)</f>
        <v>1</v>
      </c>
      <c r="E356" s="25" t="n">
        <f aca="false">IF(OR(A356&lt;Resumen!$B$6,A356&gt;=Resumen!$B$7),0,MAX(0,AVERAGEIFS(B308:B404,D308:D404,1)-Resumen!$B$5*AVERAGEIFS(C308:C404,D308:D404,1)))</f>
        <v>0</v>
      </c>
      <c r="F356" s="10" t="n">
        <f aca="false">IF(B356="","",(B356-E356)/Resumen!$B$5)</f>
        <v>1.6164416203336</v>
      </c>
      <c r="G356" s="10" t="n">
        <f aca="false">IF(OR(F356="",C356=""),0,(F356-C356)*0.9)</f>
        <v>-0.0484725416997617</v>
      </c>
      <c r="H356" s="26" t="str">
        <f aca="false">IF(A356&lt;Resumen!$B$11,"",IF(H355="",0,H355)+G356/Resumen!$B$9)</f>
        <v/>
      </c>
      <c r="I356" s="26" t="str">
        <f aca="false">IF(H356="","",H356-AVERAGE(H308:H404))</f>
        <v/>
      </c>
      <c r="J356" s="27" t="str">
        <f aca="false">IF(I356="","",Resumen!$B$10-(MAX(I308:I404)-I356))</f>
        <v/>
      </c>
    </row>
    <row r="357" customFormat="false" ht="15" hidden="false" customHeight="false" outlineLevel="0" collapsed="false">
      <c r="A357" s="24" t="n">
        <v>46265.09375</v>
      </c>
      <c r="B357" s="10" t="n">
        <v>1.9735</v>
      </c>
      <c r="C357" s="10" t="n">
        <v>1.6913</v>
      </c>
      <c r="D357" s="10" t="n">
        <f aca="false">IF(OR(B357="",C357="",B357&lt;=0.05,C357&lt;=0.05),0,1)</f>
        <v>1</v>
      </c>
      <c r="E357" s="25" t="n">
        <f aca="false">IF(OR(A357&lt;Resumen!$B$6,A357&gt;=Resumen!$B$7),0,MAX(0,AVERAGEIFS(B309:B405,D309:D405,1)-Resumen!$B$5*AVERAGEIFS(C309:C405,D309:D405,1)))</f>
        <v>0</v>
      </c>
      <c r="F357" s="10" t="n">
        <f aca="false">IF(B357="","",(B357-E357)/Resumen!$B$5)</f>
        <v>1.56751389992057</v>
      </c>
      <c r="G357" s="10" t="n">
        <f aca="false">IF(OR(F357="",C357=""),0,(F357-C357)*0.9)</f>
        <v>-0.111407490071485</v>
      </c>
      <c r="H357" s="26" t="str">
        <f aca="false">IF(A357&lt;Resumen!$B$11,"",IF(H356="",0,H356)+G357/Resumen!$B$9)</f>
        <v/>
      </c>
      <c r="I357" s="26" t="str">
        <f aca="false">IF(H357="","",H357-AVERAGE(H309:H405))</f>
        <v/>
      </c>
      <c r="J357" s="27" t="str">
        <f aca="false">IF(I357="","",Resumen!$B$10-(MAX(I309:I405)-I357))</f>
        <v/>
      </c>
    </row>
    <row r="358" customFormat="false" ht="15" hidden="false" customHeight="false" outlineLevel="0" collapsed="false">
      <c r="A358" s="24" t="n">
        <v>46265.1041666667</v>
      </c>
      <c r="B358" s="10" t="n">
        <v>2.0291</v>
      </c>
      <c r="C358" s="10" t="n">
        <v>1.7337</v>
      </c>
      <c r="D358" s="10" t="n">
        <f aca="false">IF(OR(B358="",C358="",B358&lt;=0.05,C358&lt;=0.05),0,1)</f>
        <v>1</v>
      </c>
      <c r="E358" s="25" t="n">
        <f aca="false">IF(OR(A358&lt;Resumen!$B$6,A358&gt;=Resumen!$B$7),0,MAX(0,AVERAGEIFS(B310:B406,D310:D406,1)-Resumen!$B$5*AVERAGEIFS(C310:C406,D310:D406,1)))</f>
        <v>0</v>
      </c>
      <c r="F358" s="10" t="n">
        <f aca="false">IF(B358="","",(B358-E358)/Resumen!$B$5)</f>
        <v>1.61167593328038</v>
      </c>
      <c r="G358" s="10" t="n">
        <f aca="false">IF(OR(F358="",C358=""),0,(F358-C358)*0.9)</f>
        <v>-0.109821660047657</v>
      </c>
      <c r="H358" s="26" t="str">
        <f aca="false">IF(A358&lt;Resumen!$B$11,"",IF(H357="",0,H357)+G358/Resumen!$B$9)</f>
        <v/>
      </c>
      <c r="I358" s="26" t="str">
        <f aca="false">IF(H358="","",H358-AVERAGE(H310:H406))</f>
        <v/>
      </c>
      <c r="J358" s="27" t="str">
        <f aca="false">IF(I358="","",Resumen!$B$10-(MAX(I310:I406)-I358))</f>
        <v/>
      </c>
    </row>
    <row r="359" customFormat="false" ht="15" hidden="false" customHeight="false" outlineLevel="0" collapsed="false">
      <c r="A359" s="24" t="n">
        <v>46265.1145833333</v>
      </c>
      <c r="B359" s="10" t="n">
        <v>2.0099</v>
      </c>
      <c r="C359" s="10" t="n">
        <v>1.5107</v>
      </c>
      <c r="D359" s="10" t="n">
        <f aca="false">IF(OR(B359="",C359="",B359&lt;=0.05,C359&lt;=0.05),0,1)</f>
        <v>1</v>
      </c>
      <c r="E359" s="25" t="n">
        <f aca="false">IF(OR(A359&lt;Resumen!$B$6,A359&gt;=Resumen!$B$7),0,MAX(0,AVERAGEIFS(B311:B407,D311:D407,1)-Resumen!$B$5*AVERAGEIFS(C311:C407,D311:D407,1)))</f>
        <v>0</v>
      </c>
      <c r="F359" s="10" t="n">
        <f aca="false">IF(B359="","",(B359-E359)/Resumen!$B$5)</f>
        <v>1.59642573471009</v>
      </c>
      <c r="G359" s="10" t="n">
        <f aca="false">IF(OR(F359="",C359=""),0,(F359-C359)*0.9)</f>
        <v>0.0771531612390787</v>
      </c>
      <c r="H359" s="26" t="str">
        <f aca="false">IF(A359&lt;Resumen!$B$11,"",IF(H358="",0,H358)+G359/Resumen!$B$9)</f>
        <v/>
      </c>
      <c r="I359" s="26" t="str">
        <f aca="false">IF(H359="","",H359-AVERAGE(H311:H407))</f>
        <v/>
      </c>
      <c r="J359" s="27" t="str">
        <f aca="false">IF(I359="","",Resumen!$B$10-(MAX(I311:I407)-I359))</f>
        <v/>
      </c>
    </row>
    <row r="360" customFormat="false" ht="15" hidden="false" customHeight="false" outlineLevel="0" collapsed="false">
      <c r="A360" s="24" t="n">
        <v>46265.125</v>
      </c>
      <c r="B360" s="10" t="n">
        <v>2.0999</v>
      </c>
      <c r="C360" s="10" t="n">
        <v>1.5454</v>
      </c>
      <c r="D360" s="10" t="n">
        <f aca="false">IF(OR(B360="",C360="",B360&lt;=0.05,C360&lt;=0.05),0,1)</f>
        <v>1</v>
      </c>
      <c r="E360" s="25" t="n">
        <f aca="false">IF(OR(A360&lt;Resumen!$B$6,A360&gt;=Resumen!$B$7),0,MAX(0,AVERAGEIFS(B312:B408,D312:D408,1)-Resumen!$B$5*AVERAGEIFS(C312:C408,D312:D408,1)))</f>
        <v>0</v>
      </c>
      <c r="F360" s="10" t="n">
        <f aca="false">IF(B360="","",(B360-E360)/Resumen!$B$5)</f>
        <v>1.66791104050834</v>
      </c>
      <c r="G360" s="10" t="n">
        <f aca="false">IF(OR(F360="",C360=""),0,(F360-C360)*0.9)</f>
        <v>0.110259936457506</v>
      </c>
      <c r="H360" s="26" t="str">
        <f aca="false">IF(A360&lt;Resumen!$B$11,"",IF(H359="",0,H359)+G360/Resumen!$B$9)</f>
        <v/>
      </c>
      <c r="I360" s="26" t="str">
        <f aca="false">IF(H360="","",H360-AVERAGE(H312:H408))</f>
        <v/>
      </c>
      <c r="J360" s="27" t="str">
        <f aca="false">IF(I360="","",Resumen!$B$10-(MAX(I312:I408)-I360))</f>
        <v/>
      </c>
    </row>
    <row r="361" customFormat="false" ht="15" hidden="false" customHeight="false" outlineLevel="0" collapsed="false">
      <c r="A361" s="24" t="n">
        <v>46265.1354166667</v>
      </c>
      <c r="B361" s="10" t="n">
        <v>2.0227</v>
      </c>
      <c r="C361" s="10" t="n">
        <v>1.5399</v>
      </c>
      <c r="D361" s="10" t="n">
        <f aca="false">IF(OR(B361="",C361="",B361&lt;=0.05,C361&lt;=0.05),0,1)</f>
        <v>1</v>
      </c>
      <c r="E361" s="25" t="n">
        <f aca="false">IF(OR(A361&lt;Resumen!$B$6,A361&gt;=Resumen!$B$7),0,MAX(0,AVERAGEIFS(B313:B409,D313:D409,1)-Resumen!$B$5*AVERAGEIFS(C313:C409,D313:D409,1)))</f>
        <v>0</v>
      </c>
      <c r="F361" s="10" t="n">
        <f aca="false">IF(B361="","",(B361-E361)/Resumen!$B$5)</f>
        <v>1.60659253375695</v>
      </c>
      <c r="G361" s="10" t="n">
        <f aca="false">IF(OR(F361="",C361=""),0,(F361-C361)*0.9)</f>
        <v>0.060023280381255</v>
      </c>
      <c r="H361" s="26" t="str">
        <f aca="false">IF(A361&lt;Resumen!$B$11,"",IF(H360="",0,H360)+G361/Resumen!$B$9)</f>
        <v/>
      </c>
      <c r="I361" s="26" t="str">
        <f aca="false">IF(H361="","",H361-AVERAGE(H313:H409))</f>
        <v/>
      </c>
      <c r="J361" s="27" t="str">
        <f aca="false">IF(I361="","",Resumen!$B$10-(MAX(I313:I409)-I361))</f>
        <v/>
      </c>
    </row>
    <row r="362" customFormat="false" ht="15" hidden="false" customHeight="false" outlineLevel="0" collapsed="false">
      <c r="A362" s="24" t="n">
        <v>46265.1458333333</v>
      </c>
      <c r="B362" s="10" t="n">
        <v>1.8731</v>
      </c>
      <c r="C362" s="10" t="n">
        <v>1.655</v>
      </c>
      <c r="D362" s="10" t="n">
        <f aca="false">IF(OR(B362="",C362="",B362&lt;=0.05,C362&lt;=0.05),0,1)</f>
        <v>1</v>
      </c>
      <c r="E362" s="25" t="n">
        <f aca="false">IF(OR(A362&lt;Resumen!$B$6,A362&gt;=Resumen!$B$7),0,MAX(0,AVERAGEIFS(B314:B410,D314:D410,1)-Resumen!$B$5*AVERAGEIFS(C314:C410,D314:D410,1)))</f>
        <v>0</v>
      </c>
      <c r="F362" s="10" t="n">
        <f aca="false">IF(B362="","",(B362-E362)/Resumen!$B$5)</f>
        <v>1.48776806989674</v>
      </c>
      <c r="G362" s="10" t="n">
        <f aca="false">IF(OR(F362="",C362=""),0,(F362-C362)*0.9)</f>
        <v>-0.150508737092931</v>
      </c>
      <c r="H362" s="26" t="str">
        <f aca="false">IF(A362&lt;Resumen!$B$11,"",IF(H361="",0,H361)+G362/Resumen!$B$9)</f>
        <v/>
      </c>
      <c r="I362" s="26" t="str">
        <f aca="false">IF(H362="","",H362-AVERAGE(H314:H410))</f>
        <v/>
      </c>
      <c r="J362" s="27" t="str">
        <f aca="false">IF(I362="","",Resumen!$B$10-(MAX(I314:I410)-I362))</f>
        <v/>
      </c>
    </row>
    <row r="363" customFormat="false" ht="15" hidden="false" customHeight="false" outlineLevel="0" collapsed="false">
      <c r="A363" s="24" t="n">
        <v>46265.15625</v>
      </c>
      <c r="B363" s="10" t="n">
        <v>1.9234</v>
      </c>
      <c r="C363" s="10" t="n">
        <v>1.6114</v>
      </c>
      <c r="D363" s="10" t="n">
        <f aca="false">IF(OR(B363="",C363="",B363&lt;=0.05,C363&lt;=0.05),0,1)</f>
        <v>1</v>
      </c>
      <c r="E363" s="25" t="n">
        <f aca="false">IF(OR(A363&lt;Resumen!$B$6,A363&gt;=Resumen!$B$7),0,MAX(0,AVERAGEIFS(B315:B411,D315:D411,1)-Resumen!$B$5*AVERAGEIFS(C315:C411,D315:D411,1)))</f>
        <v>0</v>
      </c>
      <c r="F363" s="10" t="n">
        <f aca="false">IF(B363="","",(B363-E363)/Resumen!$B$5)</f>
        <v>1.52772041302621</v>
      </c>
      <c r="G363" s="10" t="n">
        <f aca="false">IF(OR(F363="",C363=""),0,(F363-C363)*0.9)</f>
        <v>-0.0753116282764097</v>
      </c>
      <c r="H363" s="26" t="str">
        <f aca="false">IF(A363&lt;Resumen!$B$11,"",IF(H362="",0,H362)+G363/Resumen!$B$9)</f>
        <v/>
      </c>
      <c r="I363" s="26" t="str">
        <f aca="false">IF(H363="","",H363-AVERAGE(H315:H411))</f>
        <v/>
      </c>
      <c r="J363" s="27" t="str">
        <f aca="false">IF(I363="","",Resumen!$B$10-(MAX(I315:I411)-I363))</f>
        <v/>
      </c>
    </row>
    <row r="364" customFormat="false" ht="15" hidden="false" customHeight="false" outlineLevel="0" collapsed="false">
      <c r="A364" s="24" t="n">
        <v>46265.1666666667</v>
      </c>
      <c r="B364" s="10" t="n">
        <v>1.9251</v>
      </c>
      <c r="C364" s="10" t="n">
        <v>1.4927</v>
      </c>
      <c r="D364" s="10" t="n">
        <f aca="false">IF(OR(B364="",C364="",B364&lt;=0.05,C364&lt;=0.05),0,1)</f>
        <v>1</v>
      </c>
      <c r="E364" s="25" t="n">
        <f aca="false">IF(OR(A364&lt;Resumen!$B$6,A364&gt;=Resumen!$B$7),0,MAX(0,AVERAGEIFS(B316:B412,D316:D412,1)-Resumen!$B$5*AVERAGEIFS(C316:C412,D316:D412,1)))</f>
        <v>0</v>
      </c>
      <c r="F364" s="10" t="n">
        <f aca="false">IF(B364="","",(B364-E364)/Resumen!$B$5)</f>
        <v>1.52907069102462</v>
      </c>
      <c r="G364" s="10" t="n">
        <f aca="false">IF(OR(F364="",C364=""),0,(F364-C364)*0.9)</f>
        <v>0.0327336219221606</v>
      </c>
      <c r="H364" s="26" t="str">
        <f aca="false">IF(A364&lt;Resumen!$B$11,"",IF(H363="",0,H363)+G364/Resumen!$B$9)</f>
        <v/>
      </c>
      <c r="I364" s="26" t="str">
        <f aca="false">IF(H364="","",H364-AVERAGE(H316:H412))</f>
        <v/>
      </c>
      <c r="J364" s="27" t="str">
        <f aca="false">IF(I364="","",Resumen!$B$10-(MAX(I316:I412)-I364))</f>
        <v/>
      </c>
    </row>
    <row r="365" customFormat="false" ht="15" hidden="false" customHeight="false" outlineLevel="0" collapsed="false">
      <c r="A365" s="24" t="n">
        <v>46265.1770833333</v>
      </c>
      <c r="B365" s="10" t="n">
        <v>1.9879</v>
      </c>
      <c r="C365" s="10" t="n">
        <v>1.6272</v>
      </c>
      <c r="D365" s="10" t="n">
        <f aca="false">IF(OR(B365="",C365="",B365&lt;=0.05,C365&lt;=0.05),0,1)</f>
        <v>1</v>
      </c>
      <c r="E365" s="25" t="n">
        <f aca="false">IF(OR(A365&lt;Resumen!$B$6,A365&gt;=Resumen!$B$7),0,MAX(0,AVERAGEIFS(B317:B413,D317:D413,1)-Resumen!$B$5*AVERAGEIFS(C317:C413,D317:D413,1)))</f>
        <v>0</v>
      </c>
      <c r="F365" s="10" t="n">
        <f aca="false">IF(B365="","",(B365-E365)/Resumen!$B$5)</f>
        <v>1.57895154884829</v>
      </c>
      <c r="G365" s="10" t="n">
        <f aca="false">IF(OR(F365="",C365=""),0,(F365-C365)*0.9)</f>
        <v>-0.0434236060365369</v>
      </c>
      <c r="H365" s="26" t="str">
        <f aca="false">IF(A365&lt;Resumen!$B$11,"",IF(H364="",0,H364)+G365/Resumen!$B$9)</f>
        <v/>
      </c>
      <c r="I365" s="26" t="str">
        <f aca="false">IF(H365="","",H365-AVERAGE(H317:H413))</f>
        <v/>
      </c>
      <c r="J365" s="27" t="str">
        <f aca="false">IF(I365="","",Resumen!$B$10-(MAX(I317:I413)-I365))</f>
        <v/>
      </c>
    </row>
    <row r="366" customFormat="false" ht="15" hidden="false" customHeight="false" outlineLevel="0" collapsed="false">
      <c r="A366" s="24" t="n">
        <v>46265.1875</v>
      </c>
      <c r="B366" s="10" t="n">
        <v>2.1638</v>
      </c>
      <c r="C366" s="10" t="n">
        <v>1.6042</v>
      </c>
      <c r="D366" s="10" t="n">
        <f aca="false">IF(OR(B366="",C366="",B366&lt;=0.05,C366&lt;=0.05),0,1)</f>
        <v>1</v>
      </c>
      <c r="E366" s="25" t="n">
        <f aca="false">IF(OR(A366&lt;Resumen!$B$6,A366&gt;=Resumen!$B$7),0,MAX(0,AVERAGEIFS(B318:B414,D318:D414,1)-Resumen!$B$5*AVERAGEIFS(C318:C414,D318:D414,1)))</f>
        <v>0</v>
      </c>
      <c r="F366" s="10" t="n">
        <f aca="false">IF(B366="","",(B366-E366)/Resumen!$B$5)</f>
        <v>1.7186656076251</v>
      </c>
      <c r="G366" s="10" t="n">
        <f aca="false">IF(OR(F366="",C366=""),0,(F366-C366)*0.9)</f>
        <v>0.103019046862589</v>
      </c>
      <c r="H366" s="26" t="str">
        <f aca="false">IF(A366&lt;Resumen!$B$11,"",IF(H365="",0,H365)+G366/Resumen!$B$9)</f>
        <v/>
      </c>
      <c r="I366" s="26" t="str">
        <f aca="false">IF(H366="","",H366-AVERAGE(H318:H414))</f>
        <v/>
      </c>
      <c r="J366" s="27" t="str">
        <f aca="false">IF(I366="","",Resumen!$B$10-(MAX(I318:I414)-I366))</f>
        <v/>
      </c>
    </row>
    <row r="367" customFormat="false" ht="15" hidden="false" customHeight="false" outlineLevel="0" collapsed="false">
      <c r="A367" s="24" t="n">
        <v>46265.1979166667</v>
      </c>
      <c r="B367" s="10" t="n">
        <v>2.1329</v>
      </c>
      <c r="C367" s="10" t="n">
        <v>1.586</v>
      </c>
      <c r="D367" s="10" t="n">
        <f aca="false">IF(OR(B367="",C367="",B367&lt;=0.05,C367&lt;=0.05),0,1)</f>
        <v>1</v>
      </c>
      <c r="E367" s="25" t="n">
        <f aca="false">IF(OR(A367&lt;Resumen!$B$6,A367&gt;=Resumen!$B$7),0,MAX(0,AVERAGEIFS(B319:B415,D319:D415,1)-Resumen!$B$5*AVERAGEIFS(C319:C415,D319:D415,1)))</f>
        <v>0</v>
      </c>
      <c r="F367" s="10" t="n">
        <f aca="false">IF(B367="","",(B367-E367)/Resumen!$B$5)</f>
        <v>1.69412231930103</v>
      </c>
      <c r="G367" s="10" t="n">
        <f aca="false">IF(OR(F367="",C367=""),0,(F367-C367)*0.9)</f>
        <v>0.0973100873709293</v>
      </c>
      <c r="H367" s="26" t="str">
        <f aca="false">IF(A367&lt;Resumen!$B$11,"",IF(H366="",0,H366)+G367/Resumen!$B$9)</f>
        <v/>
      </c>
      <c r="I367" s="26" t="str">
        <f aca="false">IF(H367="","",H367-AVERAGE(H319:H415))</f>
        <v/>
      </c>
      <c r="J367" s="27" t="str">
        <f aca="false">IF(I367="","",Resumen!$B$10-(MAX(I319:I415)-I367))</f>
        <v/>
      </c>
    </row>
    <row r="368" customFormat="false" ht="15" hidden="false" customHeight="false" outlineLevel="0" collapsed="false">
      <c r="A368" s="24" t="n">
        <v>46265.2083333333</v>
      </c>
      <c r="B368" s="10" t="n">
        <v>2.087</v>
      </c>
      <c r="C368" s="10" t="n">
        <v>1.7588</v>
      </c>
      <c r="D368" s="10" t="n">
        <f aca="false">IF(OR(B368="",C368="",B368&lt;=0.05,C368&lt;=0.05),0,1)</f>
        <v>1</v>
      </c>
      <c r="E368" s="25" t="n">
        <f aca="false">IF(OR(A368&lt;Resumen!$B$6,A368&gt;=Resumen!$B$7),0,MAX(0,AVERAGEIFS(B320:B416,D320:D416,1)-Resumen!$B$5*AVERAGEIFS(C320:C416,D320:D416,1)))</f>
        <v>0</v>
      </c>
      <c r="F368" s="10" t="n">
        <f aca="false">IF(B368="","",(B368-E368)/Resumen!$B$5)</f>
        <v>1.65766481334392</v>
      </c>
      <c r="G368" s="10" t="n">
        <f aca="false">IF(OR(F368="",C368=""),0,(F368-C368)*0.9)</f>
        <v>-0.0910216679904683</v>
      </c>
      <c r="H368" s="26" t="str">
        <f aca="false">IF(A368&lt;Resumen!$B$11,"",IF(H367="",0,H367)+G368/Resumen!$B$9)</f>
        <v/>
      </c>
      <c r="I368" s="26" t="str">
        <f aca="false">IF(H368="","",H368-AVERAGE(H320:H416))</f>
        <v/>
      </c>
      <c r="J368" s="27" t="str">
        <f aca="false">IF(I368="","",Resumen!$B$10-(MAX(I320:I416)-I368))</f>
        <v/>
      </c>
    </row>
    <row r="369" customFormat="false" ht="15" hidden="false" customHeight="false" outlineLevel="0" collapsed="false">
      <c r="A369" s="24" t="n">
        <v>46265.21875</v>
      </c>
      <c r="B369" s="10" t="n">
        <v>2.0856</v>
      </c>
      <c r="C369" s="10" t="n">
        <v>1.9127</v>
      </c>
      <c r="D369" s="10" t="n">
        <f aca="false">IF(OR(B369="",C369="",B369&lt;=0.05,C369&lt;=0.05),0,1)</f>
        <v>1</v>
      </c>
      <c r="E369" s="25" t="n">
        <f aca="false">IF(OR(A369&lt;Resumen!$B$6,A369&gt;=Resumen!$B$7),0,MAX(0,AVERAGEIFS(B321:B417,D321:D417,1)-Resumen!$B$5*AVERAGEIFS(C321:C417,D321:D417,1)))</f>
        <v>0</v>
      </c>
      <c r="F369" s="10" t="n">
        <f aca="false">IF(B369="","",(B369-E369)/Resumen!$B$5)</f>
        <v>1.65655281969817</v>
      </c>
      <c r="G369" s="10" t="n">
        <f aca="false">IF(OR(F369="",C369=""),0,(F369-C369)*0.9)</f>
        <v>-0.230532462271644</v>
      </c>
      <c r="H369" s="26" t="str">
        <f aca="false">IF(A369&lt;Resumen!$B$11,"",IF(H368="",0,H368)+G369/Resumen!$B$9)</f>
        <v/>
      </c>
      <c r="I369" s="26" t="str">
        <f aca="false">IF(H369="","",H369-AVERAGE(H321:H417))</f>
        <v/>
      </c>
      <c r="J369" s="27" t="str">
        <f aca="false">IF(I369="","",Resumen!$B$10-(MAX(I321:I417)-I369))</f>
        <v/>
      </c>
    </row>
    <row r="370" customFormat="false" ht="15" hidden="false" customHeight="false" outlineLevel="0" collapsed="false">
      <c r="A370" s="24" t="n">
        <v>46265.2291666667</v>
      </c>
      <c r="B370" s="10" t="n">
        <v>2.903</v>
      </c>
      <c r="C370" s="10" t="n">
        <v>2.3037</v>
      </c>
      <c r="D370" s="10" t="n">
        <f aca="false">IF(OR(B370="",C370="",B370&lt;=0.05,C370&lt;=0.05),0,1)</f>
        <v>1</v>
      </c>
      <c r="E370" s="25" t="n">
        <f aca="false">IF(OR(A370&lt;Resumen!$B$6,A370&gt;=Resumen!$B$7),0,MAX(0,AVERAGEIFS(B322:B418,D322:D418,1)-Resumen!$B$5*AVERAGEIFS(C322:C418,D322:D418,1)))</f>
        <v>0</v>
      </c>
      <c r="F370" s="10" t="n">
        <f aca="false">IF(B370="","",(B370-E370)/Resumen!$B$5)</f>
        <v>2.30579825258141</v>
      </c>
      <c r="G370" s="10" t="n">
        <f aca="false">IF(OR(F370="",C370=""),0,(F370-C370)*0.9)</f>
        <v>0.00188842732327275</v>
      </c>
      <c r="H370" s="26" t="str">
        <f aca="false">IF(A370&lt;Resumen!$B$11,"",IF(H369="",0,H369)+G370/Resumen!$B$9)</f>
        <v/>
      </c>
      <c r="I370" s="26" t="str">
        <f aca="false">IF(H370="","",H370-AVERAGE(H322:H418))</f>
        <v/>
      </c>
      <c r="J370" s="27" t="str">
        <f aca="false">IF(I370="","",Resumen!$B$10-(MAX(I322:I418)-I370))</f>
        <v/>
      </c>
    </row>
    <row r="371" customFormat="false" ht="15" hidden="false" customHeight="false" outlineLevel="0" collapsed="false">
      <c r="A371" s="24" t="n">
        <v>46265.2395833333</v>
      </c>
      <c r="B371" s="10" t="n">
        <v>2.2505</v>
      </c>
      <c r="C371" s="10" t="n">
        <v>1.8019</v>
      </c>
      <c r="D371" s="10" t="n">
        <f aca="false">IF(OR(B371="",C371="",B371&lt;=0.05,C371&lt;=0.05),0,1)</f>
        <v>1</v>
      </c>
      <c r="E371" s="25" t="n">
        <f aca="false">IF(OR(A371&lt;Resumen!$B$6,A371&gt;=Resumen!$B$7),0,MAX(0,AVERAGEIFS(B323:B419,D323:D419,1)-Resumen!$B$5*AVERAGEIFS(C323:C419,D323:D419,1)))</f>
        <v>0</v>
      </c>
      <c r="F371" s="10" t="n">
        <f aca="false">IF(B371="","",(B371-E371)/Resumen!$B$5)</f>
        <v>1.78752978554408</v>
      </c>
      <c r="G371" s="10" t="n">
        <f aca="false">IF(OR(F371="",C371=""),0,(F371-C371)*0.9)</f>
        <v>-0.0129331930103255</v>
      </c>
      <c r="H371" s="26" t="str">
        <f aca="false">IF(A371&lt;Resumen!$B$11,"",IF(H370="",0,H370)+G371/Resumen!$B$9)</f>
        <v/>
      </c>
      <c r="I371" s="26" t="str">
        <f aca="false">IF(H371="","",H371-AVERAGE(H323:H419))</f>
        <v/>
      </c>
      <c r="J371" s="27" t="str">
        <f aca="false">IF(I371="","",Resumen!$B$10-(MAX(I323:I419)-I371))</f>
        <v/>
      </c>
    </row>
    <row r="372" customFormat="false" ht="15" hidden="false" customHeight="false" outlineLevel="0" collapsed="false">
      <c r="A372" s="24" t="n">
        <v>46265.25</v>
      </c>
      <c r="B372" s="10" t="n">
        <v>2.2347</v>
      </c>
      <c r="C372" s="10" t="n">
        <v>2.2296</v>
      </c>
      <c r="D372" s="10" t="n">
        <f aca="false">IF(OR(B372="",C372="",B372&lt;=0.05,C372&lt;=0.05),0,1)</f>
        <v>1</v>
      </c>
      <c r="E372" s="25" t="n">
        <f aca="false">IF(OR(A372&lt;Resumen!$B$6,A372&gt;=Resumen!$B$7),0,MAX(0,AVERAGEIFS(B324:B420,D324:D420,1)-Resumen!$B$5*AVERAGEIFS(C324:C420,D324:D420,1)))</f>
        <v>0</v>
      </c>
      <c r="F372" s="10" t="n">
        <f aca="false">IF(B372="","",(B372-E372)/Resumen!$B$5)</f>
        <v>1.77498014297061</v>
      </c>
      <c r="G372" s="10" t="n">
        <f aca="false">IF(OR(F372="",C372=""),0,(F372-C372)*0.9)</f>
        <v>-0.409157871326449</v>
      </c>
      <c r="H372" s="26" t="str">
        <f aca="false">IF(A372&lt;Resumen!$B$11,"",IF(H371="",0,H371)+G372/Resumen!$B$9)</f>
        <v/>
      </c>
      <c r="I372" s="26" t="str">
        <f aca="false">IF(H372="","",H372-AVERAGE(H324:H420))</f>
        <v/>
      </c>
      <c r="J372" s="27" t="str">
        <f aca="false">IF(I372="","",Resumen!$B$10-(MAX(I324:I420)-I372))</f>
        <v/>
      </c>
    </row>
    <row r="373" customFormat="false" ht="15" hidden="false" customHeight="false" outlineLevel="0" collapsed="false">
      <c r="A373" s="24" t="n">
        <v>46265.2604166667</v>
      </c>
      <c r="B373" s="10" t="n">
        <v>3.2383</v>
      </c>
      <c r="C373" s="10" t="n">
        <v>2.0781</v>
      </c>
      <c r="D373" s="10" t="n">
        <f aca="false">IF(OR(B373="",C373="",B373&lt;=0.05,C373&lt;=0.05),0,1)</f>
        <v>1</v>
      </c>
      <c r="E373" s="25" t="n">
        <f aca="false">IF(OR(A373&lt;Resumen!$B$6,A373&gt;=Resumen!$B$7),0,MAX(0,AVERAGEIFS(B325:B421,D325:D421,1)-Resumen!$B$5*AVERAGEIFS(C325:C421,D325:D421,1)))</f>
        <v>0</v>
      </c>
      <c r="F373" s="10" t="n">
        <f aca="false">IF(B373="","",(B373-E373)/Resumen!$B$5)</f>
        <v>2.57212073073868</v>
      </c>
      <c r="G373" s="10" t="n">
        <f aca="false">IF(OR(F373="",C373=""),0,(F373-C373)*0.9)</f>
        <v>0.444618657664814</v>
      </c>
      <c r="H373" s="26" t="str">
        <f aca="false">IF(A373&lt;Resumen!$B$11,"",IF(H372="",0,H372)+G373/Resumen!$B$9)</f>
        <v/>
      </c>
      <c r="I373" s="26" t="str">
        <f aca="false">IF(H373="","",H373-AVERAGE(H325:H421))</f>
        <v/>
      </c>
      <c r="J373" s="27" t="str">
        <f aca="false">IF(I373="","",Resumen!$B$10-(MAX(I325:I421)-I373))</f>
        <v/>
      </c>
    </row>
    <row r="374" customFormat="false" ht="15" hidden="false" customHeight="false" outlineLevel="0" collapsed="false">
      <c r="A374" s="24" t="n">
        <v>46265.2708333333</v>
      </c>
      <c r="B374" s="10" t="n">
        <v>2.8862</v>
      </c>
      <c r="C374" s="10" t="n">
        <v>2.6701</v>
      </c>
      <c r="D374" s="10" t="n">
        <f aca="false">IF(OR(B374="",C374="",B374&lt;=0.05,C374&lt;=0.05),0,1)</f>
        <v>1</v>
      </c>
      <c r="E374" s="25" t="n">
        <f aca="false">IF(OR(A374&lt;Resumen!$B$6,A374&gt;=Resumen!$B$7),0,MAX(0,AVERAGEIFS(B326:B422,D326:D422,1)-Resumen!$B$5*AVERAGEIFS(C326:C422,D326:D422,1)))</f>
        <v>0</v>
      </c>
      <c r="F374" s="10" t="n">
        <f aca="false">IF(B374="","",(B374-E374)/Resumen!$B$5)</f>
        <v>2.29245432883241</v>
      </c>
      <c r="G374" s="10" t="n">
        <f aca="false">IF(OR(F374="",C374=""),0,(F374-C374)*0.9)</f>
        <v>-0.339881104050834</v>
      </c>
      <c r="H374" s="26" t="str">
        <f aca="false">IF(A374&lt;Resumen!$B$11,"",IF(H373="",0,H373)+G374/Resumen!$B$9)</f>
        <v/>
      </c>
      <c r="I374" s="26" t="str">
        <f aca="false">IF(H374="","",H374-AVERAGE(H326:H422))</f>
        <v/>
      </c>
      <c r="J374" s="27" t="str">
        <f aca="false">IF(I374="","",Resumen!$B$10-(MAX(I326:I422)-I374))</f>
        <v/>
      </c>
    </row>
    <row r="375" customFormat="false" ht="15" hidden="false" customHeight="false" outlineLevel="0" collapsed="false">
      <c r="A375" s="24" t="n">
        <v>46265.28125</v>
      </c>
      <c r="B375" s="10" t="n">
        <v>2.9478</v>
      </c>
      <c r="C375" s="10" t="n">
        <v>2.6505</v>
      </c>
      <c r="D375" s="10" t="n">
        <f aca="false">IF(OR(B375="",C375="",B375&lt;=0.05,C375&lt;=0.05),0,1)</f>
        <v>1</v>
      </c>
      <c r="E375" s="25" t="n">
        <f aca="false">IF(OR(A375&lt;Resumen!$B$6,A375&gt;=Resumen!$B$7),0,MAX(0,AVERAGEIFS(B327:B423,D327:D423,1)-Resumen!$B$5*AVERAGEIFS(C327:C423,D327:D423,1)))</f>
        <v>0</v>
      </c>
      <c r="F375" s="10" t="n">
        <f aca="false">IF(B375="","",(B375-E375)/Resumen!$B$5)</f>
        <v>2.34138204924543</v>
      </c>
      <c r="G375" s="10" t="n">
        <f aca="false">IF(OR(F375="",C375=""),0,(F375-C375)*0.9)</f>
        <v>-0.27820615567911</v>
      </c>
      <c r="H375" s="26" t="str">
        <f aca="false">IF(A375&lt;Resumen!$B$11,"",IF(H374="",0,H374)+G375/Resumen!$B$9)</f>
        <v/>
      </c>
      <c r="I375" s="26" t="str">
        <f aca="false">IF(H375="","",H375-AVERAGE(H327:H423))</f>
        <v/>
      </c>
      <c r="J375" s="27" t="str">
        <f aca="false">IF(I375="","",Resumen!$B$10-(MAX(I327:I423)-I375))</f>
        <v/>
      </c>
    </row>
    <row r="376" customFormat="false" ht="15" hidden="false" customHeight="false" outlineLevel="0" collapsed="false">
      <c r="A376" s="24" t="n">
        <v>46265.2916666667</v>
      </c>
      <c r="B376" s="10" t="n">
        <v>3.6086</v>
      </c>
      <c r="C376" s="10" t="n">
        <v>2.6003</v>
      </c>
      <c r="D376" s="10" t="n">
        <f aca="false">IF(OR(B376="",C376="",B376&lt;=0.05,C376&lt;=0.05),0,1)</f>
        <v>1</v>
      </c>
      <c r="E376" s="25" t="n">
        <f aca="false">IF(OR(A376&lt;Resumen!$B$6,A376&gt;=Resumen!$B$7),0,MAX(0,AVERAGEIFS(B328:B424,D328:D424,1)-Resumen!$B$5*AVERAGEIFS(C328:C424,D328:D424,1)))</f>
        <v>0</v>
      </c>
      <c r="F376" s="10" t="n">
        <f aca="false">IF(B376="","",(B376-E376)/Resumen!$B$5)</f>
        <v>2.86624305003971</v>
      </c>
      <c r="G376" s="10" t="n">
        <f aca="false">IF(OR(F376="",C376=""),0,(F376-C376)*0.9)</f>
        <v>0.239348745035743</v>
      </c>
      <c r="H376" s="26" t="str">
        <f aca="false">IF(A376&lt;Resumen!$B$11,"",IF(H375="",0,H375)+G376/Resumen!$B$9)</f>
        <v/>
      </c>
      <c r="I376" s="26" t="str">
        <f aca="false">IF(H376="","",H376-AVERAGE(H328:H424))</f>
        <v/>
      </c>
      <c r="J376" s="27" t="str">
        <f aca="false">IF(I376="","",Resumen!$B$10-(MAX(I328:I424)-I376))</f>
        <v/>
      </c>
    </row>
    <row r="377" customFormat="false" ht="15" hidden="false" customHeight="false" outlineLevel="0" collapsed="false">
      <c r="A377" s="24" t="n">
        <v>46265.3020833333</v>
      </c>
      <c r="B377" s="10" t="n">
        <v>4.5431</v>
      </c>
      <c r="C377" s="10" t="n">
        <v>3.2017</v>
      </c>
      <c r="D377" s="10" t="n">
        <f aca="false">IF(OR(B377="",C377="",B377&lt;=0.05,C377&lt;=0.05),0,1)</f>
        <v>1</v>
      </c>
      <c r="E377" s="25" t="n">
        <f aca="false">IF(OR(A377&lt;Resumen!$B$6,A377&gt;=Resumen!$B$7),0,MAX(0,AVERAGEIFS(B329:B425,D329:D425,1)-Resumen!$B$5*AVERAGEIFS(C329:C425,D329:D425,1)))</f>
        <v>0</v>
      </c>
      <c r="F377" s="10" t="n">
        <f aca="false">IF(B377="","",(B377-E377)/Resumen!$B$5)</f>
        <v>3.60849880857824</v>
      </c>
      <c r="G377" s="10" t="n">
        <f aca="false">IF(OR(F377="",C377=""),0,(F377-C377)*0.9)</f>
        <v>0.366118927720413</v>
      </c>
      <c r="H377" s="26" t="str">
        <f aca="false">IF(A377&lt;Resumen!$B$11,"",IF(H376="",0,H376)+G377/Resumen!$B$9)</f>
        <v/>
      </c>
      <c r="I377" s="26" t="str">
        <f aca="false">IF(H377="","",H377-AVERAGE(H329:H425))</f>
        <v/>
      </c>
      <c r="J377" s="27" t="str">
        <f aca="false">IF(I377="","",Resumen!$B$10-(MAX(I329:I425)-I377))</f>
        <v/>
      </c>
    </row>
    <row r="378" customFormat="false" ht="15" hidden="false" customHeight="false" outlineLevel="0" collapsed="false">
      <c r="A378" s="24" t="n">
        <v>46265.3125</v>
      </c>
      <c r="B378" s="10" t="n">
        <v>4.5679</v>
      </c>
      <c r="C378" s="10" t="n">
        <v>3.5415</v>
      </c>
      <c r="D378" s="10" t="n">
        <f aca="false">IF(OR(B378="",C378="",B378&lt;=0.05,C378&lt;=0.05),0,1)</f>
        <v>1</v>
      </c>
      <c r="E378" s="25" t="n">
        <f aca="false">IF(OR(A378&lt;Resumen!$B$6,A378&gt;=Resumen!$B$7),0,MAX(0,AVERAGEIFS(B330:B426,D330:D426,1)-Resumen!$B$5*AVERAGEIFS(C330:C426,D330:D426,1)))</f>
        <v>0</v>
      </c>
      <c r="F378" s="10" t="n">
        <f aca="false">IF(B378="","",(B378-E378)/Resumen!$B$5)</f>
        <v>3.62819698173153</v>
      </c>
      <c r="G378" s="10" t="n">
        <f aca="false">IF(OR(F378="",C378=""),0,(F378-C378)*0.9)</f>
        <v>0.0780272835583796</v>
      </c>
      <c r="H378" s="26" t="str">
        <f aca="false">IF(A378&lt;Resumen!$B$11,"",IF(H377="",0,H377)+G378/Resumen!$B$9)</f>
        <v/>
      </c>
      <c r="I378" s="26" t="str">
        <f aca="false">IF(H378="","",H378-AVERAGE(H330:H426))</f>
        <v/>
      </c>
      <c r="J378" s="27" t="str">
        <f aca="false">IF(I378="","",Resumen!$B$10-(MAX(I330:I426)-I378))</f>
        <v/>
      </c>
    </row>
    <row r="379" customFormat="false" ht="15" hidden="false" customHeight="false" outlineLevel="0" collapsed="false">
      <c r="A379" s="24" t="n">
        <v>46265.3229166667</v>
      </c>
      <c r="B379" s="10" t="n">
        <v>3.5132</v>
      </c>
      <c r="C379" s="10" t="n">
        <v>2.872</v>
      </c>
      <c r="D379" s="10" t="n">
        <f aca="false">IF(OR(B379="",C379="",B379&lt;=0.05,C379&lt;=0.05),0,1)</f>
        <v>1</v>
      </c>
      <c r="E379" s="25" t="n">
        <f aca="false">IF(OR(A379&lt;Resumen!$B$6,A379&gt;=Resumen!$B$7),0,MAX(0,AVERAGEIFS(B331:B427,D331:D427,1)-Resumen!$B$5*AVERAGEIFS(C331:C427,D331:D427,1)))</f>
        <v>0</v>
      </c>
      <c r="F379" s="10" t="n">
        <f aca="false">IF(B379="","",(B379-E379)/Resumen!$B$5)</f>
        <v>2.79046862589357</v>
      </c>
      <c r="G379" s="10" t="n">
        <f aca="false">IF(OR(F379="",C379=""),0,(F379-C379)*0.9)</f>
        <v>-0.0733782366957901</v>
      </c>
      <c r="H379" s="26" t="str">
        <f aca="false">IF(A379&lt;Resumen!$B$11,"",IF(H378="",0,H378)+G379/Resumen!$B$9)</f>
        <v/>
      </c>
      <c r="I379" s="26" t="str">
        <f aca="false">IF(H379="","",H379-AVERAGE(H331:H427))</f>
        <v/>
      </c>
      <c r="J379" s="27" t="str">
        <f aca="false">IF(I379="","",Resumen!$B$10-(MAX(I331:I427)-I379))</f>
        <v/>
      </c>
    </row>
    <row r="380" customFormat="false" ht="15" hidden="false" customHeight="false" outlineLevel="0" collapsed="false">
      <c r="A380" s="24" t="n">
        <v>46265.3333333333</v>
      </c>
      <c r="B380" s="10" t="n">
        <v>4.8831</v>
      </c>
      <c r="C380" s="10" t="n">
        <v>3.9604</v>
      </c>
      <c r="D380" s="10" t="n">
        <f aca="false">IF(OR(B380="",C380="",B380&lt;=0.05,C380&lt;=0.05),0,1)</f>
        <v>1</v>
      </c>
      <c r="E380" s="25" t="n">
        <f aca="false">IF(OR(A380&lt;Resumen!$B$6,A380&gt;=Resumen!$B$7),0,MAX(0,AVERAGEIFS(B332:B428,D332:D428,1)-Resumen!$B$5*AVERAGEIFS(C332:C428,D332:D428,1)))</f>
        <v>0</v>
      </c>
      <c r="F380" s="10" t="n">
        <f aca="false">IF(B380="","",(B380-E380)/Resumen!$B$5)</f>
        <v>3.87855440826052</v>
      </c>
      <c r="G380" s="10" t="n">
        <f aca="false">IF(OR(F380="",C380=""),0,(F380-C380)*0.9)</f>
        <v>-0.073661032565528</v>
      </c>
      <c r="H380" s="26" t="str">
        <f aca="false">IF(A380&lt;Resumen!$B$11,"",IF(H379="",0,H379)+G380/Resumen!$B$9)</f>
        <v/>
      </c>
      <c r="I380" s="26" t="str">
        <f aca="false">IF(H380="","",H380-AVERAGE(H332:H428))</f>
        <v/>
      </c>
      <c r="J380" s="27" t="str">
        <f aca="false">IF(I380="","",Resumen!$B$10-(MAX(I332:I428)-I380))</f>
        <v/>
      </c>
    </row>
    <row r="381" customFormat="false" ht="15" hidden="false" customHeight="false" outlineLevel="0" collapsed="false">
      <c r="A381" s="24" t="n">
        <v>46265.34375</v>
      </c>
      <c r="B381" s="10" t="n">
        <v>4.3189</v>
      </c>
      <c r="C381" s="10" t="n">
        <v>3.8589</v>
      </c>
      <c r="D381" s="10" t="n">
        <f aca="false">IF(OR(B381="",C381="",B381&lt;=0.05,C381&lt;=0.05),0,1)</f>
        <v>1</v>
      </c>
      <c r="E381" s="25" t="n">
        <f aca="false">IF(OR(A381&lt;Resumen!$B$6,A381&gt;=Resumen!$B$7),0,MAX(0,AVERAGEIFS(B333:B429,D333:D429,1)-Resumen!$B$5*AVERAGEIFS(C333:C429,D333:D429,1)))</f>
        <v>0</v>
      </c>
      <c r="F381" s="10" t="n">
        <f aca="false">IF(B381="","",(B381-E381)/Resumen!$B$5)</f>
        <v>3.43042096902303</v>
      </c>
      <c r="G381" s="10" t="n">
        <f aca="false">IF(OR(F381="",C381=""),0,(F381-C381)*0.9)</f>
        <v>-0.385631127879269</v>
      </c>
      <c r="H381" s="26" t="str">
        <f aca="false">IF(A381&lt;Resumen!$B$11,"",IF(H380="",0,H380)+G381/Resumen!$B$9)</f>
        <v/>
      </c>
      <c r="I381" s="26" t="str">
        <f aca="false">IF(H381="","",H381-AVERAGE(H333:H429))</f>
        <v/>
      </c>
      <c r="J381" s="27" t="str">
        <f aca="false">IF(I381="","",Resumen!$B$10-(MAX(I333:I429)-I381))</f>
        <v/>
      </c>
    </row>
    <row r="382" customFormat="false" ht="15" hidden="false" customHeight="false" outlineLevel="0" collapsed="false">
      <c r="A382" s="24" t="n">
        <v>46265.3541666667</v>
      </c>
      <c r="B382" s="10" t="n">
        <v>4.2709</v>
      </c>
      <c r="C382" s="10" t="n">
        <v>4.0508</v>
      </c>
      <c r="D382" s="10" t="n">
        <f aca="false">IF(OR(B382="",C382="",B382&lt;=0.05,C382&lt;=0.05),0,1)</f>
        <v>1</v>
      </c>
      <c r="E382" s="25" t="n">
        <f aca="false">IF(OR(A382&lt;Resumen!$B$6,A382&gt;=Resumen!$B$7),0,MAX(0,AVERAGEIFS(B334:B430,D334:D430,1)-Resumen!$B$5*AVERAGEIFS(C334:C430,D334:D430,1)))</f>
        <v>0</v>
      </c>
      <c r="F382" s="10" t="n">
        <f aca="false">IF(B382="","",(B382-E382)/Resumen!$B$5)</f>
        <v>3.3922954725973</v>
      </c>
      <c r="G382" s="10" t="n">
        <f aca="false">IF(OR(F382="",C382=""),0,(F382-C382)*0.9)</f>
        <v>-0.59265407466243</v>
      </c>
      <c r="H382" s="26" t="str">
        <f aca="false">IF(A382&lt;Resumen!$B$11,"",IF(H381="",0,H381)+G382/Resumen!$B$9)</f>
        <v/>
      </c>
      <c r="I382" s="26" t="str">
        <f aca="false">IF(H382="","",H382-AVERAGE(H334:H430))</f>
        <v/>
      </c>
      <c r="J382" s="27" t="str">
        <f aca="false">IF(I382="","",Resumen!$B$10-(MAX(I334:I430)-I382))</f>
        <v/>
      </c>
    </row>
    <row r="383" customFormat="false" ht="15" hidden="false" customHeight="false" outlineLevel="0" collapsed="false">
      <c r="A383" s="24" t="n">
        <v>46265.3645833333</v>
      </c>
      <c r="B383" s="10" t="n">
        <v>5.4363</v>
      </c>
      <c r="C383" s="10" t="n">
        <v>4.4667</v>
      </c>
      <c r="D383" s="10" t="n">
        <f aca="false">IF(OR(B383="",C383="",B383&lt;=0.05,C383&lt;=0.05),0,1)</f>
        <v>1</v>
      </c>
      <c r="E383" s="25" t="n">
        <f aca="false">IF(OR(A383&lt;Resumen!$B$6,A383&gt;=Resumen!$B$7),0,MAX(0,AVERAGEIFS(B335:B431,D335:D431,1)-Resumen!$B$5*AVERAGEIFS(C335:C431,D335:D431,1)))</f>
        <v>0</v>
      </c>
      <c r="F383" s="10" t="n">
        <f aca="false">IF(B383="","",(B383-E383)/Resumen!$B$5)</f>
        <v>4.31795075456712</v>
      </c>
      <c r="G383" s="10" t="n">
        <f aca="false">IF(OR(F383="",C383=""),0,(F383-C383)*0.9)</f>
        <v>-0.133874320889595</v>
      </c>
      <c r="H383" s="26" t="str">
        <f aca="false">IF(A383&lt;Resumen!$B$11,"",IF(H382="",0,H382)+G383/Resumen!$B$9)</f>
        <v/>
      </c>
      <c r="I383" s="26" t="str">
        <f aca="false">IF(H383="","",H383-AVERAGE(H335:H431))</f>
        <v/>
      </c>
      <c r="J383" s="27" t="str">
        <f aca="false">IF(I383="","",Resumen!$B$10-(MAX(I335:I431)-I383))</f>
        <v/>
      </c>
    </row>
    <row r="384" customFormat="false" ht="15" hidden="false" customHeight="false" outlineLevel="0" collapsed="false">
      <c r="A384" s="24" t="n">
        <v>46265.375</v>
      </c>
      <c r="B384" s="10" t="n">
        <v>7.0929</v>
      </c>
      <c r="C384" s="10" t="n">
        <v>5.5756</v>
      </c>
      <c r="D384" s="10" t="n">
        <f aca="false">IF(OR(B384="",C384="",B384&lt;=0.05,C384&lt;=0.05),0,1)</f>
        <v>1</v>
      </c>
      <c r="E384" s="25" t="n">
        <f aca="false">IF(OR(A384&lt;Resumen!$B$6,A384&gt;=Resumen!$B$7),0,MAX(0,AVERAGEIFS(B336:B432,D336:D432,1)-Resumen!$B$5*AVERAGEIFS(C336:C432,D336:D432,1)))</f>
        <v>0</v>
      </c>
      <c r="F384" s="10" t="n">
        <f aca="false">IF(B384="","",(B384-E384)/Resumen!$B$5)</f>
        <v>5.63375694996029</v>
      </c>
      <c r="G384" s="10" t="n">
        <f aca="false">IF(OR(F384="",C384=""),0,(F384-C384)*0.9)</f>
        <v>0.0523412549642581</v>
      </c>
      <c r="H384" s="26" t="str">
        <f aca="false">IF(A384&lt;Resumen!$B$11,"",IF(H383="",0,H383)+G384/Resumen!$B$9)</f>
        <v/>
      </c>
      <c r="I384" s="26" t="str">
        <f aca="false">IF(H384="","",H384-AVERAGE(H336:H432))</f>
        <v/>
      </c>
      <c r="J384" s="27" t="str">
        <f aca="false">IF(I384="","",Resumen!$B$10-(MAX(I336:I432)-I384))</f>
        <v/>
      </c>
    </row>
    <row r="385" customFormat="false" ht="15" hidden="false" customHeight="false" outlineLevel="0" collapsed="false">
      <c r="A385" s="24" t="n">
        <v>46265.3854166667</v>
      </c>
      <c r="B385" s="10" t="n">
        <v>5.6312</v>
      </c>
      <c r="C385" s="10" t="n">
        <v>4.9432</v>
      </c>
      <c r="D385" s="10" t="n">
        <f aca="false">IF(OR(B385="",C385="",B385&lt;=0.05,C385&lt;=0.05),0,1)</f>
        <v>1</v>
      </c>
      <c r="E385" s="25" t="n">
        <f aca="false">IF(OR(A385&lt;Resumen!$B$6,A385&gt;=Resumen!$B$7),0,MAX(0,AVERAGEIFS(B337:B433,D337:D433,1)-Resumen!$B$5*AVERAGEIFS(C337:C433,D337:D433,1)))</f>
        <v>0</v>
      </c>
      <c r="F385" s="10" t="n">
        <f aca="false">IF(B385="","",(B385-E385)/Resumen!$B$5)</f>
        <v>4.47275615567911</v>
      </c>
      <c r="G385" s="10" t="n">
        <f aca="false">IF(OR(F385="",C385=""),0,(F385-C385)*0.9)</f>
        <v>-0.4233994598888</v>
      </c>
      <c r="H385" s="26" t="str">
        <f aca="false">IF(A385&lt;Resumen!$B$11,"",IF(H384="",0,H384)+G385/Resumen!$B$9)</f>
        <v/>
      </c>
      <c r="I385" s="26" t="str">
        <f aca="false">IF(H385="","",H385-AVERAGE(H337:H433))</f>
        <v/>
      </c>
      <c r="J385" s="27" t="str">
        <f aca="false">IF(I385="","",Resumen!$B$10-(MAX(I337:I433)-I385))</f>
        <v/>
      </c>
    </row>
    <row r="386" customFormat="false" ht="15" hidden="false" customHeight="false" outlineLevel="0" collapsed="false">
      <c r="A386" s="24" t="n">
        <v>46265.3958333333</v>
      </c>
      <c r="B386" s="10" t="n">
        <v>6.5465</v>
      </c>
      <c r="C386" s="10" t="n">
        <v>5.1219</v>
      </c>
      <c r="D386" s="10" t="n">
        <f aca="false">IF(OR(B386="",C386="",B386&lt;=0.05,C386&lt;=0.05),0,1)</f>
        <v>1</v>
      </c>
      <c r="E386" s="25" t="n">
        <f aca="false">IF(OR(A386&lt;Resumen!$B$6,A386&gt;=Resumen!$B$7),0,MAX(0,AVERAGEIFS(B338:B434,D338:D434,1)-Resumen!$B$5*AVERAGEIFS(C338:C434,D338:D434,1)))</f>
        <v>0</v>
      </c>
      <c r="F386" s="10" t="n">
        <f aca="false">IF(B386="","",(B386-E386)/Resumen!$B$5)</f>
        <v>5.19976171564734</v>
      </c>
      <c r="G386" s="10" t="n">
        <f aca="false">IF(OR(F386="",C386=""),0,(F386-C386)*0.9)</f>
        <v>0.0700755440826052</v>
      </c>
      <c r="H386" s="26" t="str">
        <f aca="false">IF(A386&lt;Resumen!$B$11,"",IF(H385="",0,H385)+G386/Resumen!$B$9)</f>
        <v/>
      </c>
      <c r="I386" s="26" t="str">
        <f aca="false">IF(H386="","",H386-AVERAGE(H338:H434))</f>
        <v/>
      </c>
      <c r="J386" s="27" t="str">
        <f aca="false">IF(I386="","",Resumen!$B$10-(MAX(I338:I434)-I386))</f>
        <v/>
      </c>
    </row>
    <row r="387" customFormat="false" ht="15" hidden="false" customHeight="false" outlineLevel="0" collapsed="false">
      <c r="A387" s="24" t="n">
        <v>46265.40625</v>
      </c>
      <c r="B387" s="10" t="n">
        <v>6.4177</v>
      </c>
      <c r="C387" s="10" t="n">
        <v>5.1217</v>
      </c>
      <c r="D387" s="10" t="n">
        <f aca="false">IF(OR(B387="",C387="",B387&lt;=0.05,C387&lt;=0.05),0,1)</f>
        <v>1</v>
      </c>
      <c r="E387" s="25" t="n">
        <f aca="false">IF(OR(A387&lt;Resumen!$B$6,A387&gt;=Resumen!$B$7),0,MAX(0,AVERAGEIFS(B339:B435,D339:D435,1)-Resumen!$B$5*AVERAGEIFS(C339:C435,D339:D435,1)))</f>
        <v>0</v>
      </c>
      <c r="F387" s="10" t="n">
        <f aca="false">IF(B387="","",(B387-E387)/Resumen!$B$5)</f>
        <v>5.09745830023828</v>
      </c>
      <c r="G387" s="10" t="n">
        <f aca="false">IF(OR(F387="",C387=""),0,(F387-C387)*0.9)</f>
        <v>-0.0218175297855437</v>
      </c>
      <c r="H387" s="26" t="str">
        <f aca="false">IF(A387&lt;Resumen!$B$11,"",IF(H386="",0,H386)+G387/Resumen!$B$9)</f>
        <v/>
      </c>
      <c r="I387" s="26" t="str">
        <f aca="false">IF(H387="","",H387-AVERAGE(H339:H435))</f>
        <v/>
      </c>
      <c r="J387" s="27" t="str">
        <f aca="false">IF(I387="","",Resumen!$B$10-(MAX(I339:I435)-I387))</f>
        <v/>
      </c>
    </row>
    <row r="388" customFormat="false" ht="15" hidden="false" customHeight="false" outlineLevel="0" collapsed="false">
      <c r="A388" s="24" t="n">
        <v>46265.4166666667</v>
      </c>
      <c r="B388" s="10" t="n">
        <v>6.2482</v>
      </c>
      <c r="C388" s="10" t="n">
        <v>5.0632</v>
      </c>
      <c r="D388" s="10" t="n">
        <f aca="false">IF(OR(B388="",C388="",B388&lt;=0.05,C388&lt;=0.05),0,1)</f>
        <v>1</v>
      </c>
      <c r="E388" s="25" t="n">
        <f aca="false">IF(OR(A388&lt;Resumen!$B$6,A388&gt;=Resumen!$B$7),0,MAX(0,AVERAGEIFS(B340:B436,D340:D436,1)-Resumen!$B$5*AVERAGEIFS(C340:C436,D340:D436,1)))</f>
        <v>0</v>
      </c>
      <c r="F388" s="10" t="n">
        <f aca="false">IF(B388="","",(B388-E388)/Resumen!$B$5)</f>
        <v>4.96282764098491</v>
      </c>
      <c r="G388" s="10" t="n">
        <f aca="false">IF(OR(F388="",C388=""),0,(F388-C388)*0.9)</f>
        <v>-0.0903351231135824</v>
      </c>
      <c r="H388" s="26" t="str">
        <f aca="false">IF(A388&lt;Resumen!$B$11,"",IF(H387="",0,H387)+G388/Resumen!$B$9)</f>
        <v/>
      </c>
      <c r="I388" s="26" t="str">
        <f aca="false">IF(H388="","",H388-AVERAGE(H340:H436))</f>
        <v/>
      </c>
      <c r="J388" s="27" t="str">
        <f aca="false">IF(I388="","",Resumen!$B$10-(MAX(I340:I436)-I388))</f>
        <v/>
      </c>
    </row>
    <row r="389" customFormat="false" ht="15" hidden="false" customHeight="false" outlineLevel="0" collapsed="false">
      <c r="A389" s="24" t="n">
        <v>46265.4270833333</v>
      </c>
      <c r="B389" s="10" t="n">
        <v>7.3985</v>
      </c>
      <c r="C389" s="10" t="n">
        <v>5.58</v>
      </c>
      <c r="D389" s="10" t="n">
        <f aca="false">IF(OR(B389="",C389="",B389&lt;=0.05,C389&lt;=0.05),0,1)</f>
        <v>1</v>
      </c>
      <c r="E389" s="25" t="n">
        <f aca="false">IF(OR(A389&lt;Resumen!$B$6,A389&gt;=Resumen!$B$7),0,MAX(0,AVERAGEIFS(B341:B437,D341:D437,1)-Resumen!$B$5*AVERAGEIFS(C341:C437,D341:D437,1)))</f>
        <v>0</v>
      </c>
      <c r="F389" s="10" t="n">
        <f aca="false">IF(B389="","",(B389-E389)/Resumen!$B$5)</f>
        <v>5.87648927720413</v>
      </c>
      <c r="G389" s="10" t="n">
        <f aca="false">IF(OR(F389="",C389=""),0,(F389-C389)*0.9)</f>
        <v>0.266840349483718</v>
      </c>
      <c r="H389" s="26" t="str">
        <f aca="false">IF(A389&lt;Resumen!$B$11,"",IF(H388="",0,H388)+G389/Resumen!$B$9)</f>
        <v/>
      </c>
      <c r="I389" s="26" t="str">
        <f aca="false">IF(H389="","",H389-AVERAGE(H341:H437))</f>
        <v/>
      </c>
      <c r="J389" s="27" t="str">
        <f aca="false">IF(I389="","",Resumen!$B$10-(MAX(I341:I437)-I389))</f>
        <v/>
      </c>
    </row>
    <row r="390" customFormat="false" ht="15" hidden="false" customHeight="false" outlineLevel="0" collapsed="false">
      <c r="A390" s="24" t="n">
        <v>46265.4375</v>
      </c>
      <c r="B390" s="10" t="n">
        <v>6.1201</v>
      </c>
      <c r="C390" s="10" t="n">
        <v>4.8297</v>
      </c>
      <c r="D390" s="10" t="n">
        <f aca="false">IF(OR(B390="",C390="",B390&lt;=0.05,C390&lt;=0.05),0,1)</f>
        <v>1</v>
      </c>
      <c r="E390" s="25" t="n">
        <f aca="false">IF(OR(A390&lt;Resumen!$B$6,A390&gt;=Resumen!$B$7),0,MAX(0,AVERAGEIFS(B342:B438,D342:D438,1)-Resumen!$B$5*AVERAGEIFS(C342:C438,D342:D438,1)))</f>
        <v>0</v>
      </c>
      <c r="F390" s="10" t="n">
        <f aca="false">IF(B390="","",(B390-E390)/Resumen!$B$5)</f>
        <v>4.86108022239873</v>
      </c>
      <c r="G390" s="10" t="n">
        <f aca="false">IF(OR(F390="",C390=""),0,(F390-C390)*0.9)</f>
        <v>0.0282422001588563</v>
      </c>
      <c r="H390" s="26" t="str">
        <f aca="false">IF(A390&lt;Resumen!$B$11,"",IF(H389="",0,H389)+G390/Resumen!$B$9)</f>
        <v/>
      </c>
      <c r="I390" s="26" t="str">
        <f aca="false">IF(H390="","",H390-AVERAGE(H342:H438))</f>
        <v/>
      </c>
      <c r="J390" s="27" t="str">
        <f aca="false">IF(I390="","",Resumen!$B$10-(MAX(I342:I438)-I390))</f>
        <v/>
      </c>
    </row>
    <row r="391" customFormat="false" ht="15" hidden="false" customHeight="false" outlineLevel="0" collapsed="false">
      <c r="A391" s="24" t="n">
        <v>46265.4479166667</v>
      </c>
      <c r="B391" s="10" t="n">
        <v>6.2934</v>
      </c>
      <c r="C391" s="10" t="n">
        <v>5.2719</v>
      </c>
      <c r="D391" s="10" t="n">
        <f aca="false">IF(OR(B391="",C391="",B391&lt;=0.05,C391&lt;=0.05),0,1)</f>
        <v>1</v>
      </c>
      <c r="E391" s="25" t="n">
        <f aca="false">IF(OR(A391&lt;Resumen!$B$6,A391&gt;=Resumen!$B$7),0,MAX(0,AVERAGEIFS(B343:B439,D343:D439,1)-Resumen!$B$5*AVERAGEIFS(C343:C439,D343:D439,1)))</f>
        <v>0</v>
      </c>
      <c r="F391" s="10" t="n">
        <f aca="false">IF(B391="","",(B391-E391)/Resumen!$B$5)</f>
        <v>4.99872915011914</v>
      </c>
      <c r="G391" s="10" t="n">
        <f aca="false">IF(OR(F391="",C391=""),0,(F391-C391)*0.9)</f>
        <v>-0.245853764892771</v>
      </c>
      <c r="H391" s="26" t="str">
        <f aca="false">IF(A391&lt;Resumen!$B$11,"",IF(H390="",0,H390)+G391/Resumen!$B$9)</f>
        <v/>
      </c>
      <c r="I391" s="26" t="str">
        <f aca="false">IF(H391="","",H391-AVERAGE(H343:H439))</f>
        <v/>
      </c>
      <c r="J391" s="27" t="str">
        <f aca="false">IF(I391="","",Resumen!$B$10-(MAX(I343:I439)-I391))</f>
        <v/>
      </c>
    </row>
    <row r="392" customFormat="false" ht="15" hidden="false" customHeight="false" outlineLevel="0" collapsed="false">
      <c r="A392" s="24" t="n">
        <v>46265.4583333333</v>
      </c>
      <c r="B392" s="10" t="n">
        <v>6.1058</v>
      </c>
      <c r="C392" s="10" t="n">
        <v>4.7881</v>
      </c>
      <c r="D392" s="10" t="n">
        <f aca="false">IF(OR(B392="",C392="",B392&lt;=0.05,C392&lt;=0.05),0,1)</f>
        <v>1</v>
      </c>
      <c r="E392" s="25" t="n">
        <f aca="false">IF(OR(A392&lt;Resumen!$B$6,A392&gt;=Resumen!$B$7),0,MAX(0,AVERAGEIFS(B344:B440,D344:D440,1)-Resumen!$B$5*AVERAGEIFS(C344:C440,D344:D440,1)))</f>
        <v>0</v>
      </c>
      <c r="F392" s="10" t="n">
        <f aca="false">IF(B392="","",(B392-E392)/Resumen!$B$5)</f>
        <v>4.84972200158856</v>
      </c>
      <c r="G392" s="10" t="n">
        <f aca="false">IF(OR(F392="",C392=""),0,(F392-C392)*0.9)</f>
        <v>0.0554598014297066</v>
      </c>
      <c r="H392" s="26" t="str">
        <f aca="false">IF(A392&lt;Resumen!$B$11,"",IF(H391="",0,H391)+G392/Resumen!$B$9)</f>
        <v/>
      </c>
      <c r="I392" s="26" t="str">
        <f aca="false">IF(H392="","",H392-AVERAGE(H344:H440))</f>
        <v/>
      </c>
      <c r="J392" s="27" t="str">
        <f aca="false">IF(I392="","",Resumen!$B$10-(MAX(I344:I440)-I392))</f>
        <v/>
      </c>
    </row>
    <row r="393" customFormat="false" ht="15" hidden="false" customHeight="false" outlineLevel="0" collapsed="false">
      <c r="A393" s="24" t="n">
        <v>46265.46875</v>
      </c>
      <c r="B393" s="10" t="n">
        <v>6.9806</v>
      </c>
      <c r="C393" s="10" t="n">
        <v>5.3549</v>
      </c>
      <c r="D393" s="10" t="n">
        <f aca="false">IF(OR(B393="",C393="",B393&lt;=0.05,C393&lt;=0.05),0,1)</f>
        <v>1</v>
      </c>
      <c r="E393" s="25" t="n">
        <f aca="false">IF(OR(A393&lt;Resumen!$B$6,A393&gt;=Resumen!$B$7),0,MAX(0,AVERAGEIFS(B345:B441,D345:D441,1)-Resumen!$B$5*AVERAGEIFS(C345:C441,D345:D441,1)))</f>
        <v>0</v>
      </c>
      <c r="F393" s="10" t="n">
        <f aca="false">IF(B393="","",(B393-E393)/Resumen!$B$5)</f>
        <v>5.54455917394758</v>
      </c>
      <c r="G393" s="10" t="n">
        <f aca="false">IF(OR(F393="",C393=""),0,(F393-C393)*0.9)</f>
        <v>0.17069325655282</v>
      </c>
      <c r="H393" s="26" t="str">
        <f aca="false">IF(A393&lt;Resumen!$B$11,"",IF(H392="",0,H392)+G393/Resumen!$B$9)</f>
        <v/>
      </c>
      <c r="I393" s="26" t="str">
        <f aca="false">IF(H393="","",H393-AVERAGE(H345:H441))</f>
        <v/>
      </c>
      <c r="J393" s="27" t="str">
        <f aca="false">IF(I393="","",Resumen!$B$10-(MAX(I345:I441)-I393))</f>
        <v/>
      </c>
    </row>
    <row r="394" customFormat="false" ht="15" hidden="false" customHeight="false" outlineLevel="0" collapsed="false">
      <c r="A394" s="24" t="n">
        <v>46265.4791666667</v>
      </c>
      <c r="B394" s="10" t="n">
        <v>7.1601</v>
      </c>
      <c r="C394" s="10" t="n">
        <v>5.218</v>
      </c>
      <c r="D394" s="10" t="n">
        <f aca="false">IF(OR(B394="",C394="",B394&lt;=0.05,C394&lt;=0.05),0,1)</f>
        <v>1</v>
      </c>
      <c r="E394" s="25" t="n">
        <f aca="false">IF(OR(A394&lt;Resumen!$B$6,A394&gt;=Resumen!$B$7),0,MAX(0,AVERAGEIFS(B346:B442,D346:D442,1)-Resumen!$B$5*AVERAGEIFS(C346:C442,D346:D442,1)))</f>
        <v>0</v>
      </c>
      <c r="F394" s="10" t="n">
        <f aca="false">IF(B394="","",(B394-E394)/Resumen!$B$5)</f>
        <v>5.68713264495632</v>
      </c>
      <c r="G394" s="10" t="n">
        <f aca="false">IF(OR(F394="",C394=""),0,(F394-C394)*0.9)</f>
        <v>0.422219380460684</v>
      </c>
      <c r="H394" s="26" t="str">
        <f aca="false">IF(A394&lt;Resumen!$B$11,"",IF(H393="",0,H393)+G394/Resumen!$B$9)</f>
        <v/>
      </c>
      <c r="I394" s="26" t="str">
        <f aca="false">IF(H394="","",H394-AVERAGE(H346:H442))</f>
        <v/>
      </c>
      <c r="J394" s="27" t="str">
        <f aca="false">IF(I394="","",Resumen!$B$10-(MAX(I346:I442)-I394))</f>
        <v/>
      </c>
    </row>
    <row r="395" customFormat="false" ht="15" hidden="false" customHeight="false" outlineLevel="0" collapsed="false">
      <c r="A395" s="24" t="n">
        <v>46265.4895833333</v>
      </c>
      <c r="B395" s="10" t="n">
        <v>5.4488</v>
      </c>
      <c r="C395" s="10" t="n">
        <v>4.9437</v>
      </c>
      <c r="D395" s="10" t="n">
        <f aca="false">IF(OR(B395="",C395="",B395&lt;=0.05,C395&lt;=0.05),0,1)</f>
        <v>1</v>
      </c>
      <c r="E395" s="25" t="n">
        <f aca="false">IF(OR(A395&lt;Resumen!$B$6,A395&gt;=Resumen!$B$7),0,MAX(0,AVERAGEIFS(B347:B443,D347:D443,1)-Resumen!$B$5*AVERAGEIFS(C347:C443,D347:D443,1)))</f>
        <v>0</v>
      </c>
      <c r="F395" s="10" t="n">
        <f aca="false">IF(B395="","",(B395-E395)/Resumen!$B$5)</f>
        <v>4.32787926926132</v>
      </c>
      <c r="G395" s="10" t="n">
        <f aca="false">IF(OR(F395="",C395=""),0,(F395-C395)*0.9)</f>
        <v>-0.554238657664813</v>
      </c>
      <c r="H395" s="26" t="str">
        <f aca="false">IF(A395&lt;Resumen!$B$11,"",IF(H394="",0,H394)+G395/Resumen!$B$9)</f>
        <v/>
      </c>
      <c r="I395" s="26" t="str">
        <f aca="false">IF(H395="","",H395-AVERAGE(H347:H443))</f>
        <v/>
      </c>
      <c r="J395" s="27" t="str">
        <f aca="false">IF(I395="","",Resumen!$B$10-(MAX(I347:I443)-I395))</f>
        <v/>
      </c>
    </row>
    <row r="396" customFormat="false" ht="15" hidden="false" customHeight="false" outlineLevel="0" collapsed="false">
      <c r="A396" s="24" t="n">
        <v>46265.5</v>
      </c>
      <c r="B396" s="10" t="n">
        <v>5.0699</v>
      </c>
      <c r="C396" s="10" t="n">
        <v>4.7834</v>
      </c>
      <c r="D396" s="10" t="n">
        <f aca="false">IF(OR(B396="",C396="",B396&lt;=0.05,C396&lt;=0.05),0,1)</f>
        <v>1</v>
      </c>
      <c r="E396" s="25" t="n">
        <f aca="false">IF(OR(A396&lt;Resumen!$B$6,A396&gt;=Resumen!$B$7),0,MAX(0,AVERAGEIFS(B348:B444,D348:D444,1)-Resumen!$B$5*AVERAGEIFS(C348:C444,D348:D444,1)))</f>
        <v>0</v>
      </c>
      <c r="F396" s="10" t="n">
        <f aca="false">IF(B396="","",(B396-E396)/Resumen!$B$5)</f>
        <v>4.02692613185068</v>
      </c>
      <c r="G396" s="10" t="n">
        <f aca="false">IF(OR(F396="",C396=""),0,(F396-C396)*0.9)</f>
        <v>-0.680826481334393</v>
      </c>
      <c r="H396" s="26" t="str">
        <f aca="false">IF(A396&lt;Resumen!$B$11,"",IF(H395="",0,H395)+G396/Resumen!$B$9)</f>
        <v/>
      </c>
      <c r="I396" s="26" t="str">
        <f aca="false">IF(H396="","",H396-AVERAGE(H348:H444))</f>
        <v/>
      </c>
      <c r="J396" s="27" t="str">
        <f aca="false">IF(I396="","",Resumen!$B$10-(MAX(I348:I444)-I396))</f>
        <v/>
      </c>
    </row>
    <row r="397" customFormat="false" ht="15" hidden="false" customHeight="false" outlineLevel="0" collapsed="false">
      <c r="A397" s="24" t="n">
        <v>46265.5104166667</v>
      </c>
      <c r="B397" s="10" t="n">
        <v>5.6449</v>
      </c>
      <c r="C397" s="10" t="n">
        <v>5.0721</v>
      </c>
      <c r="D397" s="10" t="n">
        <f aca="false">IF(OR(B397="",C397="",B397&lt;=0.05,C397&lt;=0.05),0,1)</f>
        <v>1</v>
      </c>
      <c r="E397" s="25" t="n">
        <f aca="false">IF(OR(A397&lt;Resumen!$B$6,A397&gt;=Resumen!$B$7),0,MAX(0,AVERAGEIFS(B349:B445,D349:D445,1)-Resumen!$B$5*AVERAGEIFS(C349:C445,D349:D445,1)))</f>
        <v>0</v>
      </c>
      <c r="F397" s="10" t="n">
        <f aca="false">IF(B397="","",(B397-E397)/Resumen!$B$5)</f>
        <v>4.48363780778396</v>
      </c>
      <c r="G397" s="10" t="n">
        <f aca="false">IF(OR(F397="",C397=""),0,(F397-C397)*0.9)</f>
        <v>-0.529615972994439</v>
      </c>
      <c r="H397" s="26" t="str">
        <f aca="false">IF(A397&lt;Resumen!$B$11,"",IF(H396="",0,H396)+G397/Resumen!$B$9)</f>
        <v/>
      </c>
      <c r="I397" s="26" t="str">
        <f aca="false">IF(H397="","",H397-AVERAGE(H349:H445))</f>
        <v/>
      </c>
      <c r="J397" s="27" t="str">
        <f aca="false">IF(I397="","",Resumen!$B$10-(MAX(I349:I445)-I397))</f>
        <v/>
      </c>
    </row>
    <row r="398" customFormat="false" ht="15" hidden="false" customHeight="false" outlineLevel="0" collapsed="false">
      <c r="A398" s="24" t="n">
        <v>46265.5208333333</v>
      </c>
      <c r="B398" s="10" t="n">
        <v>1.1625</v>
      </c>
      <c r="C398" s="10" t="n">
        <v>3.9274</v>
      </c>
      <c r="D398" s="10" t="n">
        <f aca="false">IF(OR(B398="",C398="",B398&lt;=0.05,C398&lt;=0.05),0,1)</f>
        <v>1</v>
      </c>
      <c r="E398" s="25" t="n">
        <f aca="false">IF(OR(A398&lt;Resumen!$B$6,A398&gt;=Resumen!$B$7),0,MAX(0,AVERAGEIFS(B350:B446,D350:D446,1)-Resumen!$B$5*AVERAGEIFS(C350:C446,D350:D446,1)))</f>
        <v>0</v>
      </c>
      <c r="F398" s="10" t="n">
        <f aca="false">IF(B398="","",(B398-E398)/Resumen!$B$5)</f>
        <v>0.923351866560763</v>
      </c>
      <c r="G398" s="10" t="n">
        <f aca="false">IF(OR(F398="",C398=""),0,(F398-C398)*0.9)</f>
        <v>-2.70364332009531</v>
      </c>
      <c r="H398" s="26" t="str">
        <f aca="false">IF(A398&lt;Resumen!$B$11,"",IF(H397="",0,H397)+G398/Resumen!$B$9)</f>
        <v/>
      </c>
      <c r="I398" s="26" t="str">
        <f aca="false">IF(H398="","",H398-AVERAGE(H350:H446))</f>
        <v/>
      </c>
      <c r="J398" s="27" t="str">
        <f aca="false">IF(I398="","",Resumen!$B$10-(MAX(I350:I446)-I398))</f>
        <v/>
      </c>
    </row>
    <row r="399" customFormat="false" ht="15" hidden="false" customHeight="false" outlineLevel="0" collapsed="false">
      <c r="A399" s="24" t="n">
        <v>46265.53125</v>
      </c>
      <c r="B399" s="10" t="n">
        <v>0</v>
      </c>
      <c r="C399" s="10" t="n">
        <v>4.2968</v>
      </c>
      <c r="D399" s="10" t="n">
        <f aca="false">IF(OR(B399="",C399="",B399&lt;=0.05,C399&lt;=0.05),0,1)</f>
        <v>0</v>
      </c>
      <c r="E399" s="25" t="n">
        <f aca="false">IF(OR(A399&lt;Resumen!$B$6,A399&gt;=Resumen!$B$7),0,MAX(0,AVERAGEIFS(B351:B447,D351:D447,1)-Resumen!$B$5*AVERAGEIFS(C351:C447,D351:D447,1)))</f>
        <v>0</v>
      </c>
      <c r="F399" s="10" t="n">
        <f aca="false">IF(B399="","",(B399-E399)/Resumen!$B$5)</f>
        <v>0</v>
      </c>
      <c r="G399" s="10" t="n">
        <f aca="false">IF(OR(F399="",C399=""),0,(F399-C399)*0.9)</f>
        <v>-3.86712</v>
      </c>
      <c r="H399" s="26" t="str">
        <f aca="false">IF(A399&lt;Resumen!$B$11,"",IF(H398="",0,H398)+G399/Resumen!$B$9)</f>
        <v/>
      </c>
      <c r="I399" s="26" t="str">
        <f aca="false">IF(H399="","",H399-AVERAGE(H351:H447))</f>
        <v/>
      </c>
      <c r="J399" s="27" t="str">
        <f aca="false">IF(I399="","",Resumen!$B$10-(MAX(I351:I447)-I399))</f>
        <v/>
      </c>
    </row>
    <row r="400" customFormat="false" ht="15" hidden="false" customHeight="false" outlineLevel="0" collapsed="false">
      <c r="A400" s="24" t="n">
        <v>46265.5416666667</v>
      </c>
      <c r="B400" s="10" t="n">
        <v>0</v>
      </c>
      <c r="C400" s="10" t="n">
        <v>4.4765</v>
      </c>
      <c r="D400" s="10" t="n">
        <f aca="false">IF(OR(B400="",C400="",B400&lt;=0.05,C400&lt;=0.05),0,1)</f>
        <v>0</v>
      </c>
      <c r="E400" s="25" t="n">
        <f aca="false">IF(OR(A400&lt;Resumen!$B$6,A400&gt;=Resumen!$B$7),0,MAX(0,AVERAGEIFS(B352:B448,D352:D448,1)-Resumen!$B$5*AVERAGEIFS(C352:C448,D352:D448,1)))</f>
        <v>0</v>
      </c>
      <c r="F400" s="10" t="n">
        <f aca="false">IF(B400="","",(B400-E400)/Resumen!$B$5)</f>
        <v>0</v>
      </c>
      <c r="G400" s="10" t="n">
        <f aca="false">IF(OR(F400="",C400=""),0,(F400-C400)*0.9)</f>
        <v>-4.02885</v>
      </c>
      <c r="H400" s="26" t="str">
        <f aca="false">IF(A400&lt;Resumen!$B$11,"",IF(H399="",0,H399)+G400/Resumen!$B$9)</f>
        <v/>
      </c>
      <c r="I400" s="26" t="str">
        <f aca="false">IF(H400="","",H400-AVERAGE(H352:H448))</f>
        <v/>
      </c>
      <c r="J400" s="27" t="str">
        <f aca="false">IF(I400="","",Resumen!$B$10-(MAX(I352:I448)-I400))</f>
        <v/>
      </c>
    </row>
    <row r="401" customFormat="false" ht="15" hidden="false" customHeight="false" outlineLevel="0" collapsed="false">
      <c r="A401" s="24" t="n">
        <v>46265.5520833333</v>
      </c>
      <c r="B401" s="10" t="n">
        <v>0</v>
      </c>
      <c r="C401" s="10" t="n">
        <v>3.2396</v>
      </c>
      <c r="D401" s="10" t="n">
        <f aca="false">IF(OR(B401="",C401="",B401&lt;=0.05,C401&lt;=0.05),0,1)</f>
        <v>0</v>
      </c>
      <c r="E401" s="25" t="n">
        <f aca="false">IF(OR(A401&lt;Resumen!$B$6,A401&gt;=Resumen!$B$7),0,MAX(0,AVERAGEIFS(B353:B449,D353:D449,1)-Resumen!$B$5*AVERAGEIFS(C353:C449,D353:D449,1)))</f>
        <v>0</v>
      </c>
      <c r="F401" s="10" t="n">
        <f aca="false">IF(B401="","",(B401-E401)/Resumen!$B$5)</f>
        <v>0</v>
      </c>
      <c r="G401" s="10" t="n">
        <f aca="false">IF(OR(F401="",C401=""),0,(F401-C401)*0.9)</f>
        <v>-2.91564</v>
      </c>
      <c r="H401" s="26" t="str">
        <f aca="false">IF(A401&lt;Resumen!$B$11,"",IF(H400="",0,H400)+G401/Resumen!$B$9)</f>
        <v/>
      </c>
      <c r="I401" s="26" t="str">
        <f aca="false">IF(H401="","",H401-AVERAGE(H353:H449))</f>
        <v/>
      </c>
      <c r="J401" s="27" t="str">
        <f aca="false">IF(I401="","",Resumen!$B$10-(MAX(I353:I449)-I401))</f>
        <v/>
      </c>
    </row>
    <row r="402" customFormat="false" ht="15" hidden="false" customHeight="false" outlineLevel="0" collapsed="false">
      <c r="A402" s="24" t="n">
        <v>46265.5625</v>
      </c>
      <c r="B402" s="10" t="n">
        <v>0</v>
      </c>
      <c r="C402" s="10" t="n">
        <v>4.3503</v>
      </c>
      <c r="D402" s="10" t="n">
        <f aca="false">IF(OR(B402="",C402="",B402&lt;=0.05,C402&lt;=0.05),0,1)</f>
        <v>0</v>
      </c>
      <c r="E402" s="25" t="n">
        <f aca="false">IF(OR(A402&lt;Resumen!$B$6,A402&gt;=Resumen!$B$7),0,MAX(0,AVERAGEIFS(B354:B450,D354:D450,1)-Resumen!$B$5*AVERAGEIFS(C354:C450,D354:D450,1)))</f>
        <v>0</v>
      </c>
      <c r="F402" s="10" t="n">
        <f aca="false">IF(B402="","",(B402-E402)/Resumen!$B$5)</f>
        <v>0</v>
      </c>
      <c r="G402" s="10" t="n">
        <f aca="false">IF(OR(F402="",C402=""),0,(F402-C402)*0.9)</f>
        <v>-3.91527</v>
      </c>
      <c r="H402" s="26" t="str">
        <f aca="false">IF(A402&lt;Resumen!$B$11,"",IF(H401="",0,H401)+G402/Resumen!$B$9)</f>
        <v/>
      </c>
      <c r="I402" s="26" t="str">
        <f aca="false">IF(H402="","",H402-AVERAGE(H354:H450))</f>
        <v/>
      </c>
      <c r="J402" s="27" t="str">
        <f aca="false">IF(I402="","",Resumen!$B$10-(MAX(I354:I450)-I402))</f>
        <v/>
      </c>
    </row>
    <row r="403" customFormat="false" ht="15" hidden="false" customHeight="false" outlineLevel="0" collapsed="false">
      <c r="A403" s="24" t="n">
        <v>46265.5729166667</v>
      </c>
      <c r="B403" s="10" t="n">
        <v>0</v>
      </c>
      <c r="C403" s="10" t="n">
        <v>3.8766</v>
      </c>
      <c r="D403" s="10" t="n">
        <f aca="false">IF(OR(B403="",C403="",B403&lt;=0.05,C403&lt;=0.05),0,1)</f>
        <v>0</v>
      </c>
      <c r="E403" s="25" t="n">
        <f aca="false">IF(OR(A403&lt;Resumen!$B$6,A403&gt;=Resumen!$B$7),0,MAX(0,AVERAGEIFS(B355:B451,D355:D451,1)-Resumen!$B$5*AVERAGEIFS(C355:C451,D355:D451,1)))</f>
        <v>0</v>
      </c>
      <c r="F403" s="10" t="n">
        <f aca="false">IF(B403="","",(B403-E403)/Resumen!$B$5)</f>
        <v>0</v>
      </c>
      <c r="G403" s="10" t="n">
        <f aca="false">IF(OR(F403="",C403=""),0,(F403-C403)*0.9)</f>
        <v>-3.48894</v>
      </c>
      <c r="H403" s="26" t="str">
        <f aca="false">IF(A403&lt;Resumen!$B$11,"",IF(H402="",0,H402)+G403/Resumen!$B$9)</f>
        <v/>
      </c>
      <c r="I403" s="26" t="str">
        <f aca="false">IF(H403="","",H403-AVERAGE(H355:H451))</f>
        <v/>
      </c>
      <c r="J403" s="27" t="str">
        <f aca="false">IF(I403="","",Resumen!$B$10-(MAX(I355:I451)-I403))</f>
        <v/>
      </c>
    </row>
    <row r="404" customFormat="false" ht="15" hidden="false" customHeight="false" outlineLevel="0" collapsed="false">
      <c r="A404" s="24" t="n">
        <v>46265.5833333333</v>
      </c>
      <c r="B404" s="10" t="n">
        <v>0</v>
      </c>
      <c r="C404" s="10" t="n">
        <v>4.0149</v>
      </c>
      <c r="D404" s="10" t="n">
        <f aca="false">IF(OR(B404="",C404="",B404&lt;=0.05,C404&lt;=0.05),0,1)</f>
        <v>0</v>
      </c>
      <c r="E404" s="25" t="n">
        <f aca="false">IF(OR(A404&lt;Resumen!$B$6,A404&gt;=Resumen!$B$7),0,MAX(0,AVERAGEIFS(B356:B452,D356:D452,1)-Resumen!$B$5*AVERAGEIFS(C356:C452,D356:D452,1)))</f>
        <v>0</v>
      </c>
      <c r="F404" s="10" t="n">
        <f aca="false">IF(B404="","",(B404-E404)/Resumen!$B$5)</f>
        <v>0</v>
      </c>
      <c r="G404" s="10" t="n">
        <f aca="false">IF(OR(F404="",C404=""),0,(F404-C404)*0.9)</f>
        <v>-3.61341</v>
      </c>
      <c r="H404" s="26" t="str">
        <f aca="false">IF(A404&lt;Resumen!$B$11,"",IF(H403="",0,H403)+G404/Resumen!$B$9)</f>
        <v/>
      </c>
      <c r="I404" s="26" t="str">
        <f aca="false">IF(H404="","",H404-AVERAGE(H356:H452))</f>
        <v/>
      </c>
      <c r="J404" s="27" t="str">
        <f aca="false">IF(I404="","",Resumen!$B$10-(MAX(I356:I452)-I404))</f>
        <v/>
      </c>
    </row>
    <row r="405" customFormat="false" ht="15" hidden="false" customHeight="false" outlineLevel="0" collapsed="false">
      <c r="A405" s="24" t="n">
        <v>46265.59375</v>
      </c>
      <c r="B405" s="10" t="n">
        <v>1.007</v>
      </c>
      <c r="C405" s="10" t="n">
        <v>3.4968</v>
      </c>
      <c r="D405" s="10" t="n">
        <f aca="false">IF(OR(B405="",C405="",B405&lt;=0.05,C405&lt;=0.05),0,1)</f>
        <v>1</v>
      </c>
      <c r="E405" s="25" t="n">
        <f aca="false">IF(OR(A405&lt;Resumen!$B$6,A405&gt;=Resumen!$B$7),0,MAX(0,AVERAGEIFS(B357:B453,D357:D453,1)-Resumen!$B$5*AVERAGEIFS(C357:C453,D357:D453,1)))</f>
        <v>0</v>
      </c>
      <c r="F405" s="10" t="n">
        <f aca="false">IF(B405="","",(B405-E405)/Resumen!$B$5)</f>
        <v>0.799841143764893</v>
      </c>
      <c r="G405" s="10" t="n">
        <f aca="false">IF(OR(F405="",C405=""),0,(F405-C405)*0.9)</f>
        <v>-2.4272629706116</v>
      </c>
      <c r="H405" s="26" t="str">
        <f aca="false">IF(A405&lt;Resumen!$B$11,"",IF(H404="",0,H404)+G405/Resumen!$B$9)</f>
        <v/>
      </c>
      <c r="I405" s="26" t="str">
        <f aca="false">IF(H405="","",H405-AVERAGE(H357:H453))</f>
        <v/>
      </c>
      <c r="J405" s="27" t="str">
        <f aca="false">IF(I405="","",Resumen!$B$10-(MAX(I357:I453)-I405))</f>
        <v/>
      </c>
    </row>
    <row r="406" customFormat="false" ht="15" hidden="false" customHeight="false" outlineLevel="0" collapsed="false">
      <c r="A406" s="24" t="n">
        <v>46265.6041666667</v>
      </c>
      <c r="B406" s="10" t="n">
        <v>0.788</v>
      </c>
      <c r="C406" s="10" t="n">
        <v>4.0648</v>
      </c>
      <c r="D406" s="10" t="n">
        <f aca="false">IF(OR(B406="",C406="",B406&lt;=0.05,C406&lt;=0.05),0,1)</f>
        <v>1</v>
      </c>
      <c r="E406" s="25" t="n">
        <f aca="false">IF(OR(A406&lt;Resumen!$B$6,A406&gt;=Resumen!$B$7),0,MAX(0,AVERAGEIFS(B358:B454,D358:D454,1)-Resumen!$B$5*AVERAGEIFS(C358:C454,D358:D454,1)))</f>
        <v>0</v>
      </c>
      <c r="F406" s="10" t="n">
        <f aca="false">IF(B406="","",(B406-E406)/Resumen!$B$5)</f>
        <v>0.625893566322478</v>
      </c>
      <c r="G406" s="10" t="n">
        <f aca="false">IF(OR(F406="",C406=""),0,(F406-C406)*0.9)</f>
        <v>-3.09501579030977</v>
      </c>
      <c r="H406" s="26" t="str">
        <f aca="false">IF(A406&lt;Resumen!$B$11,"",IF(H405="",0,H405)+G406/Resumen!$B$9)</f>
        <v/>
      </c>
      <c r="I406" s="26" t="str">
        <f aca="false">IF(H406="","",H406-AVERAGE(H358:H454))</f>
        <v/>
      </c>
      <c r="J406" s="27" t="str">
        <f aca="false">IF(I406="","",Resumen!$B$10-(MAX(I358:I454)-I406))</f>
        <v/>
      </c>
    </row>
    <row r="407" customFormat="false" ht="15" hidden="false" customHeight="false" outlineLevel="0" collapsed="false">
      <c r="A407" s="24" t="n">
        <v>46265.6145833333</v>
      </c>
      <c r="B407" s="10" t="n">
        <v>1.4277</v>
      </c>
      <c r="C407" s="10" t="n">
        <v>0</v>
      </c>
      <c r="D407" s="10" t="n">
        <f aca="false">IF(OR(B407="",C407="",B407&lt;=0.05,C407&lt;=0.05),0,1)</f>
        <v>0</v>
      </c>
      <c r="E407" s="25" t="n">
        <f aca="false">IF(OR(A407&lt;Resumen!$B$6,A407&gt;=Resumen!$B$7),0,MAX(0,AVERAGEIFS(B359:B455,D359:D455,1)-Resumen!$B$5*AVERAGEIFS(C359:C455,D359:D455,1)))</f>
        <v>0</v>
      </c>
      <c r="F407" s="10" t="n">
        <f aca="false">IF(B407="","",(B407-E407)/Resumen!$B$5)</f>
        <v>1.13399523431295</v>
      </c>
      <c r="G407" s="10" t="n">
        <f aca="false">IF(OR(F407="",C407=""),0,(F407-C407)*0.9)</f>
        <v>1.02059571088165</v>
      </c>
      <c r="H407" s="26" t="str">
        <f aca="false">IF(A407&lt;Resumen!$B$11,"",IF(H406="",0,H406)+G407/Resumen!$B$9)</f>
        <v/>
      </c>
      <c r="I407" s="26" t="str">
        <f aca="false">IF(H407="","",H407-AVERAGE(H359:H455))</f>
        <v/>
      </c>
      <c r="J407" s="27" t="str">
        <f aca="false">IF(I407="","",Resumen!$B$10-(MAX(I359:I455)-I407))</f>
        <v/>
      </c>
    </row>
    <row r="408" customFormat="false" ht="15" hidden="false" customHeight="false" outlineLevel="0" collapsed="false">
      <c r="A408" s="24" t="n">
        <v>46265.625</v>
      </c>
      <c r="B408" s="10" t="n">
        <v>1.1393</v>
      </c>
      <c r="C408" s="10" t="n">
        <v>0</v>
      </c>
      <c r="D408" s="10" t="n">
        <f aca="false">IF(OR(B408="",C408="",B408&lt;=0.05,C408&lt;=0.05),0,1)</f>
        <v>0</v>
      </c>
      <c r="E408" s="25" t="n">
        <f aca="false">IF(OR(A408&lt;Resumen!$B$6,A408&gt;=Resumen!$B$7),0,MAX(0,AVERAGEIFS(B360:B456,D360:D456,1)-Resumen!$B$5*AVERAGEIFS(C360:C456,D360:D456,1)))</f>
        <v>0</v>
      </c>
      <c r="F408" s="10" t="n">
        <f aca="false">IF(B408="","",(B408-E408)/Resumen!$B$5)</f>
        <v>0.904924543288324</v>
      </c>
      <c r="G408" s="10" t="n">
        <f aca="false">IF(OR(F408="",C408=""),0,(F408-C408)*0.9)</f>
        <v>0.814432088959492</v>
      </c>
      <c r="H408" s="26" t="str">
        <f aca="false">IF(A408&lt;Resumen!$B$11,"",IF(H407="",0,H407)+G408/Resumen!$B$9)</f>
        <v/>
      </c>
      <c r="I408" s="26" t="str">
        <f aca="false">IF(H408="","",H408-AVERAGE(H360:H456))</f>
        <v/>
      </c>
      <c r="J408" s="27" t="str">
        <f aca="false">IF(I408="","",Resumen!$B$10-(MAX(I360:I456)-I408))</f>
        <v/>
      </c>
    </row>
    <row r="409" customFormat="false" ht="15" hidden="false" customHeight="false" outlineLevel="0" collapsed="false">
      <c r="A409" s="24" t="n">
        <v>46265.6354166667</v>
      </c>
      <c r="B409" s="10" t="n">
        <v>1.142</v>
      </c>
      <c r="C409" s="10" t="n">
        <v>0</v>
      </c>
      <c r="D409" s="10" t="n">
        <f aca="false">IF(OR(B409="",C409="",B409&lt;=0.05,C409&lt;=0.05),0,1)</f>
        <v>0</v>
      </c>
      <c r="E409" s="25" t="n">
        <f aca="false">IF(OR(A409&lt;Resumen!$B$6,A409&gt;=Resumen!$B$7),0,MAX(0,AVERAGEIFS(B361:B457,D361:D457,1)-Resumen!$B$5*AVERAGEIFS(C361:C457,D361:D457,1)))</f>
        <v>0</v>
      </c>
      <c r="F409" s="10" t="n">
        <f aca="false">IF(B409="","",(B409-E409)/Resumen!$B$5)</f>
        <v>0.907069102462272</v>
      </c>
      <c r="G409" s="10" t="n">
        <f aca="false">IF(OR(F409="",C409=""),0,(F409-C409)*0.9)</f>
        <v>0.816362192216045</v>
      </c>
      <c r="H409" s="26" t="str">
        <f aca="false">IF(A409&lt;Resumen!$B$11,"",IF(H408="",0,H408)+G409/Resumen!$B$9)</f>
        <v/>
      </c>
      <c r="I409" s="26" t="str">
        <f aca="false">IF(H409="","",H409-AVERAGE(H361:H457))</f>
        <v/>
      </c>
      <c r="J409" s="27" t="str">
        <f aca="false">IF(I409="","",Resumen!$B$10-(MAX(I361:I457)-I409))</f>
        <v/>
      </c>
    </row>
    <row r="410" customFormat="false" ht="15" hidden="false" customHeight="false" outlineLevel="0" collapsed="false">
      <c r="A410" s="24" t="n">
        <v>46265.6458333333</v>
      </c>
      <c r="B410" s="10" t="n">
        <v>1.5131</v>
      </c>
      <c r="C410" s="10" t="n">
        <v>0</v>
      </c>
      <c r="D410" s="10" t="n">
        <f aca="false">IF(OR(B410="",C410="",B410&lt;=0.05,C410&lt;=0.05),0,1)</f>
        <v>0</v>
      </c>
      <c r="E410" s="25" t="n">
        <f aca="false">IF(OR(A410&lt;Resumen!$B$6,A410&gt;=Resumen!$B$7),0,MAX(0,AVERAGEIFS(B362:B458,D362:D458,1)-Resumen!$B$5*AVERAGEIFS(C362:C458,D362:D458,1)))</f>
        <v>0</v>
      </c>
      <c r="F410" s="10" t="n">
        <f aca="false">IF(B410="","",(B410-E410)/Resumen!$B$5)</f>
        <v>1.20182684670373</v>
      </c>
      <c r="G410" s="10" t="n">
        <f aca="false">IF(OR(F410="",C410=""),0,(F410-C410)*0.9)</f>
        <v>1.08164416203336</v>
      </c>
      <c r="H410" s="26" t="str">
        <f aca="false">IF(A410&lt;Resumen!$B$11,"",IF(H409="",0,H409)+G410/Resumen!$B$9)</f>
        <v/>
      </c>
      <c r="I410" s="26" t="str">
        <f aca="false">IF(H410="","",H410-AVERAGE(H362:H458))</f>
        <v/>
      </c>
      <c r="J410" s="27" t="str">
        <f aca="false">IF(I410="","",Resumen!$B$10-(MAX(I362:I458)-I410))</f>
        <v/>
      </c>
    </row>
    <row r="411" customFormat="false" ht="15" hidden="false" customHeight="false" outlineLevel="0" collapsed="false">
      <c r="A411" s="24" t="n">
        <v>46265.65625</v>
      </c>
      <c r="B411" s="10" t="n">
        <v>2.4041</v>
      </c>
      <c r="C411" s="10" t="n">
        <v>0</v>
      </c>
      <c r="D411" s="10" t="n">
        <f aca="false">IF(OR(B411="",C411="",B411&lt;=0.05,C411&lt;=0.05),0,1)</f>
        <v>0</v>
      </c>
      <c r="E411" s="25" t="n">
        <f aca="false">IF(OR(A411&lt;Resumen!$B$6,A411&gt;=Resumen!$B$7),0,MAX(0,AVERAGEIFS(B363:B459,D363:D459,1)-Resumen!$B$5*AVERAGEIFS(C363:C459,D363:D459,1)))</f>
        <v>0</v>
      </c>
      <c r="F411" s="10" t="n">
        <f aca="false">IF(B411="","",(B411-E411)/Resumen!$B$5)</f>
        <v>1.90953137410643</v>
      </c>
      <c r="G411" s="10" t="n">
        <f aca="false">IF(OR(F411="",C411=""),0,(F411-C411)*0.9)</f>
        <v>1.71857823669579</v>
      </c>
      <c r="H411" s="26" t="str">
        <f aca="false">IF(A411&lt;Resumen!$B$11,"",IF(H410="",0,H410)+G411/Resumen!$B$9)</f>
        <v/>
      </c>
      <c r="I411" s="26" t="str">
        <f aca="false">IF(H411="","",H411-AVERAGE(H363:H459))</f>
        <v/>
      </c>
      <c r="J411" s="27" t="str">
        <f aca="false">IF(I411="","",Resumen!$B$10-(MAX(I363:I459)-I411))</f>
        <v/>
      </c>
    </row>
    <row r="412" customFormat="false" ht="15" hidden="false" customHeight="false" outlineLevel="0" collapsed="false">
      <c r="A412" s="24" t="n">
        <v>46265.6666666667</v>
      </c>
      <c r="B412" s="10" t="n">
        <v>1.8907</v>
      </c>
      <c r="C412" s="10" t="n">
        <v>0</v>
      </c>
      <c r="D412" s="10" t="n">
        <f aca="false">IF(OR(B412="",C412="",B412&lt;=0.05,C412&lt;=0.05),0,1)</f>
        <v>0</v>
      </c>
      <c r="E412" s="25" t="n">
        <f aca="false">IF(OR(A412&lt;Resumen!$B$6,A412&gt;=Resumen!$B$7),0,MAX(0,AVERAGEIFS(B364:B460,D364:D460,1)-Resumen!$B$5*AVERAGEIFS(C364:C460,D364:D460,1)))</f>
        <v>0</v>
      </c>
      <c r="F412" s="10" t="n">
        <f aca="false">IF(B412="","",(B412-E412)/Resumen!$B$5)</f>
        <v>1.50174741858618</v>
      </c>
      <c r="G412" s="10" t="n">
        <f aca="false">IF(OR(F412="",C412=""),0,(F412-C412)*0.9)</f>
        <v>1.35157267672756</v>
      </c>
      <c r="H412" s="26" t="str">
        <f aca="false">IF(A412&lt;Resumen!$B$11,"",IF(H411="",0,H411)+G412/Resumen!$B$9)</f>
        <v/>
      </c>
      <c r="I412" s="26" t="str">
        <f aca="false">IF(H412="","",H412-AVERAGE(H364:H460))</f>
        <v/>
      </c>
      <c r="J412" s="27" t="str">
        <f aca="false">IF(I412="","",Resumen!$B$10-(MAX(I364:I460)-I412))</f>
        <v/>
      </c>
    </row>
    <row r="413" customFormat="false" ht="15" hidden="false" customHeight="false" outlineLevel="0" collapsed="false">
      <c r="A413" s="24" t="n">
        <v>46265.6770833333</v>
      </c>
      <c r="B413" s="10" t="n">
        <v>1.6386</v>
      </c>
      <c r="C413" s="10" t="n">
        <v>0</v>
      </c>
      <c r="D413" s="10" t="n">
        <f aca="false">IF(OR(B413="",C413="",B413&lt;=0.05,C413&lt;=0.05),0,1)</f>
        <v>0</v>
      </c>
      <c r="E413" s="25" t="n">
        <f aca="false">IF(OR(A413&lt;Resumen!$B$6,A413&gt;=Resumen!$B$7),0,MAX(0,AVERAGEIFS(B365:B461,D365:D461,1)-Resumen!$B$5*AVERAGEIFS(C365:C461,D365:D461,1)))</f>
        <v>0</v>
      </c>
      <c r="F413" s="10" t="n">
        <f aca="false">IF(B413="","",(B413-E413)/Resumen!$B$5)</f>
        <v>1.30150913423352</v>
      </c>
      <c r="G413" s="10" t="n">
        <f aca="false">IF(OR(F413="",C413=""),0,(F413-C413)*0.9)</f>
        <v>1.17135822081017</v>
      </c>
      <c r="H413" s="26" t="str">
        <f aca="false">IF(A413&lt;Resumen!$B$11,"",IF(H412="",0,H412)+G413/Resumen!$B$9)</f>
        <v/>
      </c>
      <c r="I413" s="26" t="str">
        <f aca="false">IF(H413="","",H413-AVERAGE(H365:H461))</f>
        <v/>
      </c>
      <c r="J413" s="27" t="str">
        <f aca="false">IF(I413="","",Resumen!$B$10-(MAX(I365:I461)-I413))</f>
        <v/>
      </c>
    </row>
    <row r="414" customFormat="false" ht="15" hidden="false" customHeight="false" outlineLevel="0" collapsed="false">
      <c r="A414" s="24" t="n">
        <v>46265.6875</v>
      </c>
      <c r="B414" s="10" t="n">
        <v>0.2355</v>
      </c>
      <c r="C414" s="10" t="n">
        <v>0</v>
      </c>
      <c r="D414" s="10" t="n">
        <f aca="false">IF(OR(B414="",C414="",B414&lt;=0.05,C414&lt;=0.05),0,1)</f>
        <v>0</v>
      </c>
      <c r="E414" s="25" t="n">
        <f aca="false">IF(OR(A414&lt;Resumen!$B$6,A414&gt;=Resumen!$B$7),0,MAX(0,AVERAGEIFS(B366:B462,D366:D462,1)-Resumen!$B$5*AVERAGEIFS(C366:C462,D366:D462,1)))</f>
        <v>0</v>
      </c>
      <c r="F414" s="10" t="n">
        <f aca="false">IF(B414="","",(B414-E414)/Resumen!$B$5)</f>
        <v>0.187053216838761</v>
      </c>
      <c r="G414" s="10" t="n">
        <f aca="false">IF(OR(F414="",C414=""),0,(F414-C414)*0.9)</f>
        <v>0.168347895154885</v>
      </c>
      <c r="H414" s="26" t="str">
        <f aca="false">IF(A414&lt;Resumen!$B$11,"",IF(H413="",0,H413)+G414/Resumen!$B$9)</f>
        <v/>
      </c>
      <c r="I414" s="26" t="str">
        <f aca="false">IF(H414="","",H414-AVERAGE(H366:H462))</f>
        <v/>
      </c>
      <c r="J414" s="27" t="str">
        <f aca="false">IF(I414="","",Resumen!$B$10-(MAX(I366:I462)-I414))</f>
        <v/>
      </c>
    </row>
    <row r="415" customFormat="false" ht="15" hidden="false" customHeight="false" outlineLevel="0" collapsed="false">
      <c r="A415" s="24" t="n">
        <v>46265.6979166667</v>
      </c>
      <c r="B415" s="10" t="n">
        <v>0</v>
      </c>
      <c r="C415" s="10" t="n">
        <v>0</v>
      </c>
      <c r="D415" s="10" t="n">
        <f aca="false">IF(OR(B415="",C415="",B415&lt;=0.05,C415&lt;=0.05),0,1)</f>
        <v>0</v>
      </c>
      <c r="E415" s="25" t="n">
        <f aca="false">IF(OR(A415&lt;Resumen!$B$6,A415&gt;=Resumen!$B$7),0,MAX(0,AVERAGEIFS(B367:B463,D367:D463,1)-Resumen!$B$5*AVERAGEIFS(C367:C463,D367:D463,1)))</f>
        <v>0</v>
      </c>
      <c r="F415" s="10" t="n">
        <f aca="false">IF(B415="","",(B415-E415)/Resumen!$B$5)</f>
        <v>0</v>
      </c>
      <c r="G415" s="10" t="n">
        <f aca="false">IF(OR(F415="",C415=""),0,(F415-C415)*0.9)</f>
        <v>0</v>
      </c>
      <c r="H415" s="26" t="str">
        <f aca="false">IF(A415&lt;Resumen!$B$11,"",IF(H414="",0,H414)+G415/Resumen!$B$9)</f>
        <v/>
      </c>
      <c r="I415" s="26" t="str">
        <f aca="false">IF(H415="","",H415-AVERAGE(H367:H463))</f>
        <v/>
      </c>
      <c r="J415" s="27" t="str">
        <f aca="false">IF(I415="","",Resumen!$B$10-(MAX(I367:I463)-I415))</f>
        <v/>
      </c>
    </row>
    <row r="416" customFormat="false" ht="15" hidden="false" customHeight="false" outlineLevel="0" collapsed="false">
      <c r="A416" s="24" t="n">
        <v>46265.7083333333</v>
      </c>
      <c r="B416" s="10" t="n">
        <v>0</v>
      </c>
      <c r="C416" s="10" t="n">
        <v>0</v>
      </c>
      <c r="D416" s="10" t="n">
        <f aca="false">IF(OR(B416="",C416="",B416&lt;=0.05,C416&lt;=0.05),0,1)</f>
        <v>0</v>
      </c>
      <c r="E416" s="25" t="n">
        <f aca="false">IF(OR(A416&lt;Resumen!$B$6,A416&gt;=Resumen!$B$7),0,MAX(0,AVERAGEIFS(B368:B464,D368:D464,1)-Resumen!$B$5*AVERAGEIFS(C368:C464,D368:D464,1)))</f>
        <v>0</v>
      </c>
      <c r="F416" s="10" t="n">
        <f aca="false">IF(B416="","",(B416-E416)/Resumen!$B$5)</f>
        <v>0</v>
      </c>
      <c r="G416" s="10" t="n">
        <f aca="false">IF(OR(F416="",C416=""),0,(F416-C416)*0.9)</f>
        <v>0</v>
      </c>
      <c r="H416" s="26" t="str">
        <f aca="false">IF(A416&lt;Resumen!$B$11,"",IF(H415="",0,H415)+G416/Resumen!$B$9)</f>
        <v/>
      </c>
      <c r="I416" s="26" t="str">
        <f aca="false">IF(H416="","",H416-AVERAGE(H368:H464))</f>
        <v/>
      </c>
      <c r="J416" s="27" t="str">
        <f aca="false">IF(I416="","",Resumen!$B$10-(MAX(I368:I464)-I416))</f>
        <v/>
      </c>
    </row>
    <row r="417" customFormat="false" ht="15" hidden="false" customHeight="false" outlineLevel="0" collapsed="false">
      <c r="A417" s="24" t="n">
        <v>46265.71875</v>
      </c>
      <c r="B417" s="10" t="n">
        <v>3.7003</v>
      </c>
      <c r="C417" s="10" t="n">
        <v>0</v>
      </c>
      <c r="D417" s="10" t="n">
        <f aca="false">IF(OR(B417="",C417="",B417&lt;=0.05,C417&lt;=0.05),0,1)</f>
        <v>0</v>
      </c>
      <c r="E417" s="25" t="n">
        <f aca="false">IF(OR(A417&lt;Resumen!$B$6,A417&gt;=Resumen!$B$7),0,MAX(0,AVERAGEIFS(B369:B465,D369:D465,1)-Resumen!$B$5*AVERAGEIFS(C369:C465,D369:D465,1)))</f>
        <v>0</v>
      </c>
      <c r="F417" s="10" t="n">
        <f aca="false">IF(B417="","",(B417-E417)/Resumen!$B$5)</f>
        <v>2.93907863383638</v>
      </c>
      <c r="G417" s="10" t="n">
        <f aca="false">IF(OR(F417="",C417=""),0,(F417-C417)*0.9)</f>
        <v>2.64517077045274</v>
      </c>
      <c r="H417" s="26" t="str">
        <f aca="false">IF(A417&lt;Resumen!$B$11,"",IF(H416="",0,H416)+G417/Resumen!$B$9)</f>
        <v/>
      </c>
      <c r="I417" s="26" t="str">
        <f aca="false">IF(H417="","",H417-AVERAGE(H369:H465))</f>
        <v/>
      </c>
      <c r="J417" s="27" t="str">
        <f aca="false">IF(I417="","",Resumen!$B$10-(MAX(I369:I465)-I417))</f>
        <v/>
      </c>
    </row>
    <row r="418" customFormat="false" ht="15" hidden="false" customHeight="false" outlineLevel="0" collapsed="false">
      <c r="A418" s="24" t="n">
        <v>46265.7291666667</v>
      </c>
      <c r="B418" s="10" t="n">
        <v>2.8384</v>
      </c>
      <c r="C418" s="10" t="n">
        <v>0</v>
      </c>
      <c r="D418" s="10" t="n">
        <f aca="false">IF(OR(B418="",C418="",B418&lt;=0.05,C418&lt;=0.05),0,1)</f>
        <v>0</v>
      </c>
      <c r="E418" s="25" t="n">
        <f aca="false">IF(OR(A418&lt;Resumen!$B$6,A418&gt;=Resumen!$B$7),0,MAX(0,AVERAGEIFS(B370:B466,D370:D466,1)-Resumen!$B$5*AVERAGEIFS(C370:C466,D370:D466,1)))</f>
        <v>0</v>
      </c>
      <c r="F418" s="10" t="n">
        <f aca="false">IF(B418="","",(B418-E418)/Resumen!$B$5)</f>
        <v>2.25448768864178</v>
      </c>
      <c r="G418" s="10" t="n">
        <f aca="false">IF(OR(F418="",C418=""),0,(F418-C418)*0.9)</f>
        <v>2.0290389197776</v>
      </c>
      <c r="H418" s="26" t="str">
        <f aca="false">IF(A418&lt;Resumen!$B$11,"",IF(H417="",0,H417)+G418/Resumen!$B$9)</f>
        <v/>
      </c>
      <c r="I418" s="26" t="str">
        <f aca="false">IF(H418="","",H418-AVERAGE(H370:H466))</f>
        <v/>
      </c>
      <c r="J418" s="27" t="str">
        <f aca="false">IF(I418="","",Resumen!$B$10-(MAX(I370:I466)-I418))</f>
        <v/>
      </c>
    </row>
    <row r="419" customFormat="false" ht="15" hidden="false" customHeight="false" outlineLevel="0" collapsed="false">
      <c r="A419" s="24" t="n">
        <v>46265.7395833333</v>
      </c>
      <c r="B419" s="10" t="n">
        <v>1.9126</v>
      </c>
      <c r="C419" s="10" t="n">
        <v>0</v>
      </c>
      <c r="D419" s="10" t="n">
        <f aca="false">IF(OR(B419="",C419="",B419&lt;=0.05,C419&lt;=0.05),0,1)</f>
        <v>0</v>
      </c>
      <c r="E419" s="25" t="n">
        <f aca="false">IF(OR(A419&lt;Resumen!$B$6,A419&gt;=Resumen!$B$7),0,MAX(0,AVERAGEIFS(B371:B467,D371:D467,1)-Resumen!$B$5*AVERAGEIFS(C371:C467,D371:D467,1)))</f>
        <v>0</v>
      </c>
      <c r="F419" s="10" t="n">
        <f aca="false">IF(B419="","",(B419-E419)/Resumen!$B$5)</f>
        <v>1.51914217633042</v>
      </c>
      <c r="G419" s="10" t="n">
        <f aca="false">IF(OR(F419="",C419=""),0,(F419-C419)*0.9)</f>
        <v>1.36722795869738</v>
      </c>
      <c r="H419" s="26" t="str">
        <f aca="false">IF(A419&lt;Resumen!$B$11,"",IF(H418="",0,H418)+G419/Resumen!$B$9)</f>
        <v/>
      </c>
      <c r="I419" s="26" t="str">
        <f aca="false">IF(H419="","",H419-AVERAGE(H371:H467))</f>
        <v/>
      </c>
      <c r="J419" s="27" t="str">
        <f aca="false">IF(I419="","",Resumen!$B$10-(MAX(I371:I467)-I419))</f>
        <v/>
      </c>
    </row>
    <row r="420" customFormat="false" ht="15" hidden="false" customHeight="false" outlineLevel="0" collapsed="false">
      <c r="A420" s="24" t="n">
        <v>46265.75</v>
      </c>
      <c r="B420" s="10" t="n">
        <v>1.9349</v>
      </c>
      <c r="C420" s="10" t="n">
        <v>0</v>
      </c>
      <c r="D420" s="10" t="n">
        <f aca="false">IF(OR(B420="",C420="",B420&lt;=0.05,C420&lt;=0.05),0,1)</f>
        <v>0</v>
      </c>
      <c r="E420" s="25" t="n">
        <f aca="false">IF(OR(A420&lt;Resumen!$B$6,A420&gt;=Resumen!$B$7),0,MAX(0,AVERAGEIFS(B372:B468,D372:D468,1)-Resumen!$B$5*AVERAGEIFS(C372:C468,D372:D468,1)))</f>
        <v>0</v>
      </c>
      <c r="F420" s="10" t="n">
        <f aca="false">IF(B420="","",(B420-E420)/Resumen!$B$5)</f>
        <v>1.53685464654488</v>
      </c>
      <c r="G420" s="10" t="n">
        <f aca="false">IF(OR(F420="",C420=""),0,(F420-C420)*0.9)</f>
        <v>1.38316918189039</v>
      </c>
      <c r="H420" s="26" t="str">
        <f aca="false">IF(A420&lt;Resumen!$B$11,"",IF(H419="",0,H419)+G420/Resumen!$B$9)</f>
        <v/>
      </c>
      <c r="I420" s="26" t="str">
        <f aca="false">IF(H420="","",H420-AVERAGE(H372:H468))</f>
        <v/>
      </c>
      <c r="J420" s="27" t="str">
        <f aca="false">IF(I420="","",Resumen!$B$10-(MAX(I372:I468)-I420))</f>
        <v/>
      </c>
    </row>
    <row r="421" customFormat="false" ht="15" hidden="false" customHeight="false" outlineLevel="0" collapsed="false">
      <c r="A421" s="24" t="n">
        <v>46265.7604166667</v>
      </c>
      <c r="B421" s="10" t="n">
        <v>3.6709</v>
      </c>
      <c r="C421" s="10" t="n">
        <v>0</v>
      </c>
      <c r="D421" s="10" t="n">
        <f aca="false">IF(OR(B421="",C421="",B421&lt;=0.05,C421&lt;=0.05),0,1)</f>
        <v>0</v>
      </c>
      <c r="E421" s="25" t="n">
        <f aca="false">IF(OR(A421&lt;Resumen!$B$6,A421&gt;=Resumen!$B$7),0,MAX(0,AVERAGEIFS(B373:B469,D373:D469,1)-Resumen!$B$5*AVERAGEIFS(C373:C469,D373:D469,1)))</f>
        <v>0</v>
      </c>
      <c r="F421" s="10" t="n">
        <f aca="false">IF(B421="","",(B421-E421)/Resumen!$B$5)</f>
        <v>2.91572676727562</v>
      </c>
      <c r="G421" s="10" t="n">
        <f aca="false">IF(OR(F421="",C421=""),0,(F421-C421)*0.9)</f>
        <v>2.62415409054805</v>
      </c>
      <c r="H421" s="26" t="str">
        <f aca="false">IF(A421&lt;Resumen!$B$11,"",IF(H420="",0,H420)+G421/Resumen!$B$9)</f>
        <v/>
      </c>
      <c r="I421" s="26" t="str">
        <f aca="false">IF(H421="","",H421-AVERAGE(H373:H469))</f>
        <v/>
      </c>
      <c r="J421" s="27" t="str">
        <f aca="false">IF(I421="","",Resumen!$B$10-(MAX(I373:I469)-I421))</f>
        <v/>
      </c>
    </row>
    <row r="422" customFormat="false" ht="15" hidden="false" customHeight="false" outlineLevel="0" collapsed="false">
      <c r="A422" s="24" t="n">
        <v>46265.7708333333</v>
      </c>
      <c r="B422" s="10" t="n">
        <v>4.5623</v>
      </c>
      <c r="C422" s="10" t="n">
        <v>0</v>
      </c>
      <c r="D422" s="10" t="n">
        <f aca="false">IF(OR(B422="",C422="",B422&lt;=0.05,C422&lt;=0.05),0,1)</f>
        <v>0</v>
      </c>
      <c r="E422" s="25" t="n">
        <f aca="false">IF(OR(A422&lt;Resumen!$B$6,A422&gt;=Resumen!$B$7),0,MAX(0,AVERAGEIFS(B374:B470,D374:D470,1)-Resumen!$B$5*AVERAGEIFS(C374:C470,D374:D470,1)))</f>
        <v>0</v>
      </c>
      <c r="F422" s="10" t="n">
        <f aca="false">IF(B422="","",(B422-E422)/Resumen!$B$5)</f>
        <v>3.62374900714853</v>
      </c>
      <c r="G422" s="10" t="n">
        <f aca="false">IF(OR(F422="",C422=""),0,(F422-C422)*0.9)</f>
        <v>3.26137410643368</v>
      </c>
      <c r="H422" s="26" t="str">
        <f aca="false">IF(A422&lt;Resumen!$B$11,"",IF(H421="",0,H421)+G422/Resumen!$B$9)</f>
        <v/>
      </c>
      <c r="I422" s="26" t="str">
        <f aca="false">IF(H422="","",H422-AVERAGE(H374:H470))</f>
        <v/>
      </c>
      <c r="J422" s="27" t="str">
        <f aca="false">IF(I422="","",Resumen!$B$10-(MAX(I374:I470)-I422))</f>
        <v/>
      </c>
    </row>
    <row r="423" customFormat="false" ht="15" hidden="false" customHeight="false" outlineLevel="0" collapsed="false">
      <c r="A423" s="24" t="n">
        <v>46265.78125</v>
      </c>
      <c r="B423" s="10" t="n">
        <v>2.4043</v>
      </c>
      <c r="C423" s="10" t="n">
        <v>0</v>
      </c>
      <c r="D423" s="10" t="n">
        <f aca="false">IF(OR(B423="",C423="",B423&lt;=0.05,C423&lt;=0.05),0,1)</f>
        <v>0</v>
      </c>
      <c r="E423" s="25" t="n">
        <f aca="false">IF(OR(A423&lt;Resumen!$B$6,A423&gt;=Resumen!$B$7),0,MAX(0,AVERAGEIFS(B375:B471,D375:D471,1)-Resumen!$B$5*AVERAGEIFS(C375:C471,D375:D471,1)))</f>
        <v>0</v>
      </c>
      <c r="F423" s="10" t="n">
        <f aca="false">IF(B423="","",(B423-E423)/Resumen!$B$5)</f>
        <v>1.90969023034154</v>
      </c>
      <c r="G423" s="10" t="n">
        <f aca="false">IF(OR(F423="",C423=""),0,(F423-C423)*0.9)</f>
        <v>1.71872120730739</v>
      </c>
      <c r="H423" s="26" t="str">
        <f aca="false">IF(A423&lt;Resumen!$B$11,"",IF(H422="",0,H422)+G423/Resumen!$B$9)</f>
        <v/>
      </c>
      <c r="I423" s="26" t="str">
        <f aca="false">IF(H423="","",H423-AVERAGE(H375:H471))</f>
        <v/>
      </c>
      <c r="J423" s="27" t="str">
        <f aca="false">IF(I423="","",Resumen!$B$10-(MAX(I375:I471)-I423))</f>
        <v/>
      </c>
    </row>
    <row r="424" customFormat="false" ht="15" hidden="false" customHeight="false" outlineLevel="0" collapsed="false">
      <c r="A424" s="24" t="n">
        <v>46265.7916666667</v>
      </c>
      <c r="B424" s="10" t="n">
        <v>2.2749</v>
      </c>
      <c r="C424" s="10" t="n">
        <v>0</v>
      </c>
      <c r="D424" s="10" t="n">
        <f aca="false">IF(OR(B424="",C424="",B424&lt;=0.05,C424&lt;=0.05),0,1)</f>
        <v>0</v>
      </c>
      <c r="E424" s="25" t="n">
        <f aca="false">IF(OR(A424&lt;Resumen!$B$6,A424&gt;=Resumen!$B$7),0,MAX(0,AVERAGEIFS(B376:B472,D376:D472,1)-Resumen!$B$5*AVERAGEIFS(C376:C472,D376:D472,1)))</f>
        <v>0</v>
      </c>
      <c r="F424" s="10" t="n">
        <f aca="false">IF(B424="","",(B424-E424)/Resumen!$B$5)</f>
        <v>1.80691024622716</v>
      </c>
      <c r="G424" s="10" t="n">
        <f aca="false">IF(OR(F424="",C424=""),0,(F424-C424)*0.9)</f>
        <v>1.62621922160445</v>
      </c>
      <c r="H424" s="26" t="str">
        <f aca="false">IF(A424&lt;Resumen!$B$11,"",IF(H423="",0,H423)+G424/Resumen!$B$9)</f>
        <v/>
      </c>
      <c r="I424" s="26" t="str">
        <f aca="false">IF(H424="","",H424-AVERAGE(H376:H472))</f>
        <v/>
      </c>
      <c r="J424" s="27" t="str">
        <f aca="false">IF(I424="","",Resumen!$B$10-(MAX(I376:I472)-I424))</f>
        <v/>
      </c>
    </row>
    <row r="425" customFormat="false" ht="15" hidden="false" customHeight="false" outlineLevel="0" collapsed="false">
      <c r="A425" s="24" t="n">
        <v>46265.8020833333</v>
      </c>
      <c r="B425" s="10" t="n">
        <v>1.7219</v>
      </c>
      <c r="C425" s="10" t="n">
        <v>0</v>
      </c>
      <c r="D425" s="10" t="n">
        <f aca="false">IF(OR(B425="",C425="",B425&lt;=0.05,C425&lt;=0.05),0,1)</f>
        <v>0</v>
      </c>
      <c r="E425" s="25" t="n">
        <f aca="false">IF(OR(A425&lt;Resumen!$B$6,A425&gt;=Resumen!$B$7),0,MAX(0,AVERAGEIFS(B377:B473,D377:D473,1)-Resumen!$B$5*AVERAGEIFS(C377:C473,D377:D473,1)))</f>
        <v>0</v>
      </c>
      <c r="F425" s="10" t="n">
        <f aca="false">IF(B425="","",(B425-E425)/Resumen!$B$5)</f>
        <v>1.36767275615568</v>
      </c>
      <c r="G425" s="10" t="n">
        <f aca="false">IF(OR(F425="",C425=""),0,(F425-C425)*0.9)</f>
        <v>1.23090548054011</v>
      </c>
      <c r="H425" s="26" t="str">
        <f aca="false">IF(A425&lt;Resumen!$B$11,"",IF(H424="",0,H424)+G425/Resumen!$B$9)</f>
        <v/>
      </c>
      <c r="I425" s="26" t="str">
        <f aca="false">IF(H425="","",H425-AVERAGE(H377:H473))</f>
        <v/>
      </c>
      <c r="J425" s="27" t="str">
        <f aca="false">IF(I425="","",Resumen!$B$10-(MAX(I377:I473)-I425))</f>
        <v/>
      </c>
    </row>
    <row r="426" customFormat="false" ht="15" hidden="false" customHeight="false" outlineLevel="0" collapsed="false">
      <c r="A426" s="24" t="n">
        <v>46265.8125</v>
      </c>
      <c r="B426" s="10" t="n">
        <v>3.4083</v>
      </c>
      <c r="C426" s="10" t="n">
        <v>0</v>
      </c>
      <c r="D426" s="10" t="n">
        <f aca="false">IF(OR(B426="",C426="",B426&lt;=0.05,C426&lt;=0.05),0,1)</f>
        <v>0</v>
      </c>
      <c r="E426" s="25" t="n">
        <f aca="false">IF(OR(A426&lt;Resumen!$B$6,A426&gt;=Resumen!$B$7),0,MAX(0,AVERAGEIFS(B378:B474,D378:D474,1)-Resumen!$B$5*AVERAGEIFS(C378:C474,D378:D474,1)))</f>
        <v>0</v>
      </c>
      <c r="F426" s="10" t="n">
        <f aca="false">IF(B426="","",(B426-E426)/Resumen!$B$5)</f>
        <v>2.70714853057983</v>
      </c>
      <c r="G426" s="10" t="n">
        <f aca="false">IF(OR(F426="",C426=""),0,(F426-C426)*0.9)</f>
        <v>2.43643367752184</v>
      </c>
      <c r="H426" s="26" t="str">
        <f aca="false">IF(A426&lt;Resumen!$B$11,"",IF(H425="",0,H425)+G426/Resumen!$B$9)</f>
        <v/>
      </c>
      <c r="I426" s="26" t="str">
        <f aca="false">IF(H426="","",H426-AVERAGE(H378:H474))</f>
        <v/>
      </c>
      <c r="J426" s="27" t="str">
        <f aca="false">IF(I426="","",Resumen!$B$10-(MAX(I378:I474)-I426))</f>
        <v/>
      </c>
    </row>
    <row r="427" customFormat="false" ht="15" hidden="false" customHeight="false" outlineLevel="0" collapsed="false">
      <c r="A427" s="24" t="n">
        <v>46265.8229166667</v>
      </c>
      <c r="B427" s="10" t="n">
        <v>5.2431</v>
      </c>
      <c r="C427" s="10" t="n">
        <v>0</v>
      </c>
      <c r="D427" s="10" t="n">
        <f aca="false">IF(OR(B427="",C427="",B427&lt;=0.05,C427&lt;=0.05),0,1)</f>
        <v>0</v>
      </c>
      <c r="E427" s="25" t="n">
        <f aca="false">IF(OR(A427&lt;Resumen!$B$6,A427&gt;=Resumen!$B$7),0,MAX(0,AVERAGEIFS(B379:B475,D379:D475,1)-Resumen!$B$5*AVERAGEIFS(C379:C475,D379:D475,1)))</f>
        <v>0</v>
      </c>
      <c r="F427" s="10" t="n">
        <f aca="false">IF(B427="","",(B427-E427)/Resumen!$B$5)</f>
        <v>4.16449563145354</v>
      </c>
      <c r="G427" s="10" t="n">
        <f aca="false">IF(OR(F427="",C427=""),0,(F427-C427)*0.9)</f>
        <v>3.74804606830818</v>
      </c>
      <c r="H427" s="26" t="str">
        <f aca="false">IF(A427&lt;Resumen!$B$11,"",IF(H426="",0,H426)+G427/Resumen!$B$9)</f>
        <v/>
      </c>
      <c r="I427" s="26" t="str">
        <f aca="false">IF(H427="","",H427-AVERAGE(H379:H475))</f>
        <v/>
      </c>
      <c r="J427" s="27" t="str">
        <f aca="false">IF(I427="","",Resumen!$B$10-(MAX(I379:I475)-I427))</f>
        <v/>
      </c>
    </row>
    <row r="428" customFormat="false" ht="15" hidden="false" customHeight="false" outlineLevel="0" collapsed="false">
      <c r="A428" s="24" t="n">
        <v>46265.8333333333</v>
      </c>
      <c r="B428" s="10" t="n">
        <v>4.9169</v>
      </c>
      <c r="C428" s="10" t="n">
        <v>0</v>
      </c>
      <c r="D428" s="10" t="n">
        <f aca="false">IF(OR(B428="",C428="",B428&lt;=0.05,C428&lt;=0.05),0,1)</f>
        <v>0</v>
      </c>
      <c r="E428" s="25" t="n">
        <f aca="false">IF(OR(A428&lt;Resumen!$B$6,A428&gt;=Resumen!$B$7),0,MAX(0,AVERAGEIFS(B380:B476,D380:D476,1)-Resumen!$B$5*AVERAGEIFS(C380:C476,D380:D476,1)))</f>
        <v>0</v>
      </c>
      <c r="F428" s="10" t="n">
        <f aca="false">IF(B428="","",(B428-E428)/Resumen!$B$5)</f>
        <v>3.90540111199365</v>
      </c>
      <c r="G428" s="10" t="n">
        <f aca="false">IF(OR(F428="",C428=""),0,(F428-C428)*0.9)</f>
        <v>3.51486100079428</v>
      </c>
      <c r="H428" s="26" t="str">
        <f aca="false">IF(A428&lt;Resumen!$B$11,"",IF(H427="",0,H427)+G428/Resumen!$B$9)</f>
        <v/>
      </c>
      <c r="I428" s="26" t="str">
        <f aca="false">IF(H428="","",H428-AVERAGE(H380:H476))</f>
        <v/>
      </c>
      <c r="J428" s="27" t="str">
        <f aca="false">IF(I428="","",Resumen!$B$10-(MAX(I380:I476)-I428))</f>
        <v/>
      </c>
    </row>
    <row r="429" customFormat="false" ht="15" hidden="false" customHeight="false" outlineLevel="0" collapsed="false">
      <c r="A429" s="24" t="n">
        <v>46265.84375</v>
      </c>
      <c r="B429" s="10" t="n">
        <v>5.242</v>
      </c>
      <c r="C429" s="10" t="n">
        <v>0</v>
      </c>
      <c r="D429" s="10" t="n">
        <f aca="false">IF(OR(B429="",C429="",B429&lt;=0.05,C429&lt;=0.05),0,1)</f>
        <v>0</v>
      </c>
      <c r="E429" s="25" t="n">
        <f aca="false">IF(OR(A429&lt;Resumen!$B$6,A429&gt;=Resumen!$B$7),0,MAX(0,AVERAGEIFS(B381:B477,D381:D477,1)-Resumen!$B$5*AVERAGEIFS(C381:C477,D381:D477,1)))</f>
        <v>0</v>
      </c>
      <c r="F429" s="10" t="n">
        <f aca="false">IF(B429="","",(B429-E429)/Resumen!$B$5)</f>
        <v>4.16362192216045</v>
      </c>
      <c r="G429" s="10" t="n">
        <f aca="false">IF(OR(F429="",C429=""),0,(F429-C429)*0.9)</f>
        <v>3.7472597299444</v>
      </c>
      <c r="H429" s="26" t="str">
        <f aca="false">IF(A429&lt;Resumen!$B$11,"",IF(H428="",0,H428)+G429/Resumen!$B$9)</f>
        <v/>
      </c>
      <c r="I429" s="26" t="str">
        <f aca="false">IF(H429="","",H429-AVERAGE(H381:H477))</f>
        <v/>
      </c>
      <c r="J429" s="27" t="str">
        <f aca="false">IF(I429="","",Resumen!$B$10-(MAX(I381:I477)-I429))</f>
        <v/>
      </c>
    </row>
    <row r="430" customFormat="false" ht="15" hidden="false" customHeight="false" outlineLevel="0" collapsed="false">
      <c r="A430" s="24" t="n">
        <v>46265.8541666667</v>
      </c>
      <c r="B430" s="10" t="n">
        <v>6.047</v>
      </c>
      <c r="C430" s="10" t="n">
        <v>0</v>
      </c>
      <c r="D430" s="10" t="n">
        <f aca="false">IF(OR(B430="",C430="",B430&lt;=0.05,C430&lt;=0.05),0,1)</f>
        <v>0</v>
      </c>
      <c r="E430" s="25" t="n">
        <f aca="false">IF(OR(A430&lt;Resumen!$B$6,A430&gt;=Resumen!$B$7),0,MAX(0,AVERAGEIFS(B382:B478,D382:D478,1)-Resumen!$B$5*AVERAGEIFS(C382:C478,D382:D478,1)))</f>
        <v>0</v>
      </c>
      <c r="F430" s="10" t="n">
        <f aca="false">IF(B430="","",(B430-E430)/Resumen!$B$5)</f>
        <v>4.80301826846704</v>
      </c>
      <c r="G430" s="10" t="n">
        <f aca="false">IF(OR(F430="",C430=""),0,(F430-C430)*0.9)</f>
        <v>4.32271644162033</v>
      </c>
      <c r="H430" s="26" t="str">
        <f aca="false">IF(A430&lt;Resumen!$B$11,"",IF(H429="",0,H429)+G430/Resumen!$B$9)</f>
        <v/>
      </c>
      <c r="I430" s="26" t="str">
        <f aca="false">IF(H430="","",H430-AVERAGE(H382:H478))</f>
        <v/>
      </c>
      <c r="J430" s="27" t="str">
        <f aca="false">IF(I430="","",Resumen!$B$10-(MAX(I382:I478)-I430))</f>
        <v/>
      </c>
    </row>
    <row r="431" customFormat="false" ht="15" hidden="false" customHeight="false" outlineLevel="0" collapsed="false">
      <c r="A431" s="24" t="n">
        <v>46265.8645833333</v>
      </c>
      <c r="B431" s="10" t="n">
        <v>7.0323</v>
      </c>
      <c r="C431" s="10" t="n">
        <v>0</v>
      </c>
      <c r="D431" s="10" t="n">
        <f aca="false">IF(OR(B431="",C431="",B431&lt;=0.05,C431&lt;=0.05),0,1)</f>
        <v>0</v>
      </c>
      <c r="E431" s="25" t="n">
        <f aca="false">IF(OR(A431&lt;Resumen!$B$6,A431&gt;=Resumen!$B$7),0,MAX(0,AVERAGEIFS(B383:B479,D383:D479,1)-Resumen!$B$5*AVERAGEIFS(C383:C479,D383:D479,1)))</f>
        <v>0</v>
      </c>
      <c r="F431" s="10" t="n">
        <f aca="false">IF(B431="","",(B431-E431)/Resumen!$B$5)</f>
        <v>5.5856235107228</v>
      </c>
      <c r="G431" s="10" t="n">
        <f aca="false">IF(OR(F431="",C431=""),0,(F431-C431)*0.9)</f>
        <v>5.02706115965052</v>
      </c>
      <c r="H431" s="26" t="str">
        <f aca="false">IF(A431&lt;Resumen!$B$11,"",IF(H430="",0,H430)+G431/Resumen!$B$9)</f>
        <v/>
      </c>
      <c r="I431" s="26" t="str">
        <f aca="false">IF(H431="","",H431-AVERAGE(H383:H479))</f>
        <v/>
      </c>
      <c r="J431" s="27" t="str">
        <f aca="false">IF(I431="","",Resumen!$B$10-(MAX(I383:I479)-I431))</f>
        <v/>
      </c>
    </row>
    <row r="432" customFormat="false" ht="15" hidden="false" customHeight="false" outlineLevel="0" collapsed="false">
      <c r="A432" s="24" t="n">
        <v>46265.875</v>
      </c>
      <c r="B432" s="10" t="n">
        <v>5.7156</v>
      </c>
      <c r="C432" s="10" t="n">
        <v>0</v>
      </c>
      <c r="D432" s="10" t="n">
        <f aca="false">IF(OR(B432="",C432="",B432&lt;=0.05,C432&lt;=0.05),0,1)</f>
        <v>0</v>
      </c>
      <c r="E432" s="25" t="n">
        <f aca="false">IF(OR(A432&lt;Resumen!$B$6,A432&gt;=Resumen!$B$7),0,MAX(0,AVERAGEIFS(B384:B480,D384:D480,1)-Resumen!$B$5*AVERAGEIFS(C384:C480,D384:D480,1)))</f>
        <v>0</v>
      </c>
      <c r="F432" s="10" t="n">
        <f aca="false">IF(B432="","",(B432-E432)/Resumen!$B$5)</f>
        <v>4.53979348689436</v>
      </c>
      <c r="G432" s="10" t="n">
        <f aca="false">IF(OR(F432="",C432=""),0,(F432-C432)*0.9)</f>
        <v>4.08581413820493</v>
      </c>
      <c r="H432" s="26" t="str">
        <f aca="false">IF(A432&lt;Resumen!$B$11,"",IF(H431="",0,H431)+G432/Resumen!$B$9)</f>
        <v/>
      </c>
      <c r="I432" s="26" t="str">
        <f aca="false">IF(H432="","",H432-AVERAGE(H384:H480))</f>
        <v/>
      </c>
      <c r="J432" s="27" t="str">
        <f aca="false">IF(I432="","",Resumen!$B$10-(MAX(I384:I480)-I432))</f>
        <v/>
      </c>
    </row>
    <row r="433" customFormat="false" ht="15" hidden="false" customHeight="false" outlineLevel="0" collapsed="false">
      <c r="A433" s="24" t="n">
        <v>46265.8854166667</v>
      </c>
      <c r="B433" s="10" t="n">
        <v>5.5757</v>
      </c>
      <c r="C433" s="10" t="n">
        <v>0</v>
      </c>
      <c r="D433" s="10" t="n">
        <f aca="false">IF(OR(B433="",C433="",B433&lt;=0.05,C433&lt;=0.05),0,1)</f>
        <v>0</v>
      </c>
      <c r="E433" s="25" t="n">
        <f aca="false">IF(OR(A433&lt;Resumen!$B$6,A433&gt;=Resumen!$B$7),0,MAX(0,AVERAGEIFS(B385:B481,D385:D481,1)-Resumen!$B$5*AVERAGEIFS(C385:C481,D385:D481,1)))</f>
        <v>0</v>
      </c>
      <c r="F433" s="10" t="n">
        <f aca="false">IF(B433="","",(B433-E433)/Resumen!$B$5)</f>
        <v>4.42867355043686</v>
      </c>
      <c r="G433" s="10" t="n">
        <f aca="false">IF(OR(F433="",C433=""),0,(F433-C433)*0.9)</f>
        <v>3.98580619539317</v>
      </c>
      <c r="H433" s="26" t="str">
        <f aca="false">IF(A433&lt;Resumen!$B$11,"",IF(H432="",0,H432)+G433/Resumen!$B$9)</f>
        <v/>
      </c>
      <c r="I433" s="26" t="str">
        <f aca="false">IF(H433="","",H433-AVERAGE(H385:H481))</f>
        <v/>
      </c>
      <c r="J433" s="27" t="str">
        <f aca="false">IF(I433="","",Resumen!$B$10-(MAX(I385:I481)-I433))</f>
        <v/>
      </c>
    </row>
    <row r="434" customFormat="false" ht="15" hidden="false" customHeight="false" outlineLevel="0" collapsed="false">
      <c r="A434" s="24" t="n">
        <v>46265.8958333333</v>
      </c>
      <c r="B434" s="10" t="n">
        <v>6.3055</v>
      </c>
      <c r="C434" s="10" t="n">
        <v>0</v>
      </c>
      <c r="D434" s="10" t="n">
        <f aca="false">IF(OR(B434="",C434="",B434&lt;=0.05,C434&lt;=0.05),0,1)</f>
        <v>0</v>
      </c>
      <c r="E434" s="25" t="n">
        <f aca="false">IF(OR(A434&lt;Resumen!$B$6,A434&gt;=Resumen!$B$7),0,MAX(0,AVERAGEIFS(B386:B482,D386:D482,1)-Resumen!$B$5*AVERAGEIFS(C386:C482,D386:D482,1)))</f>
        <v>0</v>
      </c>
      <c r="F434" s="10" t="n">
        <f aca="false">IF(B434="","",(B434-E434)/Resumen!$B$5)</f>
        <v>5.00833995234313</v>
      </c>
      <c r="G434" s="10" t="n">
        <f aca="false">IF(OR(F434="",C434=""),0,(F434-C434)*0.9)</f>
        <v>4.50750595710882</v>
      </c>
      <c r="H434" s="26" t="str">
        <f aca="false">IF(A434&lt;Resumen!$B$11,"",IF(H433="",0,H433)+G434/Resumen!$B$9)</f>
        <v/>
      </c>
      <c r="I434" s="26" t="str">
        <f aca="false">IF(H434="","",H434-AVERAGE(H386:H482))</f>
        <v/>
      </c>
      <c r="J434" s="27" t="str">
        <f aca="false">IF(I434="","",Resumen!$B$10-(MAX(I386:I482)-I434))</f>
        <v/>
      </c>
    </row>
    <row r="435" customFormat="false" ht="15" hidden="false" customHeight="false" outlineLevel="0" collapsed="false">
      <c r="A435" s="24" t="n">
        <v>46265.90625</v>
      </c>
      <c r="B435" s="10" t="n">
        <v>6.8039</v>
      </c>
      <c r="C435" s="10" t="n">
        <v>0</v>
      </c>
      <c r="D435" s="10" t="n">
        <f aca="false">IF(OR(B435="",C435="",B435&lt;=0.05,C435&lt;=0.05),0,1)</f>
        <v>0</v>
      </c>
      <c r="E435" s="25" t="n">
        <f aca="false">IF(OR(A435&lt;Resumen!$B$6,A435&gt;=Resumen!$B$7),0,MAX(0,AVERAGEIFS(B387:B483,D387:D483,1)-Resumen!$B$5*AVERAGEIFS(C387:C483,D387:D483,1)))</f>
        <v>0</v>
      </c>
      <c r="F435" s="10" t="n">
        <f aca="false">IF(B435="","",(B435-E435)/Resumen!$B$5)</f>
        <v>5.40420969023034</v>
      </c>
      <c r="G435" s="10" t="n">
        <f aca="false">IF(OR(F435="",C435=""),0,(F435-C435)*0.9)</f>
        <v>4.86378872120731</v>
      </c>
      <c r="H435" s="26" t="str">
        <f aca="false">IF(A435&lt;Resumen!$B$11,"",IF(H434="",0,H434)+G435/Resumen!$B$9)</f>
        <v/>
      </c>
      <c r="I435" s="26" t="str">
        <f aca="false">IF(H435="","",H435-AVERAGE(H387:H483))</f>
        <v/>
      </c>
      <c r="J435" s="27" t="str">
        <f aca="false">IF(I435="","",Resumen!$B$10-(MAX(I387:I483)-I435))</f>
        <v/>
      </c>
    </row>
    <row r="436" customFormat="false" ht="15" hidden="false" customHeight="false" outlineLevel="0" collapsed="false">
      <c r="A436" s="24" t="n">
        <v>46265.9166666667</v>
      </c>
      <c r="B436" s="10" t="n">
        <v>8.1255</v>
      </c>
      <c r="C436" s="10" t="n">
        <v>0</v>
      </c>
      <c r="D436" s="10" t="n">
        <f aca="false">IF(OR(B436="",C436="",B436&lt;=0.05,C436&lt;=0.05),0,1)</f>
        <v>0</v>
      </c>
      <c r="E436" s="25" t="n">
        <f aca="false">IF(OR(A436&lt;Resumen!$B$6,A436&gt;=Resumen!$B$7),0,MAX(0,AVERAGEIFS(B388:B484,D388:D484,1)-Resumen!$B$5*AVERAGEIFS(C388:C484,D388:D484,1)))</f>
        <v>0</v>
      </c>
      <c r="F436" s="10" t="n">
        <f aca="false">IF(B436="","",(B436-E436)/Resumen!$B$5)</f>
        <v>6.45393169181891</v>
      </c>
      <c r="G436" s="10" t="n">
        <f aca="false">IF(OR(F436="",C436=""),0,(F436-C436)*0.9)</f>
        <v>5.80853852263702</v>
      </c>
      <c r="H436" s="26" t="str">
        <f aca="false">IF(A436&lt;Resumen!$B$11,"",IF(H435="",0,H435)+G436/Resumen!$B$9)</f>
        <v/>
      </c>
      <c r="I436" s="26" t="str">
        <f aca="false">IF(H436="","",H436-AVERAGE(H388:H484))</f>
        <v/>
      </c>
      <c r="J436" s="27" t="str">
        <f aca="false">IF(I436="","",Resumen!$B$10-(MAX(I388:I484)-I436))</f>
        <v/>
      </c>
    </row>
    <row r="437" customFormat="false" ht="15" hidden="false" customHeight="false" outlineLevel="0" collapsed="false">
      <c r="A437" s="24" t="n">
        <v>46265.9270833333</v>
      </c>
      <c r="B437" s="10" t="n">
        <v>8.4644</v>
      </c>
      <c r="C437" s="10" t="n">
        <v>0</v>
      </c>
      <c r="D437" s="10" t="n">
        <f aca="false">IF(OR(B437="",C437="",B437&lt;=0.05,C437&lt;=0.05),0,1)</f>
        <v>0</v>
      </c>
      <c r="E437" s="25" t="n">
        <f aca="false">IF(OR(A437&lt;Resumen!$B$6,A437&gt;=Resumen!$B$7),0,MAX(0,AVERAGEIFS(B389:B485,D389:D485,1)-Resumen!$B$5*AVERAGEIFS(C389:C485,D389:D485,1)))</f>
        <v>0</v>
      </c>
      <c r="F437" s="10" t="n">
        <f aca="false">IF(B437="","",(B437-E437)/Resumen!$B$5)</f>
        <v>6.7231135822081</v>
      </c>
      <c r="G437" s="10" t="n">
        <f aca="false">IF(OR(F437="",C437=""),0,(F437-C437)*0.9)</f>
        <v>6.05080222398729</v>
      </c>
      <c r="H437" s="26" t="str">
        <f aca="false">IF(A437&lt;Resumen!$B$11,"",IF(H436="",0,H436)+G437/Resumen!$B$9)</f>
        <v/>
      </c>
      <c r="I437" s="26" t="str">
        <f aca="false">IF(H437="","",H437-AVERAGE(H389:H485))</f>
        <v/>
      </c>
      <c r="J437" s="27" t="str">
        <f aca="false">IF(I437="","",Resumen!$B$10-(MAX(I389:I485)-I437))</f>
        <v/>
      </c>
    </row>
    <row r="438" customFormat="false" ht="15" hidden="false" customHeight="false" outlineLevel="0" collapsed="false">
      <c r="A438" s="24" t="n">
        <v>46265.9375</v>
      </c>
      <c r="B438" s="10" t="n">
        <v>9.2169</v>
      </c>
      <c r="C438" s="10" t="n">
        <v>0</v>
      </c>
      <c r="D438" s="10" t="n">
        <f aca="false">IF(OR(B438="",C438="",B438&lt;=0.05,C438&lt;=0.05),0,1)</f>
        <v>0</v>
      </c>
      <c r="E438" s="25" t="n">
        <f aca="false">IF(OR(A438&lt;Resumen!$B$6,A438&gt;=Resumen!$B$7),0,MAX(0,AVERAGEIFS(B390:B486,D390:D486,1)-Resumen!$B$5*AVERAGEIFS(C390:C486,D390:D486,1)))</f>
        <v>0</v>
      </c>
      <c r="F438" s="10" t="n">
        <f aca="false">IF(B438="","",(B438-E438)/Resumen!$B$5)</f>
        <v>7.32081016679905</v>
      </c>
      <c r="G438" s="10" t="n">
        <f aca="false">IF(OR(F438="",C438=""),0,(F438-C438)*0.9)</f>
        <v>6.58872915011914</v>
      </c>
      <c r="H438" s="26" t="str">
        <f aca="false">IF(A438&lt;Resumen!$B$11,"",IF(H437="",0,H437)+G438/Resumen!$B$9)</f>
        <v/>
      </c>
      <c r="I438" s="26" t="str">
        <f aca="false">IF(H438="","",H438-AVERAGE(H390:H486))</f>
        <v/>
      </c>
      <c r="J438" s="27" t="str">
        <f aca="false">IF(I438="","",Resumen!$B$10-(MAX(I390:I486)-I438))</f>
        <v/>
      </c>
    </row>
    <row r="439" customFormat="false" ht="15" hidden="false" customHeight="false" outlineLevel="0" collapsed="false">
      <c r="A439" s="24" t="n">
        <v>46265.9479166667</v>
      </c>
      <c r="B439" s="10" t="n">
        <v>8.1564</v>
      </c>
      <c r="C439" s="10" t="n">
        <v>0</v>
      </c>
      <c r="D439" s="10" t="n">
        <f aca="false">IF(OR(B439="",C439="",B439&lt;=0.05,C439&lt;=0.05),0,1)</f>
        <v>0</v>
      </c>
      <c r="E439" s="25" t="n">
        <f aca="false">IF(OR(A439&lt;Resumen!$B$6,A439&gt;=Resumen!$B$7),0,MAX(0,AVERAGEIFS(B391:B487,D391:D487,1)-Resumen!$B$5*AVERAGEIFS(C391:C487,D391:D487,1)))</f>
        <v>0</v>
      </c>
      <c r="F439" s="10" t="n">
        <f aca="false">IF(B439="","",(B439-E439)/Resumen!$B$5)</f>
        <v>6.47847498014297</v>
      </c>
      <c r="G439" s="10" t="n">
        <f aca="false">IF(OR(F439="",C439=""),0,(F439-C439)*0.9)</f>
        <v>5.83062748212867</v>
      </c>
      <c r="H439" s="26" t="str">
        <f aca="false">IF(A439&lt;Resumen!$B$11,"",IF(H438="",0,H438)+G439/Resumen!$B$9)</f>
        <v/>
      </c>
      <c r="I439" s="26" t="str">
        <f aca="false">IF(H439="","",H439-AVERAGE(H391:H487))</f>
        <v/>
      </c>
      <c r="J439" s="27" t="str">
        <f aca="false">IF(I439="","",Resumen!$B$10-(MAX(I391:I487)-I439))</f>
        <v/>
      </c>
    </row>
    <row r="440" customFormat="false" ht="15" hidden="false" customHeight="false" outlineLevel="0" collapsed="false">
      <c r="A440" s="24" t="n">
        <v>46265.9583333333</v>
      </c>
      <c r="B440" s="10" t="n">
        <v>10.3714</v>
      </c>
      <c r="C440" s="10" t="n">
        <v>0</v>
      </c>
      <c r="D440" s="10" t="n">
        <f aca="false">IF(OR(B440="",C440="",B440&lt;=0.05,C440&lt;=0.05),0,1)</f>
        <v>0</v>
      </c>
      <c r="E440" s="25" t="n">
        <f aca="false">IF(OR(A440&lt;Resumen!$B$6,A440&gt;=Resumen!$B$7),0,MAX(0,AVERAGEIFS(B392:B488,D392:D488,1)-Resumen!$B$5*AVERAGEIFS(C392:C488,D392:D488,1)))</f>
        <v>0</v>
      </c>
      <c r="F440" s="10" t="n">
        <f aca="false">IF(B440="","",(B440-E440)/Resumen!$B$5)</f>
        <v>8.23780778395552</v>
      </c>
      <c r="G440" s="10" t="n">
        <f aca="false">IF(OR(F440="",C440=""),0,(F440-C440)*0.9)</f>
        <v>7.41402700555997</v>
      </c>
      <c r="H440" s="26" t="str">
        <f aca="false">IF(A440&lt;Resumen!$B$11,"",IF(H439="",0,H439)+G440/Resumen!$B$9)</f>
        <v/>
      </c>
      <c r="I440" s="26" t="str">
        <f aca="false">IF(H440="","",H440-AVERAGE(H392:H488))</f>
        <v/>
      </c>
      <c r="J440" s="27" t="str">
        <f aca="false">IF(I440="","",Resumen!$B$10-(MAX(I392:I488)-I440))</f>
        <v/>
      </c>
    </row>
    <row r="441" customFormat="false" ht="15" hidden="false" customHeight="false" outlineLevel="0" collapsed="false">
      <c r="A441" s="24" t="n">
        <v>46265.96875</v>
      </c>
      <c r="B441" s="10" t="n">
        <v>2.2678</v>
      </c>
      <c r="C441" s="10" t="n">
        <v>0</v>
      </c>
      <c r="D441" s="10" t="n">
        <f aca="false">IF(OR(B441="",C441="",B441&lt;=0.05,C441&lt;=0.05),0,1)</f>
        <v>0</v>
      </c>
      <c r="E441" s="25" t="n">
        <f aca="false">IF(OR(A441&lt;Resumen!$B$6,A441&gt;=Resumen!$B$7),0,MAX(0,AVERAGEIFS(B393:B489,D393:D489,1)-Resumen!$B$5*AVERAGEIFS(C393:C489,D393:D489,1)))</f>
        <v>0</v>
      </c>
      <c r="F441" s="10" t="n">
        <f aca="false">IF(B441="","",(B441-E441)/Resumen!$B$5)</f>
        <v>1.80127084988086</v>
      </c>
      <c r="G441" s="10" t="n">
        <f aca="false">IF(OR(F441="",C441=""),0,(F441-C441)*0.9)</f>
        <v>1.62114376489277</v>
      </c>
      <c r="H441" s="26" t="str">
        <f aca="false">IF(A441&lt;Resumen!$B$11,"",IF(H440="",0,H440)+G441/Resumen!$B$9)</f>
        <v/>
      </c>
      <c r="I441" s="26" t="str">
        <f aca="false">IF(H441="","",H441-AVERAGE(H393:H489))</f>
        <v/>
      </c>
      <c r="J441" s="27" t="str">
        <f aca="false">IF(I441="","",Resumen!$B$10-(MAX(I393:I489)-I441))</f>
        <v/>
      </c>
    </row>
    <row r="442" customFormat="false" ht="15" hidden="false" customHeight="false" outlineLevel="0" collapsed="false">
      <c r="A442" s="24" t="n">
        <v>46265.9791666667</v>
      </c>
      <c r="B442" s="10" t="n">
        <v>3.5701</v>
      </c>
      <c r="C442" s="10" t="n">
        <v>0</v>
      </c>
      <c r="D442" s="10" t="n">
        <f aca="false">IF(OR(B442="",C442="",B442&lt;=0.05,C442&lt;=0.05),0,1)</f>
        <v>0</v>
      </c>
      <c r="E442" s="25" t="n">
        <f aca="false">IF(OR(A442&lt;Resumen!$B$6,A442&gt;=Resumen!$B$7),0,MAX(0,AVERAGEIFS(B394:B490,D394:D490,1)-Resumen!$B$5*AVERAGEIFS(C394:C490,D394:D490,1)))</f>
        <v>0</v>
      </c>
      <c r="F442" s="10" t="n">
        <f aca="false">IF(B442="","",(B442-E442)/Resumen!$B$5)</f>
        <v>2.83566322478157</v>
      </c>
      <c r="G442" s="10" t="n">
        <f aca="false">IF(OR(F442="",C442=""),0,(F442-C442)*0.9)</f>
        <v>2.55209690230342</v>
      </c>
      <c r="H442" s="26" t="str">
        <f aca="false">IF(A442&lt;Resumen!$B$11,"",IF(H441="",0,H441)+G442/Resumen!$B$9)</f>
        <v/>
      </c>
      <c r="I442" s="26" t="str">
        <f aca="false">IF(H442="","",H442-AVERAGE(H394:H490))</f>
        <v/>
      </c>
      <c r="J442" s="27" t="str">
        <f aca="false">IF(I442="","",Resumen!$B$10-(MAX(I394:I490)-I442))</f>
        <v/>
      </c>
    </row>
    <row r="443" customFormat="false" ht="15" hidden="false" customHeight="false" outlineLevel="0" collapsed="false">
      <c r="A443" s="24" t="n">
        <v>46265.9895833333</v>
      </c>
      <c r="B443" s="10" t="n">
        <v>2.6756</v>
      </c>
      <c r="C443" s="10" t="n">
        <v>0</v>
      </c>
      <c r="D443" s="10" t="n">
        <f aca="false">IF(OR(B443="",C443="",B443&lt;=0.05,C443&lt;=0.05),0,1)</f>
        <v>0</v>
      </c>
      <c r="E443" s="25" t="n">
        <f aca="false">IF(OR(A443&lt;Resumen!$B$6,A443&gt;=Resumen!$B$7),0,MAX(0,AVERAGEIFS(B395:B491,D395:D491,1)-Resumen!$B$5*AVERAGEIFS(C395:C491,D395:D491,1)))</f>
        <v>0</v>
      </c>
      <c r="F443" s="10" t="n">
        <f aca="false">IF(B443="","",(B443-E443)/Resumen!$B$5)</f>
        <v>2.1251787132645</v>
      </c>
      <c r="G443" s="10" t="n">
        <f aca="false">IF(OR(F443="",C443=""),0,(F443-C443)*0.9)</f>
        <v>1.91266084193805</v>
      </c>
      <c r="H443" s="26" t="str">
        <f aca="false">IF(A443&lt;Resumen!$B$11,"",IF(H442="",0,H442)+G443/Resumen!$B$9)</f>
        <v/>
      </c>
      <c r="I443" s="26" t="str">
        <f aca="false">IF(H443="","",H443-AVERAGE(H395:H491))</f>
        <v/>
      </c>
      <c r="J443" s="27" t="str">
        <f aca="false">IF(I443="","",Resumen!$B$10-(MAX(I395:I491)-I443))</f>
        <v/>
      </c>
    </row>
    <row r="444" customFormat="false" ht="15" hidden="false" customHeight="false" outlineLevel="0" collapsed="false">
      <c r="A444" s="24" t="n">
        <v>46266</v>
      </c>
      <c r="B444" s="10" t="n">
        <v>2.5033</v>
      </c>
      <c r="C444" s="10" t="n">
        <v>2.2136</v>
      </c>
      <c r="D444" s="10" t="n">
        <f aca="false">IF(OR(B444="",C444="",B444&lt;=0.05,C444&lt;=0.05),0,1)</f>
        <v>1</v>
      </c>
      <c r="E444" s="25" t="n">
        <f aca="false">IF(OR(A444&lt;Resumen!$B$6,A444&gt;=Resumen!$B$7),0,MAX(0,AVERAGEIFS(B396:B492,D396:D492,1)-Resumen!$B$5*AVERAGEIFS(C396:C492,D396:D492,1)))</f>
        <v>0</v>
      </c>
      <c r="F444" s="10" t="n">
        <f aca="false">IF(B444="","",(B444-E444)/Resumen!$B$5)</f>
        <v>1.98832406671962</v>
      </c>
      <c r="G444" s="10" t="n">
        <f aca="false">IF(OR(F444="",C444=""),0,(F444-C444)*0.9)</f>
        <v>-0.202748339952343</v>
      </c>
      <c r="H444" s="26" t="n">
        <f aca="false">IF(A444&lt;Resumen!$B$11,"",IF(H443="",0,H443)+G444/Resumen!$B$9)</f>
        <v>-0.00958368895484986</v>
      </c>
      <c r="I444" s="26" t="n">
        <f aca="false">IF(H444="","",H444-AVERAGE(H396:H492))</f>
        <v>-0.0418288123253001</v>
      </c>
      <c r="J444" s="27" t="n">
        <f aca="false">IF(I444="","",Resumen!$B$10-(MAX(I396:I492)-I444))</f>
        <v>1.77013778105275</v>
      </c>
    </row>
    <row r="445" customFormat="false" ht="15" hidden="false" customHeight="false" outlineLevel="0" collapsed="false">
      <c r="A445" s="24" t="n">
        <v>46266.0104166667</v>
      </c>
      <c r="B445" s="10" t="n">
        <v>2.418</v>
      </c>
      <c r="C445" s="10" t="n">
        <v>1.8997</v>
      </c>
      <c r="D445" s="10" t="n">
        <f aca="false">IF(OR(B445="",C445="",B445&lt;=0.05,C445&lt;=0.05),0,1)</f>
        <v>1</v>
      </c>
      <c r="E445" s="25" t="n">
        <f aca="false">IF(OR(A445&lt;Resumen!$B$6,A445&gt;=Resumen!$B$7),0,MAX(0,AVERAGEIFS(B397:B493,D397:D493,1)-Resumen!$B$5*AVERAGEIFS(C397:C493,D397:D493,1)))</f>
        <v>0</v>
      </c>
      <c r="F445" s="10" t="n">
        <f aca="false">IF(B445="","",(B445-E445)/Resumen!$B$5)</f>
        <v>1.92057188244639</v>
      </c>
      <c r="G445" s="10" t="n">
        <f aca="false">IF(OR(F445="",C445=""),0,(F445-C445)*0.9)</f>
        <v>0.0187846942017476</v>
      </c>
      <c r="H445" s="26" t="n">
        <f aca="false">IF(A445&lt;Resumen!$B$11,"",IF(H444="",0,H444)+G445/Resumen!$B$9)</f>
        <v>-0.00869575731317114</v>
      </c>
      <c r="I445" s="26" t="n">
        <f aca="false">IF(H445="","",H445-AVERAGE(H397:H493))</f>
        <v>-0.0425497773953401</v>
      </c>
      <c r="J445" s="27" t="n">
        <f aca="false">IF(I445="","",Resumen!$B$10-(MAX(I397:I493)-I445))</f>
        <v>1.76941681598271</v>
      </c>
    </row>
    <row r="446" customFormat="false" ht="15" hidden="false" customHeight="false" outlineLevel="0" collapsed="false">
      <c r="A446" s="24" t="n">
        <v>46266.0208333333</v>
      </c>
      <c r="B446" s="10" t="n">
        <v>3.2416</v>
      </c>
      <c r="C446" s="10" t="n">
        <v>1.9195</v>
      </c>
      <c r="D446" s="10" t="n">
        <f aca="false">IF(OR(B446="",C446="",B446&lt;=0.05,C446&lt;=0.05),0,1)</f>
        <v>1</v>
      </c>
      <c r="E446" s="25" t="n">
        <f aca="false">IF(OR(A446&lt;Resumen!$B$6,A446&gt;=Resumen!$B$7),0,MAX(0,AVERAGEIFS(B398:B494,D398:D494,1)-Resumen!$B$5*AVERAGEIFS(C398:C494,D398:D494,1)))</f>
        <v>0</v>
      </c>
      <c r="F446" s="10" t="n">
        <f aca="false">IF(B446="","",(B446-E446)/Resumen!$B$5)</f>
        <v>2.57474185861795</v>
      </c>
      <c r="G446" s="10" t="n">
        <f aca="false">IF(OR(F446="",C446=""),0,(F446-C446)*0.9)</f>
        <v>0.589717672756156</v>
      </c>
      <c r="H446" s="26" t="n">
        <f aca="false">IF(A446&lt;Resumen!$B$11,"",IF(H445="",0,H445)+G446/Resumen!$B$9)</f>
        <v>0.0191795424214722</v>
      </c>
      <c r="I446" s="26" t="n">
        <f aca="false">IF(H446="","",H446-AVERAGE(H398:H494))</f>
        <v>-0.016143068530443</v>
      </c>
      <c r="J446" s="27" t="n">
        <f aca="false">IF(I446="","",Resumen!$B$10-(MAX(I398:I494)-I446))</f>
        <v>1.79582352484761</v>
      </c>
    </row>
    <row r="447" customFormat="false" ht="15" hidden="false" customHeight="false" outlineLevel="0" collapsed="false">
      <c r="A447" s="24" t="n">
        <v>46266.03125</v>
      </c>
      <c r="B447" s="10" t="n">
        <v>2.4967</v>
      </c>
      <c r="C447" s="10" t="n">
        <v>1.6062</v>
      </c>
      <c r="D447" s="10" t="n">
        <f aca="false">IF(OR(B447="",C447="",B447&lt;=0.05,C447&lt;=0.05),0,1)</f>
        <v>1</v>
      </c>
      <c r="E447" s="25" t="n">
        <f aca="false">IF(OR(A447&lt;Resumen!$B$6,A447&gt;=Resumen!$B$7),0,MAX(0,AVERAGEIFS(B399:B495,D399:D495,1)-Resumen!$B$5*AVERAGEIFS(C399:C495,D399:D495,1)))</f>
        <v>0</v>
      </c>
      <c r="F447" s="10" t="n">
        <f aca="false">IF(B447="","",(B447-E447)/Resumen!$B$5)</f>
        <v>1.98308181096108</v>
      </c>
      <c r="G447" s="10" t="n">
        <f aca="false">IF(OR(F447="",C447=""),0,(F447-C447)*0.9)</f>
        <v>0.339193629864973</v>
      </c>
      <c r="H447" s="26" t="n">
        <f aca="false">IF(A447&lt;Resumen!$B$11,"",IF(H446="",0,H446)+G447/Resumen!$B$9)</f>
        <v>0.0352128487600419</v>
      </c>
      <c r="I447" s="26" t="n">
        <f aca="false">IF(H447="","",H447-AVERAGE(H399:H495))</f>
        <v>-0.0015468154688304</v>
      </c>
      <c r="J447" s="27" t="n">
        <f aca="false">IF(I447="","",Resumen!$B$10-(MAX(I399:I495)-I447))</f>
        <v>1.81041977790922</v>
      </c>
    </row>
    <row r="448" customFormat="false" ht="15" hidden="false" customHeight="false" outlineLevel="0" collapsed="false">
      <c r="A448" s="24" t="n">
        <v>46266.0416666667</v>
      </c>
      <c r="B448" s="10" t="n">
        <v>2.1241</v>
      </c>
      <c r="C448" s="10" t="n">
        <v>1.687</v>
      </c>
      <c r="D448" s="10" t="n">
        <f aca="false">IF(OR(B448="",C448="",B448&lt;=0.05,C448&lt;=0.05),0,1)</f>
        <v>1</v>
      </c>
      <c r="E448" s="25" t="n">
        <f aca="false">IF(OR(A448&lt;Resumen!$B$6,A448&gt;=Resumen!$B$7),0,MAX(0,AVERAGEIFS(B400:B496,D400:D496,1)-Resumen!$B$5*AVERAGEIFS(C400:C496,D400:D496,1)))</f>
        <v>0</v>
      </c>
      <c r="F448" s="10" t="n">
        <f aca="false">IF(B448="","",(B448-E448)/Resumen!$B$5)</f>
        <v>1.68713264495631</v>
      </c>
      <c r="G448" s="10" t="n">
        <f aca="false">IF(OR(F448="",C448=""),0,(F448-C448)*0.9)</f>
        <v>0.000119380460683138</v>
      </c>
      <c r="H448" s="26" t="n">
        <f aca="false">IF(A448&lt;Resumen!$B$11,"",IF(H447="",0,H447)+G448/Resumen!$B$9)</f>
        <v>0.0352184917418919</v>
      </c>
      <c r="I448" s="26" t="n">
        <f aca="false">IF(H448="","",H448-AVERAGE(H400:H496))</f>
        <v>-0.00295899549308241</v>
      </c>
      <c r="J448" s="27" t="n">
        <f aca="false">IF(I448="","",Resumen!$B$10-(MAX(I400:I496)-I448))</f>
        <v>1.80900759788497</v>
      </c>
    </row>
    <row r="449" customFormat="false" ht="15" hidden="false" customHeight="false" outlineLevel="0" collapsed="false">
      <c r="A449" s="24" t="n">
        <v>46266.0520833333</v>
      </c>
      <c r="B449" s="10" t="n">
        <v>1.8212</v>
      </c>
      <c r="C449" s="10" t="n">
        <v>1.6036</v>
      </c>
      <c r="D449" s="10" t="n">
        <f aca="false">IF(OR(B449="",C449="",B449&lt;=0.05,C449&lt;=0.05),0,1)</f>
        <v>1</v>
      </c>
      <c r="E449" s="25" t="n">
        <f aca="false">IF(OR(A449&lt;Resumen!$B$6,A449&gt;=Resumen!$B$7),0,MAX(0,AVERAGEIFS(B401:B497,D401:D497,1)-Resumen!$B$5*AVERAGEIFS(C401:C497,D401:D497,1)))</f>
        <v>0</v>
      </c>
      <c r="F449" s="10" t="n">
        <f aca="false">IF(B449="","",(B449-E449)/Resumen!$B$5)</f>
        <v>1.44654487688642</v>
      </c>
      <c r="G449" s="10" t="n">
        <f aca="false">IF(OR(F449="",C449=""),0,(F449-C449)*0.9)</f>
        <v>-0.141349610802224</v>
      </c>
      <c r="H449" s="26" t="n">
        <f aca="false">IF(A449&lt;Resumen!$B$11,"",IF(H448="",0,H448)+G449/Resumen!$B$9)</f>
        <v>0.0285370525540987</v>
      </c>
      <c r="I449" s="26" t="n">
        <f aca="false">IF(H449="","",H449-AVERAGE(H401:H497))</f>
        <v>-0.0105871295190201</v>
      </c>
      <c r="J449" s="27" t="n">
        <f aca="false">IF(I449="","",Resumen!$B$10-(MAX(I401:I497)-I449))</f>
        <v>1.80137946385903</v>
      </c>
    </row>
    <row r="450" customFormat="false" ht="15" hidden="false" customHeight="false" outlineLevel="0" collapsed="false">
      <c r="A450" s="24" t="n">
        <v>46266.0625</v>
      </c>
      <c r="B450" s="10" t="n">
        <v>1.6305</v>
      </c>
      <c r="C450" s="10" t="n">
        <v>1.6814</v>
      </c>
      <c r="D450" s="10" t="n">
        <f aca="false">IF(OR(B450="",C450="",B450&lt;=0.05,C450&lt;=0.05),0,1)</f>
        <v>1</v>
      </c>
      <c r="E450" s="25" t="n">
        <f aca="false">IF(OR(A450&lt;Resumen!$B$6,A450&gt;=Resumen!$B$7),0,MAX(0,AVERAGEIFS(B402:B498,D402:D498,1)-Resumen!$B$5*AVERAGEIFS(C402:C498,D402:D498,1)))</f>
        <v>0</v>
      </c>
      <c r="F450" s="10" t="n">
        <f aca="false">IF(B450="","",(B450-E450)/Resumen!$B$5)</f>
        <v>1.29507545671168</v>
      </c>
      <c r="G450" s="10" t="n">
        <f aca="false">IF(OR(F450="",C450=""),0,(F450-C450)*0.9)</f>
        <v>-0.347692088959492</v>
      </c>
      <c r="H450" s="26" t="n">
        <f aca="false">IF(A450&lt;Resumen!$B$11,"",IF(H449="",0,H449)+G450/Resumen!$B$9)</f>
        <v>0.0121020334884284</v>
      </c>
      <c r="I450" s="26" t="n">
        <f aca="false">IF(H450="","",H450-AVERAGE(H402:H498))</f>
        <v>-0.0278368124481339</v>
      </c>
      <c r="J450" s="27" t="n">
        <f aca="false">IF(I450="","",Resumen!$B$10-(MAX(I402:I498)-I450))</f>
        <v>1.78412978092992</v>
      </c>
    </row>
    <row r="451" customFormat="false" ht="15" hidden="false" customHeight="false" outlineLevel="0" collapsed="false">
      <c r="A451" s="24" t="n">
        <v>46266.0729166667</v>
      </c>
      <c r="B451" s="10" t="n">
        <v>1.6183</v>
      </c>
      <c r="C451" s="10" t="n">
        <v>1.6061</v>
      </c>
      <c r="D451" s="10" t="n">
        <f aca="false">IF(OR(B451="",C451="",B451&lt;=0.05,C451&lt;=0.05),0,1)</f>
        <v>1</v>
      </c>
      <c r="E451" s="25" t="n">
        <f aca="false">IF(OR(A451&lt;Resumen!$B$6,A451&gt;=Resumen!$B$7),0,MAX(0,AVERAGEIFS(B403:B499,D403:D499,1)-Resumen!$B$5*AVERAGEIFS(C403:C499,D403:D499,1)))</f>
        <v>0</v>
      </c>
      <c r="F451" s="10" t="n">
        <f aca="false">IF(B451="","",(B451-E451)/Resumen!$B$5)</f>
        <v>1.28538522637014</v>
      </c>
      <c r="G451" s="10" t="n">
        <f aca="false">IF(OR(F451="",C451=""),0,(F451-C451)*0.9)</f>
        <v>-0.288643296266879</v>
      </c>
      <c r="H451" s="26" t="n">
        <f aca="false">IF(A451&lt;Resumen!$B$11,"",IF(H450="",0,H450)+G451/Resumen!$B$9)</f>
        <v>-0.00154181469782337</v>
      </c>
      <c r="I451" s="26" t="n">
        <f aca="false">IF(H451="","",H451-AVERAGE(H403:H499))</f>
        <v>-0.0430331475212494</v>
      </c>
      <c r="J451" s="27" t="n">
        <f aca="false">IF(I451="","",Resumen!$B$10-(MAX(I403:I499)-I451))</f>
        <v>1.7689334458568</v>
      </c>
    </row>
    <row r="452" customFormat="false" ht="15" hidden="false" customHeight="false" outlineLevel="0" collapsed="false">
      <c r="A452" s="24" t="n">
        <v>46266.0833333333</v>
      </c>
      <c r="B452" s="10" t="n">
        <v>1.9536</v>
      </c>
      <c r="C452" s="10" t="n">
        <v>1.5737</v>
      </c>
      <c r="D452" s="10" t="n">
        <f aca="false">IF(OR(B452="",C452="",B452&lt;=0.05,C452&lt;=0.05),0,1)</f>
        <v>1</v>
      </c>
      <c r="E452" s="25" t="n">
        <f aca="false">IF(OR(A452&lt;Resumen!$B$6,A452&gt;=Resumen!$B$7),0,MAX(0,AVERAGEIFS(B404:B500,D404:D500,1)-Resumen!$B$5*AVERAGEIFS(C404:C500,D404:D500,1)))</f>
        <v>0</v>
      </c>
      <c r="F452" s="10" t="n">
        <f aca="false">IF(B452="","",(B452-E452)/Resumen!$B$5)</f>
        <v>1.5517077045274</v>
      </c>
      <c r="G452" s="10" t="n">
        <f aca="false">IF(OR(F452="",C452=""),0,(F452-C452)*0.9)</f>
        <v>-0.0197930659253376</v>
      </c>
      <c r="H452" s="26" t="n">
        <f aca="false">IF(A452&lt;Resumen!$B$11,"",IF(H451="",0,H451)+G452/Resumen!$B$9)</f>
        <v>-0.00247741095146402</v>
      </c>
      <c r="I452" s="26" t="n">
        <f aca="false">IF(H452="","",H452-AVERAGE(H404:H500))</f>
        <v>-0.0451865668789725</v>
      </c>
      <c r="J452" s="27" t="n">
        <f aca="false">IF(I452="","",Resumen!$B$10-(MAX(I404:I500)-I452))</f>
        <v>1.76678002649908</v>
      </c>
    </row>
    <row r="453" customFormat="false" ht="15" hidden="false" customHeight="false" outlineLevel="0" collapsed="false">
      <c r="A453" s="24" t="n">
        <v>46266.09375</v>
      </c>
      <c r="B453" s="10" t="n">
        <v>3.235</v>
      </c>
      <c r="C453" s="10" t="n">
        <v>1.5682</v>
      </c>
      <c r="D453" s="10" t="n">
        <f aca="false">IF(OR(B453="",C453="",B453&lt;=0.05,C453&lt;=0.05),0,1)</f>
        <v>1</v>
      </c>
      <c r="E453" s="25" t="n">
        <f aca="false">IF(OR(A453&lt;Resumen!$B$6,A453&gt;=Resumen!$B$7),0,MAX(0,AVERAGEIFS(B405:B501,D405:D501,1)-Resumen!$B$5*AVERAGEIFS(C405:C501,D405:D501,1)))</f>
        <v>0</v>
      </c>
      <c r="F453" s="10" t="n">
        <f aca="false">IF(B453="","",(B453-E453)/Resumen!$B$5)</f>
        <v>2.56949960285941</v>
      </c>
      <c r="G453" s="10" t="n">
        <f aca="false">IF(OR(F453="",C453=""),0,(F453-C453)*0.9)</f>
        <v>0.901169642573471</v>
      </c>
      <c r="H453" s="26" t="n">
        <f aca="false">IF(A453&lt;Resumen!$B$11,"",IF(H452="",0,H452)+G453/Resumen!$B$9)</f>
        <v>0.0401198776478282</v>
      </c>
      <c r="I453" s="26" t="n">
        <f aca="false">IF(H453="","",H453-AVERAGE(H405:H501))</f>
        <v>-0.00383679415163598</v>
      </c>
      <c r="J453" s="27" t="n">
        <f aca="false">IF(I453="","",Resumen!$B$10-(MAX(I405:I501)-I453))</f>
        <v>1.80812979922642</v>
      </c>
    </row>
    <row r="454" customFormat="false" ht="15" hidden="false" customHeight="false" outlineLevel="0" collapsed="false">
      <c r="A454" s="24" t="n">
        <v>46266.1041666667</v>
      </c>
      <c r="B454" s="10" t="n">
        <v>2.6365</v>
      </c>
      <c r="C454" s="10" t="n">
        <v>1.5634</v>
      </c>
      <c r="D454" s="10" t="n">
        <f aca="false">IF(OR(B454="",C454="",B454&lt;=0.05,C454&lt;=0.05),0,1)</f>
        <v>1</v>
      </c>
      <c r="E454" s="25" t="n">
        <f aca="false">IF(OR(A454&lt;Resumen!$B$6,A454&gt;=Resumen!$B$7),0,MAX(0,AVERAGEIFS(B406:B502,D406:D502,1)-Resumen!$B$5*AVERAGEIFS(C406:C502,D406:D502,1)))</f>
        <v>0</v>
      </c>
      <c r="F454" s="10" t="n">
        <f aca="false">IF(B454="","",(B454-E454)/Resumen!$B$5)</f>
        <v>2.09412231930103</v>
      </c>
      <c r="G454" s="10" t="n">
        <f aca="false">IF(OR(F454="",C454=""),0,(F454-C454)*0.9)</f>
        <v>0.47765008737093</v>
      </c>
      <c r="H454" s="26" t="n">
        <f aca="false">IF(A454&lt;Resumen!$B$11,"",IF(H453="",0,H453)+G454/Resumen!$B$9)</f>
        <v>0.0626978670296197</v>
      </c>
      <c r="I454" s="26" t="n">
        <f aca="false">IF(H454="","",H454-AVERAGE(H406:H502))</f>
        <v>0.017417006552013</v>
      </c>
      <c r="J454" s="27" t="n">
        <f aca="false">IF(I454="","",Resumen!$B$10-(MAX(I406:I502)-I454))</f>
        <v>1.82938359993007</v>
      </c>
    </row>
    <row r="455" customFormat="false" ht="15" hidden="false" customHeight="false" outlineLevel="0" collapsed="false">
      <c r="A455" s="24" t="n">
        <v>46266.1145833333</v>
      </c>
      <c r="B455" s="10" t="n">
        <v>1.2911</v>
      </c>
      <c r="C455" s="10" t="n">
        <v>1.6221</v>
      </c>
      <c r="D455" s="10" t="n">
        <f aca="false">IF(OR(B455="",C455="",B455&lt;=0.05,C455&lt;=0.05),0,1)</f>
        <v>1</v>
      </c>
      <c r="E455" s="25" t="n">
        <f aca="false">IF(OR(A455&lt;Resumen!$B$6,A455&gt;=Resumen!$B$7),0,MAX(0,AVERAGEIFS(B407:B503,D407:D503,1)-Resumen!$B$5*AVERAGEIFS(C407:C503,D407:D503,1)))</f>
        <v>0</v>
      </c>
      <c r="F455" s="10" t="n">
        <f aca="false">IF(B455="","",(B455-E455)/Resumen!$B$5)</f>
        <v>1.02549642573471</v>
      </c>
      <c r="G455" s="10" t="n">
        <f aca="false">IF(OR(F455="",C455=""),0,(F455-C455)*0.9)</f>
        <v>-0.536943216838761</v>
      </c>
      <c r="H455" s="26" t="n">
        <f aca="false">IF(A455&lt;Resumen!$B$11,"",IF(H454="",0,H454)+G455/Resumen!$B$9)</f>
        <v>0.037317157240288</v>
      </c>
      <c r="I455" s="26" t="n">
        <f aca="false">IF(H455="","",H455-AVERAGE(H407:H503))</f>
        <v>-0.00943101002754038</v>
      </c>
      <c r="J455" s="27" t="n">
        <f aca="false">IF(I455="","",Resumen!$B$10-(MAX(I407:I503)-I455))</f>
        <v>1.80253558335051</v>
      </c>
    </row>
    <row r="456" customFormat="false" ht="15" hidden="false" customHeight="false" outlineLevel="0" collapsed="false">
      <c r="A456" s="24" t="n">
        <v>46266.125</v>
      </c>
      <c r="B456" s="10" t="n">
        <v>1.5837</v>
      </c>
      <c r="C456" s="10" t="n">
        <v>1.5481</v>
      </c>
      <c r="D456" s="10" t="n">
        <f aca="false">IF(OR(B456="",C456="",B456&lt;=0.05,C456&lt;=0.05),0,1)</f>
        <v>1</v>
      </c>
      <c r="E456" s="25" t="n">
        <f aca="false">IF(OR(A456&lt;Resumen!$B$6,A456&gt;=Resumen!$B$7),0,MAX(0,AVERAGEIFS(B408:B504,D408:D504,1)-Resumen!$B$5*AVERAGEIFS(C408:C504,D408:D504,1)))</f>
        <v>0</v>
      </c>
      <c r="F456" s="10" t="n">
        <f aca="false">IF(B456="","",(B456-E456)/Resumen!$B$5)</f>
        <v>1.25790309769658</v>
      </c>
      <c r="G456" s="10" t="n">
        <f aca="false">IF(OR(F456="",C456=""),0,(F456-C456)*0.9)</f>
        <v>-0.261177212073074</v>
      </c>
      <c r="H456" s="26" t="n">
        <f aca="false">IF(A456&lt;Resumen!$B$11,"",IF(H455="",0,H455)+G456/Resumen!$B$9)</f>
        <v>0.0249716003632672</v>
      </c>
      <c r="I456" s="26" t="n">
        <f aca="false">IF(H456="","",H456-AVERAGE(H408:H504))</f>
        <v>-0.0231568934561955</v>
      </c>
      <c r="J456" s="27" t="n">
        <f aca="false">IF(I456="","",Resumen!$B$10-(MAX(I408:I504)-I456))</f>
        <v>1.78880969992186</v>
      </c>
    </row>
    <row r="457" customFormat="false" ht="15" hidden="false" customHeight="false" outlineLevel="0" collapsed="false">
      <c r="A457" s="24" t="n">
        <v>46266.1354166667</v>
      </c>
      <c r="B457" s="10" t="n">
        <v>2.5109</v>
      </c>
      <c r="C457" s="10" t="n">
        <v>1.5905</v>
      </c>
      <c r="D457" s="10" t="n">
        <f aca="false">IF(OR(B457="",C457="",B457&lt;=0.05,C457&lt;=0.05),0,1)</f>
        <v>1</v>
      </c>
      <c r="E457" s="25" t="n">
        <f aca="false">IF(OR(A457&lt;Resumen!$B$6,A457&gt;=Resumen!$B$7),0,MAX(0,AVERAGEIFS(B409:B505,D409:D505,1)-Resumen!$B$5*AVERAGEIFS(C409:C505,D409:D505,1)))</f>
        <v>0</v>
      </c>
      <c r="F457" s="10" t="n">
        <f aca="false">IF(B457="","",(B457-E457)/Resumen!$B$5)</f>
        <v>1.99436060365369</v>
      </c>
      <c r="G457" s="10" t="n">
        <f aca="false">IF(OR(F457="",C457=""),0,(F457-C457)*0.9)</f>
        <v>0.363474543288324</v>
      </c>
      <c r="H457" s="26" t="n">
        <f aca="false">IF(A457&lt;Resumen!$B$11,"",IF(H456="",0,H456)+G457/Resumen!$B$9)</f>
        <v>0.0421526385246657</v>
      </c>
      <c r="I457" s="26" t="n">
        <f aca="false">IF(H457="","",H457-AVERAGE(H409:H505))</f>
        <v>-0.00768375762500473</v>
      </c>
      <c r="J457" s="27" t="n">
        <f aca="false">IF(I457="","",Resumen!$B$10-(MAX(I409:I505)-I457))</f>
        <v>1.80428283575305</v>
      </c>
    </row>
    <row r="458" customFormat="false" ht="15" hidden="false" customHeight="false" outlineLevel="0" collapsed="false">
      <c r="A458" s="24" t="n">
        <v>46266.1458333333</v>
      </c>
      <c r="B458" s="10" t="n">
        <v>2.853</v>
      </c>
      <c r="C458" s="10" t="n">
        <v>1.6046</v>
      </c>
      <c r="D458" s="10" t="n">
        <f aca="false">IF(OR(B458="",C458="",B458&lt;=0.05,C458&lt;=0.05),0,1)</f>
        <v>1</v>
      </c>
      <c r="E458" s="25" t="n">
        <f aca="false">IF(OR(A458&lt;Resumen!$B$6,A458&gt;=Resumen!$B$7),0,MAX(0,AVERAGEIFS(B410:B506,D410:D506,1)-Resumen!$B$5*AVERAGEIFS(C410:C506,D410:D506,1)))</f>
        <v>0</v>
      </c>
      <c r="F458" s="10" t="n">
        <f aca="false">IF(B458="","",(B458-E458)/Resumen!$B$5)</f>
        <v>2.26608419380461</v>
      </c>
      <c r="G458" s="10" t="n">
        <f aca="false">IF(OR(F458="",C458=""),0,(F458-C458)*0.9)</f>
        <v>0.595335774424147</v>
      </c>
      <c r="H458" s="26" t="n">
        <f aca="false">IF(A458&lt;Resumen!$B$11,"",IF(H457="",0,H457)+G458/Resumen!$B$9)</f>
        <v>0.070293499688396</v>
      </c>
      <c r="I458" s="26" t="n">
        <f aca="false">IF(H458="","",H458-AVERAGE(H410:H506))</f>
        <v>0.0187176772563646</v>
      </c>
      <c r="J458" s="27" t="n">
        <f aca="false">IF(I458="","",Resumen!$B$10-(MAX(I410:I506)-I458))</f>
        <v>1.83068427063442</v>
      </c>
    </row>
    <row r="459" customFormat="false" ht="15" hidden="false" customHeight="false" outlineLevel="0" collapsed="false">
      <c r="A459" s="24" t="n">
        <v>46266.15625</v>
      </c>
      <c r="B459" s="10" t="n">
        <v>2.0573</v>
      </c>
      <c r="C459" s="10" t="n">
        <v>1.5538</v>
      </c>
      <c r="D459" s="10" t="n">
        <f aca="false">IF(OR(B459="",C459="",B459&lt;=0.05,C459&lt;=0.05),0,1)</f>
        <v>1</v>
      </c>
      <c r="E459" s="25" t="n">
        <f aca="false">IF(OR(A459&lt;Resumen!$B$6,A459&gt;=Resumen!$B$7),0,MAX(0,AVERAGEIFS(B411:B507,D411:D507,1)-Resumen!$B$5*AVERAGEIFS(C411:C507,D411:D507,1)))</f>
        <v>0</v>
      </c>
      <c r="F459" s="10" t="n">
        <f aca="false">IF(B459="","",(B459-E459)/Resumen!$B$5)</f>
        <v>1.6340746624305</v>
      </c>
      <c r="G459" s="10" t="n">
        <f aca="false">IF(OR(F459="",C459=""),0,(F459-C459)*0.9)</f>
        <v>0.0722471961874506</v>
      </c>
      <c r="H459" s="26" t="n">
        <f aca="false">IF(A459&lt;Resumen!$B$11,"",IF(H458="",0,H458)+G459/Resumen!$B$9)</f>
        <v>0.0737085444492226</v>
      </c>
      <c r="I459" s="26" t="n">
        <f aca="false">IF(H459="","",H459-AVERAGE(H411:H507))</f>
        <v>0.0204909830188366</v>
      </c>
      <c r="J459" s="27" t="n">
        <f aca="false">IF(I459="","",Resumen!$B$10-(MAX(I411:I507)-I459))</f>
        <v>1.83245757639689</v>
      </c>
    </row>
    <row r="460" customFormat="false" ht="15" hidden="false" customHeight="false" outlineLevel="0" collapsed="false">
      <c r="A460" s="24" t="n">
        <v>46266.1666666667</v>
      </c>
      <c r="B460" s="10" t="n">
        <v>1.9983</v>
      </c>
      <c r="C460" s="10" t="n">
        <v>1.5678</v>
      </c>
      <c r="D460" s="10" t="n">
        <f aca="false">IF(OR(B460="",C460="",B460&lt;=0.05,C460&lt;=0.05),0,1)</f>
        <v>1</v>
      </c>
      <c r="E460" s="25" t="n">
        <f aca="false">IF(OR(A460&lt;Resumen!$B$6,A460&gt;=Resumen!$B$7),0,MAX(0,AVERAGEIFS(B412:B508,D412:D508,1)-Resumen!$B$5*AVERAGEIFS(C412:C508,D412:D508,1)))</f>
        <v>0</v>
      </c>
      <c r="F460" s="10" t="n">
        <f aca="false">IF(B460="","",(B460-E460)/Resumen!$B$5)</f>
        <v>1.58721207307387</v>
      </c>
      <c r="G460" s="10" t="n">
        <f aca="false">IF(OR(F460="",C460=""),0,(F460-C460)*0.9)</f>
        <v>0.0174708657664814</v>
      </c>
      <c r="H460" s="26" t="n">
        <f aca="false">IF(A460&lt;Resumen!$B$11,"",IF(H459="",0,H459)+G460/Resumen!$B$9)</f>
        <v>0.0745343728792717</v>
      </c>
      <c r="I460" s="26" t="n">
        <f aca="false">IF(H460="","",H460-AVERAGE(H412:H508))</f>
        <v>0.0192900515005054</v>
      </c>
      <c r="J460" s="27" t="n">
        <f aca="false">IF(I460="","",Resumen!$B$10-(MAX(I412:I508)-I460))</f>
        <v>1.83125664487856</v>
      </c>
    </row>
    <row r="461" customFormat="false" ht="15" hidden="false" customHeight="false" outlineLevel="0" collapsed="false">
      <c r="A461" s="24" t="n">
        <v>46266.1770833333</v>
      </c>
      <c r="B461" s="10" t="n">
        <v>1.7893</v>
      </c>
      <c r="C461" s="10" t="n">
        <v>1.6585</v>
      </c>
      <c r="D461" s="10" t="n">
        <f aca="false">IF(OR(B461="",C461="",B461&lt;=0.05,C461&lt;=0.05),0,1)</f>
        <v>1</v>
      </c>
      <c r="E461" s="25" t="n">
        <f aca="false">IF(OR(A461&lt;Resumen!$B$6,A461&gt;=Resumen!$B$7),0,MAX(0,AVERAGEIFS(B413:B509,D413:D509,1)-Resumen!$B$5*AVERAGEIFS(C413:C509,D413:D509,1)))</f>
        <v>0</v>
      </c>
      <c r="F461" s="10" t="n">
        <f aca="false">IF(B461="","",(B461-E461)/Resumen!$B$5)</f>
        <v>1.42120730738682</v>
      </c>
      <c r="G461" s="10" t="n">
        <f aca="false">IF(OR(F461="",C461=""),0,(F461-C461)*0.9)</f>
        <v>-0.213563423351867</v>
      </c>
      <c r="H461" s="26" t="n">
        <f aca="false">IF(A461&lt;Resumen!$B$11,"",IF(H460="",0,H460)+G461/Resumen!$B$9)</f>
        <v>0.0644394669381513</v>
      </c>
      <c r="I461" s="26" t="n">
        <f aca="false">IF(H461="","",H461-AVERAGE(H413:H509))</f>
        <v>0.00741656336586884</v>
      </c>
      <c r="J461" s="27" t="n">
        <f aca="false">IF(I461="","",Resumen!$B$10-(MAX(I413:I509)-I461))</f>
        <v>1.81938315674392</v>
      </c>
    </row>
    <row r="462" customFormat="false" ht="15" hidden="false" customHeight="false" outlineLevel="0" collapsed="false">
      <c r="A462" s="24" t="n">
        <v>46266.1875</v>
      </c>
      <c r="B462" s="10" t="n">
        <v>1.9297</v>
      </c>
      <c r="C462" s="10" t="n">
        <v>1.6654</v>
      </c>
      <c r="D462" s="10" t="n">
        <f aca="false">IF(OR(B462="",C462="",B462&lt;=0.05,C462&lt;=0.05),0,1)</f>
        <v>1</v>
      </c>
      <c r="E462" s="25" t="n">
        <f aca="false">IF(OR(A462&lt;Resumen!$B$6,A462&gt;=Resumen!$B$7),0,MAX(0,AVERAGEIFS(B414:B510,D414:D510,1)-Resumen!$B$5*AVERAGEIFS(C414:C510,D414:D510,1)))</f>
        <v>0</v>
      </c>
      <c r="F462" s="10" t="n">
        <f aca="false">IF(B462="","",(B462-E462)/Resumen!$B$5)</f>
        <v>1.53272438443209</v>
      </c>
      <c r="G462" s="10" t="n">
        <f aca="false">IF(OR(F462="",C462=""),0,(F462-C462)*0.9)</f>
        <v>-0.11940805401112</v>
      </c>
      <c r="H462" s="26" t="n">
        <f aca="false">IF(A462&lt;Resumen!$B$11,"",IF(H461="",0,H461)+G462/Resumen!$B$9)</f>
        <v>0.0587951807821439</v>
      </c>
      <c r="I462" s="26" t="n">
        <f aca="false">IF(H462="","",H462-AVERAGE(H414:H510))</f>
        <v>-0.000431923534167725</v>
      </c>
      <c r="J462" s="27" t="n">
        <f aca="false">IF(I462="","",Resumen!$B$10-(MAX(I414:I510)-I462))</f>
        <v>1.81153466984389</v>
      </c>
    </row>
    <row r="463" customFormat="false" ht="15" hidden="false" customHeight="false" outlineLevel="0" collapsed="false">
      <c r="A463" s="24" t="n">
        <v>46266.1979166667</v>
      </c>
      <c r="B463" s="10" t="n">
        <v>2.2001</v>
      </c>
      <c r="C463" s="10" t="n">
        <v>1.767</v>
      </c>
      <c r="D463" s="10" t="n">
        <f aca="false">IF(OR(B463="",C463="",B463&lt;=0.05,C463&lt;=0.05),0,1)</f>
        <v>1</v>
      </c>
      <c r="E463" s="25" t="n">
        <f aca="false">IF(OR(A463&lt;Resumen!$B$6,A463&gt;=Resumen!$B$7),0,MAX(0,AVERAGEIFS(B415:B511,D415:D511,1)-Resumen!$B$5*AVERAGEIFS(C415:C511,D415:D511,1)))</f>
        <v>0</v>
      </c>
      <c r="F463" s="10" t="n">
        <f aca="false">IF(B463="","",(B463-E463)/Resumen!$B$5)</f>
        <v>1.74749801429706</v>
      </c>
      <c r="G463" s="10" t="n">
        <f aca="false">IF(OR(F463="",C463=""),0,(F463-C463)*0.9)</f>
        <v>-0.0175517871326447</v>
      </c>
      <c r="H463" s="26" t="n">
        <f aca="false">IF(A463&lt;Resumen!$B$11,"",IF(H462="",0,H462)+G463/Resumen!$B$9)</f>
        <v>0.0579655272889486</v>
      </c>
      <c r="I463" s="26" t="n">
        <f aca="false">IF(H463="","",H463-AVERAGE(H415:H511))</f>
        <v>-0.00421330228519014</v>
      </c>
      <c r="J463" s="27" t="n">
        <f aca="false">IF(I463="","",Resumen!$B$10-(MAX(I415:I511)-I463))</f>
        <v>1.75835113385297</v>
      </c>
    </row>
    <row r="464" customFormat="false" ht="15" hidden="false" customHeight="false" outlineLevel="0" collapsed="false">
      <c r="A464" s="24" t="n">
        <v>46266.2083333333</v>
      </c>
      <c r="B464" s="10" t="n">
        <v>2.2302</v>
      </c>
      <c r="C464" s="10" t="n">
        <v>2.0861</v>
      </c>
      <c r="D464" s="10" t="n">
        <f aca="false">IF(OR(B464="",C464="",B464&lt;=0.05,C464&lt;=0.05),0,1)</f>
        <v>1</v>
      </c>
      <c r="E464" s="25" t="n">
        <f aca="false">IF(OR(A464&lt;Resumen!$B$6,A464&gt;=Resumen!$B$7),0,MAX(0,AVERAGEIFS(B416:B512,D416:D512,1)-Resumen!$B$5*AVERAGEIFS(C416:C512,D416:D512,1)))</f>
        <v>0</v>
      </c>
      <c r="F464" s="10" t="n">
        <f aca="false">IF(B464="","",(B464-E464)/Resumen!$B$5)</f>
        <v>1.7714058776807</v>
      </c>
      <c r="G464" s="10" t="n">
        <f aca="false">IF(OR(F464="",C464=""),0,(F464-C464)*0.9)</f>
        <v>-0.283224710087371</v>
      </c>
      <c r="H464" s="26" t="n">
        <f aca="false">IF(A464&lt;Resumen!$B$11,"",IF(H463="",0,H463)+G464/Resumen!$B$9)</f>
        <v>0.044577809656129</v>
      </c>
      <c r="I464" s="26" t="n">
        <f aca="false">IF(H464="","",H464-AVERAGE(H416:H512))</f>
        <v>-0.0213212087344124</v>
      </c>
      <c r="J464" s="27" t="n">
        <f aca="false">IF(I464="","",Resumen!$B$10-(MAX(I416:I512)-I464))</f>
        <v>1.68448883422994</v>
      </c>
    </row>
    <row r="465" customFormat="false" ht="15" hidden="false" customHeight="false" outlineLevel="0" collapsed="false">
      <c r="A465" s="24" t="n">
        <v>46266.21875</v>
      </c>
      <c r="B465" s="10" t="n">
        <v>3.2395</v>
      </c>
      <c r="C465" s="10" t="n">
        <v>2.5681</v>
      </c>
      <c r="D465" s="10" t="n">
        <f aca="false">IF(OR(B465="",C465="",B465&lt;=0.05,C465&lt;=0.05),0,1)</f>
        <v>1</v>
      </c>
      <c r="E465" s="25" t="n">
        <f aca="false">IF(OR(A465&lt;Resumen!$B$6,A465&gt;=Resumen!$B$7),0,MAX(0,AVERAGEIFS(B417:B513,D417:D513,1)-Resumen!$B$5*AVERAGEIFS(C417:C513,D417:D513,1)))</f>
        <v>0</v>
      </c>
      <c r="F465" s="10" t="n">
        <f aca="false">IF(B465="","",(B465-E465)/Resumen!$B$5)</f>
        <v>2.57307386814933</v>
      </c>
      <c r="G465" s="10" t="n">
        <f aca="false">IF(OR(F465="",C465=""),0,(F465-C465)*0.9)</f>
        <v>0.00447648133439289</v>
      </c>
      <c r="H465" s="26" t="n">
        <f aca="false">IF(A465&lt;Resumen!$B$11,"",IF(H464="",0,H464)+G465/Resumen!$B$9)</f>
        <v>0.0447894079593807</v>
      </c>
      <c r="I465" s="26" t="n">
        <f aca="false">IF(H465="","",H465-AVERAGE(H417:H513))</f>
        <v>-0.0242373514946602</v>
      </c>
      <c r="J465" s="27" t="n">
        <f aca="false">IF(I465="","",Resumen!$B$10-(MAX(I417:I513)-I465))</f>
        <v>1.68157269146969</v>
      </c>
    </row>
    <row r="466" customFormat="false" ht="15" hidden="false" customHeight="false" outlineLevel="0" collapsed="false">
      <c r="A466" s="24" t="n">
        <v>46266.2291666667</v>
      </c>
      <c r="B466" s="10" t="n">
        <v>3.3786</v>
      </c>
      <c r="C466" s="10" t="n">
        <v>3.5113</v>
      </c>
      <c r="D466" s="10" t="n">
        <f aca="false">IF(OR(B466="",C466="",B466&lt;=0.05,C466&lt;=0.05),0,1)</f>
        <v>1</v>
      </c>
      <c r="E466" s="25" t="n">
        <f aca="false">IF(OR(A466&lt;Resumen!$B$6,A466&gt;=Resumen!$B$7),0,MAX(0,AVERAGEIFS(B418:B514,D418:D514,1)-Resumen!$B$5*AVERAGEIFS(C418:C514,D418:D514,1)))</f>
        <v>0</v>
      </c>
      <c r="F466" s="10" t="n">
        <f aca="false">IF(B466="","",(B466-E466)/Resumen!$B$5)</f>
        <v>2.6835583796664</v>
      </c>
      <c r="G466" s="10" t="n">
        <f aca="false">IF(OR(F466="",C466=""),0,(F466-C466)*0.9)</f>
        <v>-0.744967458300238</v>
      </c>
      <c r="H466" s="26" t="n">
        <f aca="false">IF(A466&lt;Resumen!$B$11,"",IF(H465="",0,H465)+G466/Resumen!$B$9)</f>
        <v>0.0095756232077386</v>
      </c>
      <c r="I466" s="26" t="n">
        <f aca="false">IF(H466="","",H466-AVERAGE(H418:H514))</f>
        <v>-0.0621339782308862</v>
      </c>
      <c r="J466" s="27" t="n">
        <f aca="false">IF(I466="","",Resumen!$B$10-(MAX(I418:I514)-I466))</f>
        <v>1.64367606473346</v>
      </c>
    </row>
    <row r="467" customFormat="false" ht="15" hidden="false" customHeight="false" outlineLevel="0" collapsed="false">
      <c r="A467" s="24" t="n">
        <v>46266.2395833333</v>
      </c>
      <c r="B467" s="10" t="n">
        <v>4.8122</v>
      </c>
      <c r="C467" s="10" t="n">
        <v>2.9565</v>
      </c>
      <c r="D467" s="10" t="n">
        <f aca="false">IF(OR(B467="",C467="",B467&lt;=0.05,C467&lt;=0.05),0,1)</f>
        <v>1</v>
      </c>
      <c r="E467" s="25" t="n">
        <f aca="false">IF(OR(A467&lt;Resumen!$B$6,A467&gt;=Resumen!$B$7),0,MAX(0,AVERAGEIFS(B419:B515,D419:D515,1)-Resumen!$B$5*AVERAGEIFS(C419:C515,D419:D515,1)))</f>
        <v>0</v>
      </c>
      <c r="F467" s="10" t="n">
        <f aca="false">IF(B467="","",(B467-E467)/Resumen!$B$5)</f>
        <v>3.82223987291501</v>
      </c>
      <c r="G467" s="10" t="n">
        <f aca="false">IF(OR(F467="",C467=""),0,(F467-C467)*0.9)</f>
        <v>0.779165885623511</v>
      </c>
      <c r="H467" s="26" t="n">
        <f aca="false">IF(A467&lt;Resumen!$B$11,"",IF(H466="",0,H466)+G467/Resumen!$B$9)</f>
        <v>0.0464059296546425</v>
      </c>
      <c r="I467" s="26" t="n">
        <f aca="false">IF(H467="","",H467-AVERAGE(H419:H515))</f>
        <v>-0.0282669022131249</v>
      </c>
      <c r="J467" s="27" t="n">
        <f aca="false">IF(I467="","",Resumen!$B$10-(MAX(I419:I515)-I467))</f>
        <v>1.67754314075122</v>
      </c>
    </row>
    <row r="468" customFormat="false" ht="15" hidden="false" customHeight="false" outlineLevel="0" collapsed="false">
      <c r="A468" s="24" t="n">
        <v>46266.25</v>
      </c>
      <c r="B468" s="10" t="n">
        <v>3.438</v>
      </c>
      <c r="C468" s="10" t="n">
        <v>2.8676</v>
      </c>
      <c r="D468" s="10" t="n">
        <f aca="false">IF(OR(B468="",C468="",B468&lt;=0.05,C468&lt;=0.05),0,1)</f>
        <v>1</v>
      </c>
      <c r="E468" s="25" t="n">
        <f aca="false">IF(OR(A468&lt;Resumen!$B$6,A468&gt;=Resumen!$B$7),0,MAX(0,AVERAGEIFS(B420:B516,D420:D516,1)-Resumen!$B$5*AVERAGEIFS(C420:C516,D420:D516,1)))</f>
        <v>0</v>
      </c>
      <c r="F468" s="10" t="n">
        <f aca="false">IF(B468="","",(B468-E468)/Resumen!$B$5)</f>
        <v>2.73073868149325</v>
      </c>
      <c r="G468" s="10" t="n">
        <f aca="false">IF(OR(F468="",C468=""),0,(F468-C468)*0.9)</f>
        <v>-0.123175186656076</v>
      </c>
      <c r="H468" s="26" t="n">
        <f aca="false">IF(A468&lt;Resumen!$B$11,"",IF(H467="",0,H467)+G468/Resumen!$B$9)</f>
        <v>0.040583575320472</v>
      </c>
      <c r="I468" s="26" t="n">
        <f aca="false">IF(H468="","",H468-AVERAGE(H420:H516))</f>
        <v>-0.0369831714045309</v>
      </c>
      <c r="J468" s="27" t="n">
        <f aca="false">IF(I468="","",Resumen!$B$10-(MAX(I420:I516)-I468))</f>
        <v>1.66882687155982</v>
      </c>
    </row>
    <row r="469" customFormat="false" ht="15" hidden="false" customHeight="false" outlineLevel="0" collapsed="false">
      <c r="A469" s="24" t="n">
        <v>46266.2604166667</v>
      </c>
      <c r="B469" s="10" t="n">
        <v>3.2184</v>
      </c>
      <c r="C469" s="10" t="n">
        <v>3.1141</v>
      </c>
      <c r="D469" s="10" t="n">
        <f aca="false">IF(OR(B469="",C469="",B469&lt;=0.05,C469&lt;=0.05),0,1)</f>
        <v>1</v>
      </c>
      <c r="E469" s="25" t="n">
        <f aca="false">IF(OR(A469&lt;Resumen!$B$6,A469&gt;=Resumen!$B$7),0,MAX(0,AVERAGEIFS(B421:B517,D421:D517,1)-Resumen!$B$5*AVERAGEIFS(C421:C517,D421:D517,1)))</f>
        <v>0</v>
      </c>
      <c r="F469" s="10" t="n">
        <f aca="false">IF(B469="","",(B469-E469)/Resumen!$B$5)</f>
        <v>2.55631453534551</v>
      </c>
      <c r="G469" s="10" t="n">
        <f aca="false">IF(OR(F469="",C469=""),0,(F469-C469)*0.9)</f>
        <v>-0.502006918189039</v>
      </c>
      <c r="H469" s="26" t="n">
        <f aca="false">IF(A469&lt;Resumen!$B$11,"",IF(H468="",0,H468)+G469/Resumen!$B$9)</f>
        <v>0.0168542655848787</v>
      </c>
      <c r="I469" s="26" t="n">
        <f aca="false">IF(H469="","",H469-AVERAGE(H421:H517))</f>
        <v>-0.0632231143920775</v>
      </c>
      <c r="J469" s="27" t="n">
        <f aca="false">IF(I469="","",Resumen!$B$10-(MAX(I421:I517)-I469))</f>
        <v>1.64258692857227</v>
      </c>
    </row>
    <row r="470" customFormat="false" ht="15" hidden="false" customHeight="false" outlineLevel="0" collapsed="false">
      <c r="A470" s="24" t="n">
        <v>46266.2708333333</v>
      </c>
      <c r="B470" s="10" t="n">
        <v>4.7386</v>
      </c>
      <c r="C470" s="10" t="n">
        <v>3.5164</v>
      </c>
      <c r="D470" s="10" t="n">
        <f aca="false">IF(OR(B470="",C470="",B470&lt;=0.05,C470&lt;=0.05),0,1)</f>
        <v>1</v>
      </c>
      <c r="E470" s="25" t="n">
        <f aca="false">IF(OR(A470&lt;Resumen!$B$6,A470&gt;=Resumen!$B$7),0,MAX(0,AVERAGEIFS(B422:B518,D422:D518,1)-Resumen!$B$5*AVERAGEIFS(C422:C518,D422:D518,1)))</f>
        <v>0</v>
      </c>
      <c r="F470" s="10" t="n">
        <f aca="false">IF(B470="","",(B470-E470)/Resumen!$B$5)</f>
        <v>3.76378077839555</v>
      </c>
      <c r="G470" s="10" t="n">
        <f aca="false">IF(OR(F470="",C470=""),0,(F470-C470)*0.9)</f>
        <v>0.222642700555997</v>
      </c>
      <c r="H470" s="26" t="n">
        <f aca="false">IF(A470&lt;Resumen!$B$11,"",IF(H469="",0,H469)+G470/Resumen!$B$9)</f>
        <v>0.0273783388803641</v>
      </c>
      <c r="I470" s="26" t="n">
        <f aca="false">IF(H470="","",H470-AVERAGE(H422:H518))</f>
        <v>-0.0552785920834902</v>
      </c>
      <c r="J470" s="27" t="n">
        <f aca="false">IF(I470="","",Resumen!$B$10-(MAX(I422:I518)-I470))</f>
        <v>1.65053145088086</v>
      </c>
    </row>
    <row r="471" customFormat="false" ht="15" hidden="false" customHeight="false" outlineLevel="0" collapsed="false">
      <c r="A471" s="24" t="n">
        <v>46266.28125</v>
      </c>
      <c r="B471" s="10" t="n">
        <v>3.8532</v>
      </c>
      <c r="C471" s="10" t="n">
        <v>3.5598</v>
      </c>
      <c r="D471" s="10" t="n">
        <f aca="false">IF(OR(B471="",C471="",B471&lt;=0.05,C471&lt;=0.05),0,1)</f>
        <v>1</v>
      </c>
      <c r="E471" s="25" t="n">
        <f aca="false">IF(OR(A471&lt;Resumen!$B$6,A471&gt;=Resumen!$B$7),0,MAX(0,AVERAGEIFS(B423:B519,D423:D519,1)-Resumen!$B$5*AVERAGEIFS(C423:C519,D423:D519,1)))</f>
        <v>0</v>
      </c>
      <c r="F471" s="10" t="n">
        <f aca="false">IF(B471="","",(B471-E471)/Resumen!$B$5)</f>
        <v>3.06052422557585</v>
      </c>
      <c r="G471" s="10" t="n">
        <f aca="false">IF(OR(F471="",C471=""),0,(F471-C471)*0.9)</f>
        <v>-0.449348196981731</v>
      </c>
      <c r="H471" s="26" t="n">
        <f aca="false">IF(A471&lt;Resumen!$B$11,"",IF(H470="",0,H470)+G471/Resumen!$B$9)</f>
        <v>0.00613814843881598</v>
      </c>
      <c r="I471" s="26" t="n">
        <f aca="false">IF(H471="","",H471-AVERAGE(H423:H519))</f>
        <v>-0.079464272027331</v>
      </c>
      <c r="J471" s="27" t="n">
        <f aca="false">IF(I471="","",Resumen!$B$10-(MAX(I423:I519)-I471))</f>
        <v>1.62634577093702</v>
      </c>
    </row>
    <row r="472" customFormat="false" ht="15" hidden="false" customHeight="false" outlineLevel="0" collapsed="false">
      <c r="A472" s="24" t="n">
        <v>46266.2916666667</v>
      </c>
      <c r="B472" s="10" t="n">
        <v>4.2653</v>
      </c>
      <c r="C472" s="10" t="n">
        <v>3.6119</v>
      </c>
      <c r="D472" s="10" t="n">
        <f aca="false">IF(OR(B472="",C472="",B472&lt;=0.05,C472&lt;=0.05),0,1)</f>
        <v>1</v>
      </c>
      <c r="E472" s="25" t="n">
        <f aca="false">IF(OR(A472&lt;Resumen!$B$6,A472&gt;=Resumen!$B$7),0,MAX(0,AVERAGEIFS(B424:B520,D424:D520,1)-Resumen!$B$5*AVERAGEIFS(C424:C520,D424:D520,1)))</f>
        <v>0</v>
      </c>
      <c r="F472" s="10" t="n">
        <f aca="false">IF(B472="","",(B472-E472)/Resumen!$B$5)</f>
        <v>3.3878474980143</v>
      </c>
      <c r="G472" s="10" t="n">
        <f aca="false">IF(OR(F472="",C472=""),0,(F472-C472)*0.9)</f>
        <v>-0.201647251787132</v>
      </c>
      <c r="H472" s="26" t="n">
        <f aca="false">IF(A472&lt;Resumen!$B$11,"",IF(H471="",0,H471)+G472/Resumen!$B$9)</f>
        <v>-0.00339349330080279</v>
      </c>
      <c r="I472" s="26" t="n">
        <f aca="false">IF(H472="","",H472-AVERAGE(H424:H520))</f>
        <v>-0.0919823634456939</v>
      </c>
      <c r="J472" s="27" t="n">
        <f aca="false">IF(I472="","",Resumen!$B$10-(MAX(I424:I520)-I472))</f>
        <v>1.61382767951865</v>
      </c>
    </row>
    <row r="473" customFormat="false" ht="15" hidden="false" customHeight="false" outlineLevel="0" collapsed="false">
      <c r="A473" s="24" t="n">
        <v>46266.3020833333</v>
      </c>
      <c r="B473" s="10" t="n">
        <v>4.4982</v>
      </c>
      <c r="C473" s="10" t="n">
        <v>3.3312</v>
      </c>
      <c r="D473" s="10" t="n">
        <f aca="false">IF(OR(B473="",C473="",B473&lt;=0.05,C473&lt;=0.05),0,1)</f>
        <v>1</v>
      </c>
      <c r="E473" s="25" t="n">
        <f aca="false">IF(OR(A473&lt;Resumen!$B$6,A473&gt;=Resumen!$B$7),0,MAX(0,AVERAGEIFS(B425:B521,D425:D521,1)-Resumen!$B$5*AVERAGEIFS(C425:C521,D425:D521,1)))</f>
        <v>0</v>
      </c>
      <c r="F473" s="10" t="n">
        <f aca="false">IF(B473="","",(B473-E473)/Resumen!$B$5)</f>
        <v>3.57283558379666</v>
      </c>
      <c r="G473" s="10" t="n">
        <f aca="false">IF(OR(F473="",C473=""),0,(F473-C473)*0.9)</f>
        <v>0.217472025416998</v>
      </c>
      <c r="H473" s="26" t="n">
        <f aca="false">IF(A473&lt;Resumen!$B$11,"",IF(H472="",0,H472)+G473/Resumen!$B$9)</f>
        <v>0.00688616792092464</v>
      </c>
      <c r="I473" s="26" t="n">
        <f aca="false">IF(H473="","",H473-AVERAGE(H425:H521))</f>
        <v>-0.0842037222639482</v>
      </c>
      <c r="J473" s="27" t="n">
        <f aca="false">IF(I473="","",Resumen!$B$10-(MAX(I425:I521)-I473))</f>
        <v>1.6216063207004</v>
      </c>
    </row>
    <row r="474" customFormat="false" ht="15" hidden="false" customHeight="false" outlineLevel="0" collapsed="false">
      <c r="A474" s="24" t="n">
        <v>46266.3125</v>
      </c>
      <c r="B474" s="10" t="n">
        <v>4.1831</v>
      </c>
      <c r="C474" s="10" t="n">
        <v>3.7221</v>
      </c>
      <c r="D474" s="10" t="n">
        <f aca="false">IF(OR(B474="",C474="",B474&lt;=0.05,C474&lt;=0.05),0,1)</f>
        <v>1</v>
      </c>
      <c r="E474" s="25" t="n">
        <f aca="false">IF(OR(A474&lt;Resumen!$B$6,A474&gt;=Resumen!$B$7),0,MAX(0,AVERAGEIFS(B426:B522,D426:D522,1)-Resumen!$B$5*AVERAGEIFS(C426:C522,D426:D522,1)))</f>
        <v>0</v>
      </c>
      <c r="F474" s="10" t="n">
        <f aca="false">IF(B474="","",(B474-E474)/Resumen!$B$5)</f>
        <v>3.32255758538523</v>
      </c>
      <c r="G474" s="10" t="n">
        <f aca="false">IF(OR(F474="",C474=""),0,(F474-C474)*0.9)</f>
        <v>-0.359588173153297</v>
      </c>
      <c r="H474" s="26" t="n">
        <f aca="false">IF(A474&lt;Resumen!$B$11,"",IF(H473="",0,H473)+G474/Resumen!$B$9)</f>
        <v>-0.0101111658385228</v>
      </c>
      <c r="I474" s="26" t="n">
        <f aca="false">IF(H474="","",H474-AVERAGE(H426:H522))</f>
        <v>-0.103911765475821</v>
      </c>
      <c r="J474" s="27" t="n">
        <f aca="false">IF(I474="","",Resumen!$B$10-(MAX(I426:I522)-I474))</f>
        <v>1.60189827748853</v>
      </c>
    </row>
    <row r="475" customFormat="false" ht="15" hidden="false" customHeight="false" outlineLevel="0" collapsed="false">
      <c r="A475" s="24" t="n">
        <v>46266.3229166667</v>
      </c>
      <c r="B475" s="10" t="n">
        <v>4.434</v>
      </c>
      <c r="C475" s="10" t="n">
        <v>3.8638</v>
      </c>
      <c r="D475" s="10" t="n">
        <f aca="false">IF(OR(B475="",C475="",B475&lt;=0.05,C475&lt;=0.05),0,1)</f>
        <v>1</v>
      </c>
      <c r="E475" s="25" t="n">
        <f aca="false">IF(OR(A475&lt;Resumen!$B$6,A475&gt;=Resumen!$B$7),0,MAX(0,AVERAGEIFS(B427:B523,D427:D523,1)-Resumen!$B$5*AVERAGEIFS(C427:C523,D427:D523,1)))</f>
        <v>0</v>
      </c>
      <c r="F475" s="10" t="n">
        <f aca="false">IF(B475="","",(B475-E475)/Resumen!$B$5)</f>
        <v>3.52184273232724</v>
      </c>
      <c r="G475" s="10" t="n">
        <f aca="false">IF(OR(F475="",C475=""),0,(F475-C475)*0.9)</f>
        <v>-0.30776154090548</v>
      </c>
      <c r="H475" s="26" t="n">
        <f aca="false">IF(A475&lt;Resumen!$B$11,"",IF(H474="",0,H474)+G475/Resumen!$B$9)</f>
        <v>-0.0246587122253229</v>
      </c>
      <c r="I475" s="26" t="n">
        <f aca="false">IF(H475="","",H475-AVERAGE(H427:H523))</f>
        <v>-0.120815257773052</v>
      </c>
      <c r="J475" s="27" t="n">
        <f aca="false">IF(I475="","",Resumen!$B$10-(MAX(I427:I523)-I475))</f>
        <v>1.5849947851913</v>
      </c>
    </row>
    <row r="476" customFormat="false" ht="15" hidden="false" customHeight="false" outlineLevel="0" collapsed="false">
      <c r="A476" s="24" t="n">
        <v>46266.3333333333</v>
      </c>
      <c r="B476" s="10" t="n">
        <v>4.5471</v>
      </c>
      <c r="C476" s="10" t="n">
        <v>3.032</v>
      </c>
      <c r="D476" s="10" t="n">
        <f aca="false">IF(OR(B476="",C476="",B476&lt;=0.05,C476&lt;=0.05),0,1)</f>
        <v>1</v>
      </c>
      <c r="E476" s="25" t="n">
        <f aca="false">IF(OR(A476&lt;Resumen!$B$6,A476&gt;=Resumen!$B$7),0,MAX(0,AVERAGEIFS(B428:B524,D428:D524,1)-Resumen!$B$5*AVERAGEIFS(C428:C524,D428:D524,1)))</f>
        <v>0</v>
      </c>
      <c r="F476" s="10" t="n">
        <f aca="false">IF(B476="","",(B476-E476)/Resumen!$B$5)</f>
        <v>3.61167593328038</v>
      </c>
      <c r="G476" s="10" t="n">
        <f aca="false">IF(OR(F476="",C476=""),0,(F476-C476)*0.9)</f>
        <v>0.521708339952344</v>
      </c>
      <c r="H476" s="26" t="n">
        <f aca="false">IF(A476&lt;Resumen!$B$11,"",IF(H475="",0,H475)+G476/Resumen!$B$9)</f>
        <v>1.86184610762377E-006</v>
      </c>
      <c r="I476" s="26" t="n">
        <f aca="false">IF(H476="","",H476-AVERAGE(H428:H524))</f>
        <v>-0.0986457544528428</v>
      </c>
      <c r="J476" s="27" t="n">
        <f aca="false">IF(I476="","",Resumen!$B$10-(MAX(I428:I524)-I476))</f>
        <v>1.60716428851151</v>
      </c>
    </row>
    <row r="477" customFormat="false" ht="15" hidden="false" customHeight="false" outlineLevel="0" collapsed="false">
      <c r="A477" s="24" t="n">
        <v>46266.34375</v>
      </c>
      <c r="B477" s="10" t="n">
        <v>3.8752</v>
      </c>
      <c r="C477" s="10" t="n">
        <v>3.8621</v>
      </c>
      <c r="D477" s="10" t="n">
        <f aca="false">IF(OR(B477="",C477="",B477&lt;=0.05,C477&lt;=0.05),0,1)</f>
        <v>1</v>
      </c>
      <c r="E477" s="25" t="n">
        <f aca="false">IF(OR(A477&lt;Resumen!$B$6,A477&gt;=Resumen!$B$7),0,MAX(0,AVERAGEIFS(B429:B525,D429:D525,1)-Resumen!$B$5*AVERAGEIFS(C429:C525,D429:D525,1)))</f>
        <v>0</v>
      </c>
      <c r="F477" s="10" t="n">
        <f aca="false">IF(B477="","",(B477-E477)/Resumen!$B$5)</f>
        <v>3.07799841143765</v>
      </c>
      <c r="G477" s="10" t="n">
        <f aca="false">IF(OR(F477="",C477=""),0,(F477-C477)*0.9)</f>
        <v>-0.705691429706116</v>
      </c>
      <c r="H477" s="26" t="n">
        <f aca="false">IF(A477&lt;Resumen!$B$11,"",IF(H476="",0,H476)+G477/Resumen!$B$9)</f>
        <v>-0.033355388634939</v>
      </c>
      <c r="I477" s="26" t="n">
        <f aca="false">IF(H477="","",H477-AVERAGE(H429:H525))</f>
        <v>-0.134051372260402</v>
      </c>
      <c r="J477" s="27" t="n">
        <f aca="false">IF(I477="","",Resumen!$B$10-(MAX(I429:I525)-I477))</f>
        <v>1.57175867070395</v>
      </c>
    </row>
    <row r="478" customFormat="false" ht="15" hidden="false" customHeight="false" outlineLevel="0" collapsed="false">
      <c r="A478" s="24" t="n">
        <v>46266.3541666667</v>
      </c>
      <c r="B478" s="10" t="n">
        <v>4.7295</v>
      </c>
      <c r="C478" s="10" t="n">
        <v>4.2176</v>
      </c>
      <c r="D478" s="10" t="n">
        <f aca="false">IF(OR(B478="",C478="",B478&lt;=0.05,C478&lt;=0.05),0,1)</f>
        <v>1</v>
      </c>
      <c r="E478" s="25" t="n">
        <f aca="false">IF(OR(A478&lt;Resumen!$B$6,A478&gt;=Resumen!$B$7),0,MAX(0,AVERAGEIFS(B430:B526,D430:D526,1)-Resumen!$B$5*AVERAGEIFS(C430:C526,D430:D526,1)))</f>
        <v>0</v>
      </c>
      <c r="F478" s="10" t="n">
        <f aca="false">IF(B478="","",(B478-E478)/Resumen!$B$5)</f>
        <v>3.75655281969817</v>
      </c>
      <c r="G478" s="10" t="n">
        <f aca="false">IF(OR(F478="",C478=""),0,(F478-C478)*0.9)</f>
        <v>-0.414942462271644</v>
      </c>
      <c r="H478" s="26" t="n">
        <f aca="false">IF(A478&lt;Resumen!$B$11,"",IF(H477="",0,H477)+G478/Resumen!$B$9)</f>
        <v>-0.0529692581911864</v>
      </c>
      <c r="I478" s="26" t="n">
        <f aca="false">IF(H478="","",H478-AVERAGE(H430:H526))</f>
        <v>-0.155624154009156</v>
      </c>
      <c r="J478" s="27" t="n">
        <f aca="false">IF(I478="","",Resumen!$B$10-(MAX(I430:I526)-I478))</f>
        <v>1.55018588895519</v>
      </c>
    </row>
    <row r="479" customFormat="false" ht="15" hidden="false" customHeight="false" outlineLevel="0" collapsed="false">
      <c r="A479" s="24" t="n">
        <v>46266.3645833333</v>
      </c>
      <c r="B479" s="10" t="n">
        <v>4.0837</v>
      </c>
      <c r="C479" s="10" t="n">
        <v>3.3004</v>
      </c>
      <c r="D479" s="10" t="n">
        <f aca="false">IF(OR(B479="",C479="",B479&lt;=0.05,C479&lt;=0.05),0,1)</f>
        <v>1</v>
      </c>
      <c r="E479" s="25" t="n">
        <f aca="false">IF(OR(A479&lt;Resumen!$B$6,A479&gt;=Resumen!$B$7),0,MAX(0,AVERAGEIFS(B431:B527,D431:D527,1)-Resumen!$B$5*AVERAGEIFS(C431:C527,D431:D527,1)))</f>
        <v>0</v>
      </c>
      <c r="F479" s="10" t="n">
        <f aca="false">IF(B479="","",(B479-E479)/Resumen!$B$5)</f>
        <v>3.24360603653693</v>
      </c>
      <c r="G479" s="10" t="n">
        <f aca="false">IF(OR(F479="",C479=""),0,(F479-C479)*0.9)</f>
        <v>-0.0511145671167587</v>
      </c>
      <c r="H479" s="26" t="n">
        <f aca="false">IF(A479&lt;Resumen!$B$11,"",IF(H478="",0,H478)+G479/Resumen!$B$9)</f>
        <v>-0.0553853870355654</v>
      </c>
      <c r="I479" s="26" t="n">
        <f aca="false">IF(H479="","",H479-AVERAGE(H431:H527))</f>
        <v>-0.159781338534997</v>
      </c>
      <c r="J479" s="27" t="n">
        <f aca="false">IF(I479="","",Resumen!$B$10-(MAX(I431:I527)-I479))</f>
        <v>1.54602870442935</v>
      </c>
    </row>
    <row r="480" customFormat="false" ht="15" hidden="false" customHeight="false" outlineLevel="0" collapsed="false">
      <c r="A480" s="24" t="n">
        <v>46266.375</v>
      </c>
      <c r="B480" s="10" t="n">
        <v>4.578</v>
      </c>
      <c r="C480" s="10" t="n">
        <v>4.0021</v>
      </c>
      <c r="D480" s="10" t="n">
        <f aca="false">IF(OR(B480="",C480="",B480&lt;=0.05,C480&lt;=0.05),0,1)</f>
        <v>1</v>
      </c>
      <c r="E480" s="25" t="n">
        <f aca="false">IF(OR(A480&lt;Resumen!$B$6,A480&gt;=Resumen!$B$7),0,MAX(0,AVERAGEIFS(B432:B528,D432:D528,1)-Resumen!$B$5*AVERAGEIFS(C432:C528,D432:D528,1)))</f>
        <v>0</v>
      </c>
      <c r="F480" s="10" t="n">
        <f aca="false">IF(B480="","",(B480-E480)/Resumen!$B$5)</f>
        <v>3.63621922160445</v>
      </c>
      <c r="G480" s="10" t="n">
        <f aca="false">IF(OR(F480="",C480=""),0,(F480-C480)*0.9)</f>
        <v>-0.329292700555997</v>
      </c>
      <c r="H480" s="26" t="n">
        <f aca="false">IF(A480&lt;Resumen!$B$11,"",IF(H479="",0,H479)+G480/Resumen!$B$9)</f>
        <v>-0.0709506874369052</v>
      </c>
      <c r="I480" s="26" t="n">
        <f aca="false">IF(H480="","",H480-AVERAGE(H432:H528))</f>
        <v>-0.176923933858169</v>
      </c>
      <c r="J480" s="27" t="n">
        <f aca="false">IF(I480="","",Resumen!$B$10-(MAX(I432:I528)-I480))</f>
        <v>1.52888610910618</v>
      </c>
    </row>
    <row r="481" customFormat="false" ht="15" hidden="false" customHeight="false" outlineLevel="0" collapsed="false">
      <c r="A481" s="24" t="n">
        <v>46266.3854166667</v>
      </c>
      <c r="B481" s="10" t="n">
        <v>4.6607</v>
      </c>
      <c r="C481" s="10" t="n">
        <v>3.637</v>
      </c>
      <c r="D481" s="10" t="n">
        <f aca="false">IF(OR(B481="",C481="",B481&lt;=0.05,C481&lt;=0.05),0,1)</f>
        <v>1</v>
      </c>
      <c r="E481" s="25" t="n">
        <f aca="false">IF(OR(A481&lt;Resumen!$B$6,A481&gt;=Resumen!$B$7),0,MAX(0,AVERAGEIFS(B433:B529,D433:D529,1)-Resumen!$B$5*AVERAGEIFS(C433:C529,D433:D529,1)))</f>
        <v>0</v>
      </c>
      <c r="F481" s="10" t="n">
        <f aca="false">IF(B481="","",(B481-E481)/Resumen!$B$5)</f>
        <v>3.70190627482129</v>
      </c>
      <c r="G481" s="10" t="n">
        <f aca="false">IF(OR(F481="",C481=""),0,(F481-C481)*0.9)</f>
        <v>0.0584156473391585</v>
      </c>
      <c r="H481" s="26" t="n">
        <f aca="false">IF(A481&lt;Resumen!$B$11,"",IF(H480="",0,H480)+G481/Resumen!$B$9)</f>
        <v>-0.0681894446354781</v>
      </c>
      <c r="I481" s="26" t="n">
        <f aca="false">IF(H481="","",H481-AVERAGE(H433:H529))</f>
        <v>-0.175749209584639</v>
      </c>
      <c r="J481" s="27" t="n">
        <f aca="false">IF(I481="","",Resumen!$B$10-(MAX(I433:I529)-I481))</f>
        <v>1.53006083337971</v>
      </c>
    </row>
    <row r="482" customFormat="false" ht="15" hidden="false" customHeight="false" outlineLevel="0" collapsed="false">
      <c r="A482" s="24" t="n">
        <v>46266.3958333333</v>
      </c>
      <c r="B482" s="10" t="n">
        <v>4.4845</v>
      </c>
      <c r="C482" s="10" t="n">
        <v>2.9444</v>
      </c>
      <c r="D482" s="10" t="n">
        <f aca="false">IF(OR(B482="",C482="",B482&lt;=0.05,C482&lt;=0.05),0,1)</f>
        <v>1</v>
      </c>
      <c r="E482" s="25" t="n">
        <f aca="false">IF(OR(A482&lt;Resumen!$B$6,A482&gt;=Resumen!$B$7),0,MAX(0,AVERAGEIFS(B434:B530,D434:D530,1)-Resumen!$B$5*AVERAGEIFS(C434:C530,D434:D530,1)))</f>
        <v>0</v>
      </c>
      <c r="F482" s="10" t="n">
        <f aca="false">IF(B482="","",(B482-E482)/Resumen!$B$5)</f>
        <v>3.56195393169182</v>
      </c>
      <c r="G482" s="10" t="n">
        <f aca="false">IF(OR(F482="",C482=""),0,(F482-C482)*0.9)</f>
        <v>0.555798538522637</v>
      </c>
      <c r="H482" s="26" t="n">
        <f aca="false">IF(A482&lt;Resumen!$B$11,"",IF(H481="",0,H481)+G482/Resumen!$B$9)</f>
        <v>-0.0419174647217924</v>
      </c>
      <c r="I482" s="26" t="n">
        <f aca="false">IF(H482="","",H482-AVERAGE(H434:H530))</f>
        <v>-0.150910768372489</v>
      </c>
      <c r="J482" s="27" t="n">
        <f aca="false">IF(I482="","",Resumen!$B$10-(MAX(I434:I530)-I482))</f>
        <v>1.55489927459186</v>
      </c>
    </row>
    <row r="483" customFormat="false" ht="15" hidden="false" customHeight="false" outlineLevel="0" collapsed="false">
      <c r="A483" s="24" t="n">
        <v>46266.40625</v>
      </c>
      <c r="B483" s="10" t="n">
        <v>7.2336</v>
      </c>
      <c r="C483" s="10" t="n">
        <v>4.008</v>
      </c>
      <c r="D483" s="10" t="n">
        <f aca="false">IF(OR(B483="",C483="",B483&lt;=0.05,C483&lt;=0.05),0,1)</f>
        <v>1</v>
      </c>
      <c r="E483" s="25" t="n">
        <f aca="false">IF(OR(A483&lt;Resumen!$B$6,A483&gt;=Resumen!$B$7),0,MAX(0,AVERAGEIFS(B435:B531,D435:D531,1)-Resumen!$B$5*AVERAGEIFS(C435:C531,D435:D531,1)))</f>
        <v>0</v>
      </c>
      <c r="F483" s="10" t="n">
        <f aca="false">IF(B483="","",(B483-E483)/Resumen!$B$5)</f>
        <v>5.74551231135822</v>
      </c>
      <c r="G483" s="10" t="n">
        <f aca="false">IF(OR(F483="",C483=""),0,(F483-C483)*0.9)</f>
        <v>1.5637610802224</v>
      </c>
      <c r="H483" s="26" t="n">
        <f aca="false">IF(A483&lt;Resumen!$B$11,"",IF(H482="",0,H482)+G483/Resumen!$B$9)</f>
        <v>0.0319997855801049</v>
      </c>
      <c r="I483" s="26" t="n">
        <f aca="false">IF(H483="","",H483-AVERAGE(H435:H531))</f>
        <v>-0.0781294401269456</v>
      </c>
      <c r="J483" s="27" t="n">
        <f aca="false">IF(I483="","",Resumen!$B$10-(MAX(I435:I531)-I483))</f>
        <v>1.6276806028374</v>
      </c>
    </row>
    <row r="484" customFormat="false" ht="15" hidden="false" customHeight="false" outlineLevel="0" collapsed="false">
      <c r="A484" s="24" t="n">
        <v>46266.4166666667</v>
      </c>
      <c r="B484" s="10" t="n">
        <v>7.1293</v>
      </c>
      <c r="C484" s="10" t="n">
        <v>3.5054</v>
      </c>
      <c r="D484" s="10" t="n">
        <f aca="false">IF(OR(B484="",C484="",B484&lt;=0.05,C484&lt;=0.05),0,1)</f>
        <v>1</v>
      </c>
      <c r="E484" s="25" t="n">
        <f aca="false">IF(OR(A484&lt;Resumen!$B$6,A484&gt;=Resumen!$B$7),0,MAX(0,AVERAGEIFS(B436:B532,D436:D532,1)-Resumen!$B$5*AVERAGEIFS(C436:C532,D436:D532,1)))</f>
        <v>0</v>
      </c>
      <c r="F484" s="10" t="n">
        <f aca="false">IF(B484="","",(B484-E484)/Resumen!$B$5)</f>
        <v>5.6626687847498</v>
      </c>
      <c r="G484" s="10" t="n">
        <f aca="false">IF(OR(F484="",C484=""),0,(F484-C484)*0.9)</f>
        <v>1.94154190627482</v>
      </c>
      <c r="H484" s="26" t="n">
        <f aca="false">IF(A484&lt;Resumen!$B$11,"",IF(H483="",0,H483)+G484/Resumen!$B$9)</f>
        <v>0.123774316147989</v>
      </c>
      <c r="I484" s="26" t="n">
        <f aca="false">IF(H484="","",H484-AVERAGE(H436:H532))</f>
        <v>0.012011455599791</v>
      </c>
      <c r="J484" s="27" t="n">
        <f aca="false">IF(I484="","",Resumen!$B$10-(MAX(I436:I532)-I484))</f>
        <v>1.71782149856414</v>
      </c>
    </row>
    <row r="485" customFormat="false" ht="15" hidden="false" customHeight="false" outlineLevel="0" collapsed="false">
      <c r="A485" s="24" t="n">
        <v>46266.4270833333</v>
      </c>
      <c r="B485" s="10" t="n">
        <v>5.1243</v>
      </c>
      <c r="C485" s="10" t="n">
        <v>3.4149</v>
      </c>
      <c r="D485" s="10" t="n">
        <f aca="false">IF(OR(B485="",C485="",B485&lt;=0.05,C485&lt;=0.05),0,1)</f>
        <v>1</v>
      </c>
      <c r="E485" s="25" t="n">
        <f aca="false">IF(OR(A485&lt;Resumen!$B$6,A485&gt;=Resumen!$B$7),0,MAX(0,AVERAGEIFS(B437:B533,D437:D533,1)-Resumen!$B$5*AVERAGEIFS(C437:C533,D437:D533,1)))</f>
        <v>0</v>
      </c>
      <c r="F485" s="10" t="n">
        <f aca="false">IF(B485="","",(B485-E485)/Resumen!$B$5)</f>
        <v>4.07013502779984</v>
      </c>
      <c r="G485" s="10" t="n">
        <f aca="false">IF(OR(F485="",C485=""),0,(F485-C485)*0.9)</f>
        <v>0.589711525019857</v>
      </c>
      <c r="H485" s="26" t="n">
        <f aca="false">IF(A485&lt;Resumen!$B$11,"",IF(H484="",0,H484)+G485/Resumen!$B$9)</f>
        <v>0.151649325285963</v>
      </c>
      <c r="I485" s="26" t="n">
        <f aca="false">IF(H485="","",H485-AVERAGE(H437:H533))</f>
        <v>0.0380334066219466</v>
      </c>
      <c r="J485" s="27" t="n">
        <f aca="false">IF(I485="","",Resumen!$B$10-(MAX(I437:I533)-I485))</f>
        <v>1.7438434495863</v>
      </c>
    </row>
    <row r="486" customFormat="false" ht="15" hidden="false" customHeight="false" outlineLevel="0" collapsed="false">
      <c r="A486" s="24" t="n">
        <v>46266.4375</v>
      </c>
      <c r="B486" s="10" t="n">
        <v>4.3574</v>
      </c>
      <c r="C486" s="10" t="n">
        <v>3.8817</v>
      </c>
      <c r="D486" s="10" t="n">
        <f aca="false">IF(OR(B486="",C486="",B486&lt;=0.05,C486&lt;=0.05),0,1)</f>
        <v>1</v>
      </c>
      <c r="E486" s="25" t="n">
        <f aca="false">IF(OR(A486&lt;Resumen!$B$6,A486&gt;=Resumen!$B$7),0,MAX(0,AVERAGEIFS(B438:B534,D438:D534,1)-Resumen!$B$5*AVERAGEIFS(C438:C534,D438:D534,1)))</f>
        <v>0</v>
      </c>
      <c r="F486" s="10" t="n">
        <f aca="false">IF(B486="","",(B486-E486)/Resumen!$B$5)</f>
        <v>3.46100079428118</v>
      </c>
      <c r="G486" s="10" t="n">
        <f aca="false">IF(OR(F486="",C486=""),0,(F486-C486)*0.9)</f>
        <v>-0.378629285146942</v>
      </c>
      <c r="H486" s="26" t="n">
        <f aca="false">IF(A486&lt;Resumen!$B$11,"",IF(H485="",0,H485)+G486/Resumen!$B$9)</f>
        <v>0.133751939300468</v>
      </c>
      <c r="I486" s="26" t="n">
        <f aca="false">IF(H486="","",H486-AVERAGE(H438:H534))</f>
        <v>0.0184906119067697</v>
      </c>
      <c r="J486" s="27" t="n">
        <f aca="false">IF(I486="","",Resumen!$B$10-(MAX(I438:I534)-I486))</f>
        <v>1.72430065487112</v>
      </c>
    </row>
    <row r="487" customFormat="false" ht="15" hidden="false" customHeight="false" outlineLevel="0" collapsed="false">
      <c r="A487" s="24" t="n">
        <v>46266.4479166667</v>
      </c>
      <c r="B487" s="10" t="n">
        <v>4.3175</v>
      </c>
      <c r="C487" s="10" t="n">
        <v>3.606</v>
      </c>
      <c r="D487" s="10" t="n">
        <f aca="false">IF(OR(B487="",C487="",B487&lt;=0.05,C487&lt;=0.05),0,1)</f>
        <v>1</v>
      </c>
      <c r="E487" s="25" t="n">
        <f aca="false">IF(OR(A487&lt;Resumen!$B$6,A487&gt;=Resumen!$B$7),0,MAX(0,AVERAGEIFS(B439:B535,D439:D535,1)-Resumen!$B$5*AVERAGEIFS(C439:C535,D439:D535,1)))</f>
        <v>0</v>
      </c>
      <c r="F487" s="10" t="n">
        <f aca="false">IF(B487="","",(B487-E487)/Resumen!$B$5)</f>
        <v>3.42930897537728</v>
      </c>
      <c r="G487" s="10" t="n">
        <f aca="false">IF(OR(F487="",C487=""),0,(F487-C487)*0.9)</f>
        <v>-0.159021922160445</v>
      </c>
      <c r="H487" s="26" t="n">
        <f aca="false">IF(A487&lt;Resumen!$B$11,"",IF(H486="",0,H486)+G487/Resumen!$B$9)</f>
        <v>0.126235149573132</v>
      </c>
      <c r="I487" s="26" t="n">
        <f aca="false">IF(H487="","",H487-AVERAGE(H439:H535))</f>
        <v>0.00959324345896669</v>
      </c>
      <c r="J487" s="27" t="n">
        <f aca="false">IF(I487="","",Resumen!$B$10-(MAX(I439:I535)-I487))</f>
        <v>1.71540328642332</v>
      </c>
    </row>
    <row r="488" customFormat="false" ht="15" hidden="false" customHeight="false" outlineLevel="0" collapsed="false">
      <c r="A488" s="24" t="n">
        <v>46266.4583333333</v>
      </c>
      <c r="B488" s="10" t="n">
        <v>3.761</v>
      </c>
      <c r="C488" s="10" t="n">
        <v>3.6095</v>
      </c>
      <c r="D488" s="10" t="n">
        <f aca="false">IF(OR(B488="",C488="",B488&lt;=0.05,C488&lt;=0.05),0,1)</f>
        <v>1</v>
      </c>
      <c r="E488" s="25" t="n">
        <f aca="false">IF(OR(A488&lt;Resumen!$B$6,A488&gt;=Resumen!$B$7),0,MAX(0,AVERAGEIFS(B440:B536,D440:D536,1)-Resumen!$B$5*AVERAGEIFS(C440:C536,D440:D536,1)))</f>
        <v>0</v>
      </c>
      <c r="F488" s="10" t="n">
        <f aca="false">IF(B488="","",(B488-E488)/Resumen!$B$5)</f>
        <v>2.98729150119142</v>
      </c>
      <c r="G488" s="10" t="n">
        <f aca="false">IF(OR(F488="",C488=""),0,(F488-C488)*0.9)</f>
        <v>-0.55998764892772</v>
      </c>
      <c r="H488" s="26" t="n">
        <f aca="false">IF(A488&lt;Resumen!$B$11,"",IF(H487="",0,H487)+G488/Resumen!$B$9)</f>
        <v>0.0997651550610076</v>
      </c>
      <c r="I488" s="26" t="n">
        <f aca="false">IF(H488="","",H488-AVERAGE(H440:H536))</f>
        <v>-0.0183905351837513</v>
      </c>
      <c r="J488" s="27" t="n">
        <f aca="false">IF(I488="","",Resumen!$B$10-(MAX(I440:I536)-I488))</f>
        <v>1.6874195077806</v>
      </c>
    </row>
    <row r="489" customFormat="false" ht="15" hidden="false" customHeight="false" outlineLevel="0" collapsed="false">
      <c r="A489" s="24" t="n">
        <v>46266.46875</v>
      </c>
      <c r="B489" s="10" t="n">
        <v>4.7068</v>
      </c>
      <c r="C489" s="10" t="n">
        <v>4.0029</v>
      </c>
      <c r="D489" s="10" t="n">
        <f aca="false">IF(OR(B489="",C489="",B489&lt;=0.05,C489&lt;=0.05),0,1)</f>
        <v>1</v>
      </c>
      <c r="E489" s="25" t="n">
        <f aca="false">IF(OR(A489&lt;Resumen!$B$6,A489&gt;=Resumen!$B$7),0,MAX(0,AVERAGEIFS(B441:B537,D441:D537,1)-Resumen!$B$5*AVERAGEIFS(C441:C537,D441:D537,1)))</f>
        <v>0</v>
      </c>
      <c r="F489" s="10" t="n">
        <f aca="false">IF(B489="","",(B489-E489)/Resumen!$B$5)</f>
        <v>3.7385226370135</v>
      </c>
      <c r="G489" s="10" t="n">
        <f aca="false">IF(OR(F489="",C489=""),0,(F489-C489)*0.9)</f>
        <v>-0.237939626687847</v>
      </c>
      <c r="H489" s="26" t="n">
        <f aca="false">IF(A489&lt;Resumen!$B$11,"",IF(H488="",0,H488)+G489/Resumen!$B$9)</f>
        <v>0.0885180130486714</v>
      </c>
      <c r="I489" s="26" t="n">
        <f aca="false">IF(H489="","",H489-AVERAGE(H441:H537))</f>
        <v>-0.0311800881502619</v>
      </c>
      <c r="J489" s="27" t="n">
        <f aca="false">IF(I489="","",Resumen!$B$10-(MAX(I441:I537)-I489))</f>
        <v>1.67462995481409</v>
      </c>
    </row>
    <row r="490" customFormat="false" ht="15" hidden="false" customHeight="false" outlineLevel="0" collapsed="false">
      <c r="A490" s="24" t="n">
        <v>46266.4791666667</v>
      </c>
      <c r="B490" s="10" t="n">
        <v>3.6451</v>
      </c>
      <c r="C490" s="10" t="n">
        <v>3.8496</v>
      </c>
      <c r="D490" s="10" t="n">
        <f aca="false">IF(OR(B490="",C490="",B490&lt;=0.05,C490&lt;=0.05),0,1)</f>
        <v>1</v>
      </c>
      <c r="E490" s="25" t="n">
        <f aca="false">IF(OR(A490&lt;Resumen!$B$6,A490&gt;=Resumen!$B$7),0,MAX(0,AVERAGEIFS(B442:B538,D442:D538,1)-Resumen!$B$5*AVERAGEIFS(C442:C538,D442:D538,1)))</f>
        <v>0</v>
      </c>
      <c r="F490" s="10" t="n">
        <f aca="false">IF(B490="","",(B490-E490)/Resumen!$B$5)</f>
        <v>2.89523431294678</v>
      </c>
      <c r="G490" s="10" t="n">
        <f aca="false">IF(OR(F490="",C490=""),0,(F490-C490)*0.9)</f>
        <v>-0.858929118347895</v>
      </c>
      <c r="H490" s="26" t="n">
        <f aca="false">IF(A490&lt;Resumen!$B$11,"",IF(H489="",0,H489)+G490/Resumen!$B$9)</f>
        <v>0.0479173871375318</v>
      </c>
      <c r="I490" s="26" t="n">
        <f aca="false">IF(H490="","",H490-AVERAGE(H442:H538))</f>
        <v>-0.0731973181795088</v>
      </c>
      <c r="J490" s="27" t="n">
        <f aca="false">IF(I490="","",Resumen!$B$10-(MAX(I442:I538)-I490))</f>
        <v>1.63261272478484</v>
      </c>
    </row>
    <row r="491" customFormat="false" ht="15" hidden="false" customHeight="false" outlineLevel="0" collapsed="false">
      <c r="A491" s="24" t="n">
        <v>46266.4895833333</v>
      </c>
      <c r="B491" s="10" t="n">
        <v>4.595</v>
      </c>
      <c r="C491" s="10" t="n">
        <v>3.1841</v>
      </c>
      <c r="D491" s="10" t="n">
        <f aca="false">IF(OR(B491="",C491="",B491&lt;=0.05,C491&lt;=0.05),0,1)</f>
        <v>1</v>
      </c>
      <c r="E491" s="25" t="n">
        <f aca="false">IF(OR(A491&lt;Resumen!$B$6,A491&gt;=Resumen!$B$7),0,MAX(0,AVERAGEIFS(B443:B539,D443:D539,1)-Resumen!$B$5*AVERAGEIFS(C443:C539,D443:D539,1)))</f>
        <v>0</v>
      </c>
      <c r="F491" s="10" t="n">
        <f aca="false">IF(B491="","",(B491-E491)/Resumen!$B$5)</f>
        <v>3.64972200158856</v>
      </c>
      <c r="G491" s="10" t="n">
        <f aca="false">IF(OR(F491="",C491=""),0,(F491-C491)*0.9)</f>
        <v>0.419059801429706</v>
      </c>
      <c r="H491" s="26" t="n">
        <f aca="false">IF(A491&lt;Resumen!$B$11,"",IF(H490="",0,H490)+G491/Resumen!$B$9)</f>
        <v>0.0677258787450461</v>
      </c>
      <c r="I491" s="26" t="n">
        <f aca="false">IF(H491="","",H491-AVERAGE(H443:H539))</f>
        <v>-0.0545080024057347</v>
      </c>
      <c r="J491" s="27" t="n">
        <f aca="false">IF(I491="","",Resumen!$B$10-(MAX(I443:I539)-I491))</f>
        <v>1.65130204055861</v>
      </c>
    </row>
    <row r="492" customFormat="false" ht="15" hidden="false" customHeight="false" outlineLevel="0" collapsed="false">
      <c r="A492" s="24" t="n">
        <v>46266.5</v>
      </c>
      <c r="B492" s="10" t="n">
        <v>5.2519</v>
      </c>
      <c r="C492" s="10" t="n">
        <v>3.1433</v>
      </c>
      <c r="D492" s="10" t="n">
        <f aca="false">IF(OR(B492="",C492="",B492&lt;=0.05,C492&lt;=0.05),0,1)</f>
        <v>1</v>
      </c>
      <c r="E492" s="25" t="n">
        <f aca="false">IF(OR(A492&lt;Resumen!$B$6,A492&gt;=Resumen!$B$7),0,MAX(0,AVERAGEIFS(B444:B540,D444:D540,1)-Resumen!$B$5*AVERAGEIFS(C444:C540,D444:D540,1)))</f>
        <v>0</v>
      </c>
      <c r="F492" s="10" t="n">
        <f aca="false">IF(B492="","",(B492-E492)/Resumen!$B$5)</f>
        <v>4.17148530579825</v>
      </c>
      <c r="G492" s="10" t="n">
        <f aca="false">IF(OR(F492="",C492=""),0,(F492-C492)*0.9)</f>
        <v>0.925366775218428</v>
      </c>
      <c r="H492" s="26" t="n">
        <f aca="false">IF(A492&lt;Resumen!$B$11,"",IF(H491="",0,H491)+G492/Resumen!$B$9)</f>
        <v>0.111466938942779</v>
      </c>
      <c r="I492" s="26" t="n">
        <f aca="false">IF(H492="","",H492-AVERAGE(H444:H540))</f>
        <v>-0.011681768417789</v>
      </c>
      <c r="J492" s="27" t="n">
        <f aca="false">IF(I492="","",Resumen!$B$10-(MAX(I444:I540)-I492))</f>
        <v>1.69412827454656</v>
      </c>
    </row>
    <row r="493" customFormat="false" ht="15" hidden="false" customHeight="false" outlineLevel="0" collapsed="false">
      <c r="A493" s="24" t="n">
        <v>46266.5104166667</v>
      </c>
      <c r="B493" s="10" t="n">
        <v>4.4155</v>
      </c>
      <c r="C493" s="10" t="n">
        <v>3.4784</v>
      </c>
      <c r="D493" s="10" t="n">
        <f aca="false">IF(OR(B493="",C493="",B493&lt;=0.05,C493&lt;=0.05),0,1)</f>
        <v>1</v>
      </c>
      <c r="E493" s="25" t="n">
        <f aca="false">IF(OR(A493&lt;Resumen!$B$6,A493&gt;=Resumen!$B$7),0,MAX(0,AVERAGEIFS(B445:B541,D445:D541,1)-Resumen!$B$5*AVERAGEIFS(C445:C541,D445:D541,1)))</f>
        <v>0</v>
      </c>
      <c r="F493" s="10" t="n">
        <f aca="false">IF(B493="","",(B493-E493)/Resumen!$B$5)</f>
        <v>3.50714853057983</v>
      </c>
      <c r="G493" s="10" t="n">
        <f aca="false">IF(OR(F493="",C493=""),0,(F493-C493)*0.9)</f>
        <v>0.0258736775218427</v>
      </c>
      <c r="H493" s="26" t="n">
        <f aca="false">IF(A493&lt;Resumen!$B$11,"",IF(H492="",0,H492)+G493/Resumen!$B$9)</f>
        <v>0.112689958956387</v>
      </c>
      <c r="I493" s="26" t="n">
        <f aca="false">IF(H493="","",H493-AVERAGE(H445:H541))</f>
        <v>-0.0130456925978445</v>
      </c>
      <c r="J493" s="27" t="n">
        <f aca="false">IF(I493="","",Resumen!$B$10-(MAX(I445:I541)-I493))</f>
        <v>1.6927643503665</v>
      </c>
    </row>
    <row r="494" customFormat="false" ht="15" hidden="false" customHeight="false" outlineLevel="0" collapsed="false">
      <c r="A494" s="24" t="n">
        <v>46266.5208333333</v>
      </c>
      <c r="B494" s="10" t="n">
        <v>4.1307</v>
      </c>
      <c r="C494" s="10" t="n">
        <v>3.3735</v>
      </c>
      <c r="D494" s="10" t="n">
        <f aca="false">IF(OR(B494="",C494="",B494&lt;=0.05,C494&lt;=0.05),0,1)</f>
        <v>1</v>
      </c>
      <c r="E494" s="25" t="n">
        <f aca="false">IF(OR(A494&lt;Resumen!$B$6,A494&gt;=Resumen!$B$7),0,MAX(0,AVERAGEIFS(B446:B542,D446:D542,1)-Resumen!$B$5*AVERAGEIFS(C446:C542,D446:D542,1)))</f>
        <v>0</v>
      </c>
      <c r="F494" s="10" t="n">
        <f aca="false">IF(B494="","",(B494-E494)/Resumen!$B$5)</f>
        <v>3.28093725178713</v>
      </c>
      <c r="G494" s="10" t="n">
        <f aca="false">IF(OR(F494="",C494=""),0,(F494-C494)*0.9)</f>
        <v>-0.0833064733915801</v>
      </c>
      <c r="H494" s="26" t="n">
        <f aca="false">IF(A494&lt;Resumen!$B$11,"",IF(H493="",0,H493)+G494/Resumen!$B$9)</f>
        <v>0.10875215443923</v>
      </c>
      <c r="I494" s="26" t="n">
        <f aca="false">IF(H494="","",H494-AVERAGE(H446:H542))</f>
        <v>-0.01969667396615</v>
      </c>
      <c r="J494" s="27" t="n">
        <f aca="false">IF(I494="","",Resumen!$B$10-(MAX(I446:I542)-I494))</f>
        <v>1.6861133689982</v>
      </c>
    </row>
    <row r="495" customFormat="false" ht="15" hidden="false" customHeight="false" outlineLevel="0" collapsed="false">
      <c r="A495" s="24" t="n">
        <v>46266.53125</v>
      </c>
      <c r="B495" s="10" t="n">
        <v>5.2261</v>
      </c>
      <c r="C495" s="10" t="n">
        <v>4.1205</v>
      </c>
      <c r="D495" s="10" t="n">
        <f aca="false">IF(OR(B495="",C495="",B495&lt;=0.05,C495&lt;=0.05),0,1)</f>
        <v>1</v>
      </c>
      <c r="E495" s="25" t="n">
        <f aca="false">IF(OR(A495&lt;Resumen!$B$6,A495&gt;=Resumen!$B$7),0,MAX(0,AVERAGEIFS(B447:B543,D447:D543,1)-Resumen!$B$5*AVERAGEIFS(C447:C543,D447:D543,1)))</f>
        <v>0</v>
      </c>
      <c r="F495" s="10" t="n">
        <f aca="false">IF(B495="","",(B495-E495)/Resumen!$B$5)</f>
        <v>4.15099285146942</v>
      </c>
      <c r="G495" s="10" t="n">
        <f aca="false">IF(OR(F495="",C495=""),0,(F495-C495)*0.9)</f>
        <v>0.027443566322478</v>
      </c>
      <c r="H495" s="26" t="n">
        <f aca="false">IF(A495&lt;Resumen!$B$11,"",IF(H494="",0,H494)+G495/Resumen!$B$9)</f>
        <v>0.110049381353681</v>
      </c>
      <c r="I495" s="26" t="n">
        <f aca="false">IF(H495="","",H495-AVERAGE(H447:H543))</f>
        <v>-0.0206150504685582</v>
      </c>
      <c r="J495" s="27" t="n">
        <f aca="false">IF(I495="","",Resumen!$B$10-(MAX(I447:I543)-I495))</f>
        <v>1.68519499249579</v>
      </c>
    </row>
    <row r="496" customFormat="false" ht="15" hidden="false" customHeight="false" outlineLevel="0" collapsed="false">
      <c r="A496" s="24" t="n">
        <v>46266.5416666667</v>
      </c>
      <c r="B496" s="10" t="n">
        <v>3.9131</v>
      </c>
      <c r="C496" s="10" t="n">
        <v>3.0645</v>
      </c>
      <c r="D496" s="10" t="n">
        <f aca="false">IF(OR(B496="",C496="",B496&lt;=0.05,C496&lt;=0.05),0,1)</f>
        <v>1</v>
      </c>
      <c r="E496" s="25" t="n">
        <f aca="false">IF(OR(A496&lt;Resumen!$B$6,A496&gt;=Resumen!$B$7),0,MAX(0,AVERAGEIFS(B448:B544,D448:D544,1)-Resumen!$B$5*AVERAGEIFS(C448:C544,D448:D544,1)))</f>
        <v>0</v>
      </c>
      <c r="F496" s="10" t="n">
        <f aca="false">IF(B496="","",(B496-E496)/Resumen!$B$5)</f>
        <v>3.10810166799047</v>
      </c>
      <c r="G496" s="10" t="n">
        <f aca="false">IF(OR(F496="",C496=""),0,(F496-C496)*0.9)</f>
        <v>0.0392415011914221</v>
      </c>
      <c r="H496" s="26" t="n">
        <f aca="false">IF(A496&lt;Resumen!$B$11,"",IF(H495="",0,H495)+G496/Resumen!$B$9)</f>
        <v>0.11190428355228</v>
      </c>
      <c r="I496" s="26" t="n">
        <f aca="false">IF(H496="","",H496-AVERAGE(H448:H544))</f>
        <v>-0.0213025083087378</v>
      </c>
      <c r="J496" s="27" t="n">
        <f aca="false">IF(I496="","",Resumen!$B$10-(MAX(I448:I544)-I496))</f>
        <v>1.68450753465561</v>
      </c>
    </row>
    <row r="497" customFormat="false" ht="15" hidden="false" customHeight="false" outlineLevel="0" collapsed="false">
      <c r="A497" s="24" t="n">
        <v>46266.5520833333</v>
      </c>
      <c r="B497" s="10" t="n">
        <v>4.4666</v>
      </c>
      <c r="C497" s="10" t="n">
        <v>4.0791</v>
      </c>
      <c r="D497" s="10" t="n">
        <f aca="false">IF(OR(B497="",C497="",B497&lt;=0.05,C497&lt;=0.05),0,1)</f>
        <v>1</v>
      </c>
      <c r="E497" s="25" t="n">
        <f aca="false">IF(OR(A497&lt;Resumen!$B$6,A497&gt;=Resumen!$B$7),0,MAX(0,AVERAGEIFS(B449:B545,D449:D545,1)-Resumen!$B$5*AVERAGEIFS(C449:C545,D449:D545,1)))</f>
        <v>0</v>
      </c>
      <c r="F497" s="10" t="n">
        <f aca="false">IF(B497="","",(B497-E497)/Resumen!$B$5)</f>
        <v>3.54773629864972</v>
      </c>
      <c r="G497" s="10" t="n">
        <f aca="false">IF(OR(F497="",C497=""),0,(F497-C497)*0.9)</f>
        <v>-0.478227331215251</v>
      </c>
      <c r="H497" s="26" t="n">
        <f aca="false">IF(A497&lt;Resumen!$B$11,"",IF(H496="",0,H496)+G497/Resumen!$B$9)</f>
        <v>0.0892990084947767</v>
      </c>
      <c r="I497" s="26" t="n">
        <f aca="false">IF(H497="","",H497-AVERAGE(H449:H545))</f>
        <v>-0.046593683738216</v>
      </c>
      <c r="J497" s="27" t="n">
        <f aca="false">IF(I497="","",Resumen!$B$10-(MAX(I449:I545)-I497))</f>
        <v>1.65921635922613</v>
      </c>
    </row>
    <row r="498" customFormat="false" ht="15" hidden="false" customHeight="false" outlineLevel="0" collapsed="false">
      <c r="A498" s="24" t="n">
        <v>46266.5625</v>
      </c>
      <c r="B498" s="10" t="n">
        <v>4.6563</v>
      </c>
      <c r="C498" s="10" t="n">
        <v>3.8246</v>
      </c>
      <c r="D498" s="10" t="n">
        <f aca="false">IF(OR(B498="",C498="",B498&lt;=0.05,C498&lt;=0.05),0,1)</f>
        <v>1</v>
      </c>
      <c r="E498" s="25" t="n">
        <f aca="false">IF(OR(A498&lt;Resumen!$B$6,A498&gt;=Resumen!$B$7),0,MAX(0,AVERAGEIFS(B450:B546,D450:D546,1)-Resumen!$B$5*AVERAGEIFS(C450:C546,D450:D546,1)))</f>
        <v>0</v>
      </c>
      <c r="F498" s="10" t="n">
        <f aca="false">IF(B498="","",(B498-E498)/Resumen!$B$5)</f>
        <v>3.69841143764893</v>
      </c>
      <c r="G498" s="10" t="n">
        <f aca="false">IF(OR(F498="",C498=""),0,(F498-C498)*0.9)</f>
        <v>-0.113569706115965</v>
      </c>
      <c r="H498" s="26" t="n">
        <f aca="false">IF(A498&lt;Resumen!$B$11,"",IF(H497="",0,H497)+G498/Resumen!$B$9)</f>
        <v>0.0839306945625149</v>
      </c>
      <c r="I498" s="26" t="n">
        <f aca="false">IF(H498="","",H498-AVERAGE(H450:H546))</f>
        <v>-0.05480307927695</v>
      </c>
      <c r="J498" s="27" t="n">
        <f aca="false">IF(I498="","",Resumen!$B$10-(MAX(I450:I546)-I498))</f>
        <v>1.6510069636874</v>
      </c>
    </row>
    <row r="499" customFormat="false" ht="15" hidden="false" customHeight="false" outlineLevel="0" collapsed="false">
      <c r="A499" s="24" t="n">
        <v>46266.5729166667</v>
      </c>
      <c r="B499" s="10" t="n">
        <v>4.7685</v>
      </c>
      <c r="C499" s="10" t="n">
        <v>2.778</v>
      </c>
      <c r="D499" s="10" t="n">
        <f aca="false">IF(OR(B499="",C499="",B499&lt;=0.05,C499&lt;=0.05),0,1)</f>
        <v>1</v>
      </c>
      <c r="E499" s="25" t="n">
        <f aca="false">IF(OR(A499&lt;Resumen!$B$6,A499&gt;=Resumen!$B$7),0,MAX(0,AVERAGEIFS(B451:B547,D451:D547,1)-Resumen!$B$5*AVERAGEIFS(C451:C547,D451:D547,1)))</f>
        <v>0</v>
      </c>
      <c r="F499" s="10" t="n">
        <f aca="false">IF(B499="","",(B499-E499)/Resumen!$B$5)</f>
        <v>3.78752978554408</v>
      </c>
      <c r="G499" s="10" t="n">
        <f aca="false">IF(OR(F499="",C499=""),0,(F499-C499)*0.9)</f>
        <v>0.908576806989675</v>
      </c>
      <c r="H499" s="26" t="n">
        <f aca="false">IF(A499&lt;Resumen!$B$11,"",IF(H498="",0,H498)+G499/Resumen!$B$9)</f>
        <v>0.12687811160093</v>
      </c>
      <c r="I499" s="26" t="n">
        <f aca="false">IF(H499="","",H499-AVERAGE(H451:H547))</f>
        <v>-0.0146942216944303</v>
      </c>
      <c r="J499" s="27" t="n">
        <f aca="false">IF(I499="","",Resumen!$B$10-(MAX(I451:I547)-I499))</f>
        <v>1.69111582126992</v>
      </c>
    </row>
    <row r="500" customFormat="false" ht="15" hidden="false" customHeight="false" outlineLevel="0" collapsed="false">
      <c r="A500" s="24" t="n">
        <v>46266.5833333333</v>
      </c>
      <c r="B500" s="10" t="n">
        <v>3.7095</v>
      </c>
      <c r="C500" s="10" t="n">
        <v>3.3218</v>
      </c>
      <c r="D500" s="10" t="n">
        <f aca="false">IF(OR(B500="",C500="",B500&lt;=0.05,C500&lt;=0.05),0,1)</f>
        <v>1</v>
      </c>
      <c r="E500" s="25" t="n">
        <f aca="false">IF(OR(A500&lt;Resumen!$B$6,A500&gt;=Resumen!$B$7),0,MAX(0,AVERAGEIFS(B452:B548,D452:D548,1)-Resumen!$B$5*AVERAGEIFS(C452:C548,D452:D548,1)))</f>
        <v>0</v>
      </c>
      <c r="F500" s="10" t="n">
        <f aca="false">IF(B500="","",(B500-E500)/Resumen!$B$5)</f>
        <v>2.94638602065131</v>
      </c>
      <c r="G500" s="10" t="n">
        <f aca="false">IF(OR(F500="",C500=""),0,(F500-C500)*0.9)</f>
        <v>-0.33787258141382</v>
      </c>
      <c r="H500" s="26" t="n">
        <f aca="false">IF(A500&lt;Resumen!$B$11,"",IF(H499="",0,H499)+G500/Resumen!$B$9)</f>
        <v>0.110907249756126</v>
      </c>
      <c r="I500" s="26" t="n">
        <f aca="false">IF(H500="","",H500-AVERAGE(H452:H548))</f>
        <v>-0.0337940607159468</v>
      </c>
      <c r="J500" s="27" t="n">
        <f aca="false">IF(I500="","",Resumen!$B$10-(MAX(I452:I548)-I500))</f>
        <v>1.6720159822484</v>
      </c>
    </row>
    <row r="501" customFormat="false" ht="15" hidden="false" customHeight="false" outlineLevel="0" collapsed="false">
      <c r="A501" s="24" t="n">
        <v>46266.59375</v>
      </c>
      <c r="B501" s="10" t="n">
        <v>3.9528</v>
      </c>
      <c r="C501" s="10" t="n">
        <v>3.0419</v>
      </c>
      <c r="D501" s="10" t="n">
        <f aca="false">IF(OR(B501="",C501="",B501&lt;=0.05,C501&lt;=0.05),0,1)</f>
        <v>1</v>
      </c>
      <c r="E501" s="25" t="n">
        <f aca="false">IF(OR(A501&lt;Resumen!$B$6,A501&gt;=Resumen!$B$7),0,MAX(0,AVERAGEIFS(B453:B549,D453:D549,1)-Resumen!$B$5*AVERAGEIFS(C453:C549,D453:D549,1)))</f>
        <v>0</v>
      </c>
      <c r="F501" s="10" t="n">
        <f aca="false">IF(B501="","",(B501-E501)/Resumen!$B$5)</f>
        <v>3.13963463065925</v>
      </c>
      <c r="G501" s="10" t="n">
        <f aca="false">IF(OR(F501="",C501=""),0,(F501-C501)*0.9)</f>
        <v>0.0879611675933283</v>
      </c>
      <c r="H501" s="26" t="n">
        <f aca="false">IF(A501&lt;Resumen!$B$11,"",IF(H500="",0,H500)+G501/Resumen!$B$9)</f>
        <v>0.115065076500937</v>
      </c>
      <c r="I501" s="26" t="n">
        <f aca="false">IF(H501="","",H501-AVERAGE(H453:H549))</f>
        <v>-0.0326177926972353</v>
      </c>
      <c r="J501" s="27" t="n">
        <f aca="false">IF(I501="","",Resumen!$B$10-(MAX(I453:I549)-I501))</f>
        <v>1.67319225026711</v>
      </c>
    </row>
    <row r="502" customFormat="false" ht="15" hidden="false" customHeight="false" outlineLevel="0" collapsed="false">
      <c r="A502" s="24" t="n">
        <v>46266.6041666667</v>
      </c>
      <c r="B502" s="10" t="n">
        <v>3.7659</v>
      </c>
      <c r="C502" s="10" t="n">
        <v>2.8262</v>
      </c>
      <c r="D502" s="10" t="n">
        <f aca="false">IF(OR(B502="",C502="",B502&lt;=0.05,C502&lt;=0.05),0,1)</f>
        <v>1</v>
      </c>
      <c r="E502" s="25" t="n">
        <f aca="false">IF(OR(A502&lt;Resumen!$B$6,A502&gt;=Resumen!$B$7),0,MAX(0,AVERAGEIFS(B454:B550,D454:D550,1)-Resumen!$B$5*AVERAGEIFS(C454:C550,D454:D550,1)))</f>
        <v>0</v>
      </c>
      <c r="F502" s="10" t="n">
        <f aca="false">IF(B502="","",(B502-E502)/Resumen!$B$5)</f>
        <v>2.99118347895155</v>
      </c>
      <c r="G502" s="10" t="n">
        <f aca="false">IF(OR(F502="",C502=""),0,(F502-C502)*0.9)</f>
        <v>0.148485131056394</v>
      </c>
      <c r="H502" s="26" t="n">
        <f aca="false">IF(A502&lt;Resumen!$B$11,"",IF(H501="",0,H501)+G502/Resumen!$B$9)</f>
        <v>0.122083803809871</v>
      </c>
      <c r="I502" s="26" t="n">
        <f aca="false">IF(H502="","",H502-AVERAGE(H454:H550))</f>
        <v>-0.0283240565860665</v>
      </c>
      <c r="J502" s="27" t="n">
        <f aca="false">IF(I502="","",Resumen!$B$10-(MAX(I454:I550)-I502))</f>
        <v>1.67748598637828</v>
      </c>
    </row>
    <row r="503" customFormat="false" ht="15" hidden="false" customHeight="false" outlineLevel="0" collapsed="false">
      <c r="A503" s="24" t="n">
        <v>46266.6145833333</v>
      </c>
      <c r="B503" s="10" t="n">
        <v>4.0283</v>
      </c>
      <c r="C503" s="10" t="n">
        <v>2.9355</v>
      </c>
      <c r="D503" s="10" t="n">
        <f aca="false">IF(OR(B503="",C503="",B503&lt;=0.05,C503&lt;=0.05),0,1)</f>
        <v>1</v>
      </c>
      <c r="E503" s="25" t="n">
        <f aca="false">IF(OR(A503&lt;Resumen!$B$6,A503&gt;=Resumen!$B$7),0,MAX(0,AVERAGEIFS(B455:B551,D455:D551,1)-Resumen!$B$5*AVERAGEIFS(C455:C551,D455:D551,1)))</f>
        <v>0</v>
      </c>
      <c r="F503" s="10" t="n">
        <f aca="false">IF(B503="","",(B503-E503)/Resumen!$B$5)</f>
        <v>3.19960285941223</v>
      </c>
      <c r="G503" s="10" t="n">
        <f aca="false">IF(OR(F503="",C503=""),0,(F503-C503)*0.9)</f>
        <v>0.237692573471009</v>
      </c>
      <c r="H503" s="26" t="n">
        <f aca="false">IF(A503&lt;Resumen!$B$11,"",IF(H502="",0,H502)+G503/Resumen!$B$9)</f>
        <v>0.133319267890906</v>
      </c>
      <c r="I503" s="26" t="n">
        <f aca="false">IF(H503="","",H503-AVERAGE(H455:H551))</f>
        <v>-0.0193576094152328</v>
      </c>
      <c r="J503" s="27" t="n">
        <f aca="false">IF(I503="","",Resumen!$B$10-(MAX(I455:I551)-I503))</f>
        <v>1.68645243354912</v>
      </c>
    </row>
    <row r="504" customFormat="false" ht="15" hidden="false" customHeight="false" outlineLevel="0" collapsed="false">
      <c r="A504" s="24" t="n">
        <v>46266.625</v>
      </c>
      <c r="B504" s="10" t="n">
        <v>3.9619</v>
      </c>
      <c r="C504" s="10" t="n">
        <v>3.2026</v>
      </c>
      <c r="D504" s="10" t="n">
        <f aca="false">IF(OR(B504="",C504="",B504&lt;=0.05,C504&lt;=0.05),0,1)</f>
        <v>1</v>
      </c>
      <c r="E504" s="25" t="n">
        <f aca="false">IF(OR(A504&lt;Resumen!$B$6,A504&gt;=Resumen!$B$7),0,MAX(0,AVERAGEIFS(B456:B552,D456:D552,1)-Resumen!$B$5*AVERAGEIFS(C456:C552,D456:D552,1)))</f>
        <v>0</v>
      </c>
      <c r="F504" s="10" t="n">
        <f aca="false">IF(B504="","",(B504-E504)/Resumen!$B$5)</f>
        <v>3.14686258935663</v>
      </c>
      <c r="G504" s="10" t="n">
        <f aca="false">IF(OR(F504="",C504=""),0,(F504-C504)*0.9)</f>
        <v>-0.0501636695790307</v>
      </c>
      <c r="H504" s="26" t="n">
        <f aca="false">IF(A504&lt;Resumen!$B$11,"",IF(H503="",0,H503)+G504/Resumen!$B$9)</f>
        <v>0.130948086917526</v>
      </c>
      <c r="I504" s="26" t="n">
        <f aca="false">IF(H504="","",H504-AVERAGE(H456:H552))</f>
        <v>-0.0243574340200352</v>
      </c>
      <c r="J504" s="27" t="n">
        <f aca="false">IF(I504="","",Resumen!$B$10-(MAX(I456:I552)-I504))</f>
        <v>1.68145260894431</v>
      </c>
    </row>
    <row r="505" customFormat="false" ht="15" hidden="false" customHeight="false" outlineLevel="0" collapsed="false">
      <c r="A505" s="24" t="n">
        <v>46266.6354166667</v>
      </c>
      <c r="B505" s="10" t="n">
        <v>3.6798</v>
      </c>
      <c r="C505" s="10" t="n">
        <v>2.3805</v>
      </c>
      <c r="D505" s="10" t="n">
        <f aca="false">IF(OR(B505="",C505="",B505&lt;=0.05,C505&lt;=0.05),0,1)</f>
        <v>1</v>
      </c>
      <c r="E505" s="25" t="n">
        <f aca="false">IF(OR(A505&lt;Resumen!$B$6,A505&gt;=Resumen!$B$7),0,MAX(0,AVERAGEIFS(B457:B553,D457:D553,1)-Resumen!$B$5*AVERAGEIFS(C457:C553,D457:D553,1)))</f>
        <v>0</v>
      </c>
      <c r="F505" s="10" t="n">
        <f aca="false">IF(B505="","",(B505-E505)/Resumen!$B$5)</f>
        <v>2.92279586973789</v>
      </c>
      <c r="G505" s="10" t="n">
        <f aca="false">IF(OR(F505="",C505=""),0,(F505-C505)*0.9)</f>
        <v>0.488066282764099</v>
      </c>
      <c r="H505" s="26" t="n">
        <f aca="false">IF(A505&lt;Resumen!$B$11,"",IF(H504="",0,H504)+G505/Resumen!$B$9)</f>
        <v>0.154018438292341</v>
      </c>
      <c r="I505" s="26" t="n">
        <f aca="false">IF(H505="","",H505-AVERAGE(H457:H553))</f>
        <v>-0.00422744314488721</v>
      </c>
      <c r="J505" s="27" t="n">
        <f aca="false">IF(I505="","",Resumen!$B$10-(MAX(I457:I553)-I505))</f>
        <v>1.70158259981946</v>
      </c>
    </row>
    <row r="506" customFormat="false" ht="15" hidden="false" customHeight="false" outlineLevel="0" collapsed="false">
      <c r="A506" s="24" t="n">
        <v>46266.6458333333</v>
      </c>
      <c r="B506" s="10" t="n">
        <v>4.5296</v>
      </c>
      <c r="C506" s="10" t="n">
        <v>3.4708</v>
      </c>
      <c r="D506" s="10" t="n">
        <f aca="false">IF(OR(B506="",C506="",B506&lt;=0.05,C506&lt;=0.05),0,1)</f>
        <v>1</v>
      </c>
      <c r="E506" s="25" t="n">
        <f aca="false">IF(OR(A506&lt;Resumen!$B$6,A506&gt;=Resumen!$B$7),0,MAX(0,AVERAGEIFS(B458:B554,D458:D554,1)-Resumen!$B$5*AVERAGEIFS(C458:C554,D458:D554,1)))</f>
        <v>0</v>
      </c>
      <c r="F506" s="10" t="n">
        <f aca="false">IF(B506="","",(B506-E506)/Resumen!$B$5)</f>
        <v>3.5977760127085</v>
      </c>
      <c r="G506" s="10" t="n">
        <f aca="false">IF(OR(F506="",C506=""),0,(F506-C506)*0.9)</f>
        <v>0.114278411437649</v>
      </c>
      <c r="H506" s="26" t="n">
        <f aca="false">IF(A506&lt;Resumen!$B$11,"",IF(H505="",0,H505)+G506/Resumen!$B$9)</f>
        <v>0.159420251938412</v>
      </c>
      <c r="I506" s="26" t="n">
        <f aca="false">IF(H506="","",H506-AVERAGE(H458:H554))</f>
        <v>-0.00166199206200024</v>
      </c>
      <c r="J506" s="27" t="n">
        <f aca="false">IF(I506="","",Resumen!$B$10-(MAX(I458:I554)-I506))</f>
        <v>1.70414805090235</v>
      </c>
    </row>
    <row r="507" customFormat="false" ht="15" hidden="false" customHeight="false" outlineLevel="0" collapsed="false">
      <c r="A507" s="24" t="n">
        <v>46266.65625</v>
      </c>
      <c r="B507" s="10" t="n">
        <v>4.5474</v>
      </c>
      <c r="C507" s="10" t="n">
        <v>3.6771</v>
      </c>
      <c r="D507" s="10" t="n">
        <f aca="false">IF(OR(B507="",C507="",B507&lt;=0.05,C507&lt;=0.05),0,1)</f>
        <v>1</v>
      </c>
      <c r="E507" s="25" t="n">
        <f aca="false">IF(OR(A507&lt;Resumen!$B$6,A507&gt;=Resumen!$B$7),0,MAX(0,AVERAGEIFS(B459:B555,D459:D555,1)-Resumen!$B$5*AVERAGEIFS(C459:C555,D459:D555,1)))</f>
        <v>0</v>
      </c>
      <c r="F507" s="10" t="n">
        <f aca="false">IF(B507="","",(B507-E507)/Resumen!$B$5)</f>
        <v>3.61191421763304</v>
      </c>
      <c r="G507" s="10" t="n">
        <f aca="false">IF(OR(F507="",C507=""),0,(F507-C507)*0.9)</f>
        <v>-0.0586672041302617</v>
      </c>
      <c r="H507" s="26" t="n">
        <f aca="false">IF(A507&lt;Resumen!$B$11,"",IF(H506="",0,H506)+G507/Resumen!$B$9)</f>
        <v>0.156647118326727</v>
      </c>
      <c r="I507" s="26" t="n">
        <f aca="false">IF(H507="","",H507-AVERAGE(H459:H555))</f>
        <v>-0.00703584377328972</v>
      </c>
      <c r="J507" s="27" t="n">
        <f aca="false">IF(I507="","",Resumen!$B$10-(MAX(I459:I555)-I507))</f>
        <v>1.69877419919106</v>
      </c>
    </row>
    <row r="508" customFormat="false" ht="15" hidden="false" customHeight="false" outlineLevel="0" collapsed="false">
      <c r="A508" s="24" t="n">
        <v>46266.6666666667</v>
      </c>
      <c r="B508" s="10" t="n">
        <v>3.5993</v>
      </c>
      <c r="C508" s="10" t="n">
        <v>2.1934</v>
      </c>
      <c r="D508" s="10" t="n">
        <f aca="false">IF(OR(B508="",C508="",B508&lt;=0.05,C508&lt;=0.05),0,1)</f>
        <v>1</v>
      </c>
      <c r="E508" s="25" t="n">
        <f aca="false">IF(OR(A508&lt;Resumen!$B$6,A508&gt;=Resumen!$B$7),0,MAX(0,AVERAGEIFS(B460:B556,D460:D556,1)-Resumen!$B$5*AVERAGEIFS(C460:C556,D460:D556,1)))</f>
        <v>0</v>
      </c>
      <c r="F508" s="10" t="n">
        <f aca="false">IF(B508="","",(B508-E508)/Resumen!$B$5)</f>
        <v>2.85885623510723</v>
      </c>
      <c r="G508" s="10" t="n">
        <f aca="false">IF(OR(F508="",C508=""),0,(F508-C508)*0.9)</f>
        <v>0.598910611596505</v>
      </c>
      <c r="H508" s="26" t="n">
        <f aca="false">IF(A508&lt;Resumen!$B$11,"",IF(H507="",0,H507)+G508/Resumen!$B$9)</f>
        <v>0.184956958075102</v>
      </c>
      <c r="I508" s="26" t="n">
        <f aca="false">IF(H508="","",H508-AVERAGE(H460:H556))</f>
        <v>0.0189153621103643</v>
      </c>
      <c r="J508" s="27" t="n">
        <f aca="false">IF(I508="","",Resumen!$B$10-(MAX(I460:I556)-I508))</f>
        <v>1.72472540507471</v>
      </c>
    </row>
    <row r="509" customFormat="false" ht="15" hidden="false" customHeight="false" outlineLevel="0" collapsed="false">
      <c r="A509" s="24" t="n">
        <v>46266.6770833333</v>
      </c>
      <c r="B509" s="10" t="n">
        <v>3.3752</v>
      </c>
      <c r="C509" s="10" t="n">
        <v>2.9706</v>
      </c>
      <c r="D509" s="10" t="n">
        <f aca="false">IF(OR(B509="",C509="",B509&lt;=0.05,C509&lt;=0.05),0,1)</f>
        <v>1</v>
      </c>
      <c r="E509" s="25" t="n">
        <f aca="false">IF(OR(A509&lt;Resumen!$B$6,A509&gt;=Resumen!$B$7),0,MAX(0,AVERAGEIFS(B461:B557,D461:D557,1)-Resumen!$B$5*AVERAGEIFS(C461:C557,D461:D557,1)))</f>
        <v>0</v>
      </c>
      <c r="F509" s="10" t="n">
        <f aca="false">IF(B509="","",(B509-E509)/Resumen!$B$5)</f>
        <v>2.68085782366958</v>
      </c>
      <c r="G509" s="10" t="n">
        <f aca="false">IF(OR(F509="",C509=""),0,(F509-C509)*0.9)</f>
        <v>-0.260767958697379</v>
      </c>
      <c r="H509" s="26" t="n">
        <f aca="false">IF(A509&lt;Resumen!$B$11,"",IF(H508="",0,H508)+G509/Resumen!$B$9)</f>
        <v>0.172630746150831</v>
      </c>
      <c r="I509" s="26" t="n">
        <f aca="false">IF(H509="","",H509-AVERAGE(H461:H557))</f>
        <v>0.00443983026029415</v>
      </c>
      <c r="J509" s="27" t="n">
        <f aca="false">IF(I509="","",Resumen!$B$10-(MAX(I461:I557)-I509))</f>
        <v>1.71024987322464</v>
      </c>
    </row>
    <row r="510" customFormat="false" ht="15" hidden="false" customHeight="false" outlineLevel="0" collapsed="false">
      <c r="A510" s="24" t="n">
        <v>46266.6875</v>
      </c>
      <c r="B510" s="10" t="n">
        <v>4.7758</v>
      </c>
      <c r="C510" s="10" t="n">
        <v>3.0394</v>
      </c>
      <c r="D510" s="10" t="n">
        <f aca="false">IF(OR(B510="",C510="",B510&lt;=0.05,C510&lt;=0.05),0,1)</f>
        <v>1</v>
      </c>
      <c r="E510" s="25" t="n">
        <f aca="false">IF(OR(A510&lt;Resumen!$B$6,A510&gt;=Resumen!$B$7),0,MAX(0,AVERAGEIFS(B462:B558,D462:D558,1)-Resumen!$B$5*AVERAGEIFS(C462:C558,D462:D558,1)))</f>
        <v>0</v>
      </c>
      <c r="F510" s="10" t="n">
        <f aca="false">IF(B510="","",(B510-E510)/Resumen!$B$5)</f>
        <v>3.7933280381255</v>
      </c>
      <c r="G510" s="10" t="n">
        <f aca="false">IF(OR(F510="",C510=""),0,(F510-C510)*0.9)</f>
        <v>0.678535234312947</v>
      </c>
      <c r="H510" s="26" t="n">
        <f aca="false">IF(A510&lt;Resumen!$B$11,"",IF(H509="",0,H509)+G510/Resumen!$B$9)</f>
        <v>0.204704353422239</v>
      </c>
      <c r="I510" s="26" t="n">
        <f aca="false">IF(H510="","",H510-AVERAGE(H462:H558))</f>
        <v>0.0344616843754181</v>
      </c>
      <c r="J510" s="27" t="n">
        <f aca="false">IF(I510="","",Resumen!$B$10-(MAX(I462:I558)-I510))</f>
        <v>1.74027172733977</v>
      </c>
    </row>
    <row r="511" customFormat="false" ht="15" hidden="false" customHeight="false" outlineLevel="0" collapsed="false">
      <c r="A511" s="24" t="n">
        <v>46266.6979166667</v>
      </c>
      <c r="B511" s="10" t="n">
        <v>4.357</v>
      </c>
      <c r="C511" s="10" t="n">
        <v>2.1622</v>
      </c>
      <c r="D511" s="10" t="n">
        <f aca="false">IF(OR(B511="",C511="",B511&lt;=0.05,C511&lt;=0.05),0,1)</f>
        <v>1</v>
      </c>
      <c r="E511" s="25" t="n">
        <f aca="false">IF(OR(A511&lt;Resumen!$B$6,A511&gt;=Resumen!$B$7),0,MAX(0,AVERAGEIFS(B463:B559,D463:D559,1)-Resumen!$B$5*AVERAGEIFS(C463:C559,D463:D559,1)))</f>
        <v>0</v>
      </c>
      <c r="F511" s="10" t="n">
        <f aca="false">IF(B511="","",(B511-E511)/Resumen!$B$5)</f>
        <v>3.46068308181096</v>
      </c>
      <c r="G511" s="10" t="n">
        <f aca="false">IF(OR(F511="",C511=""),0,(F511-C511)*0.9)</f>
        <v>1.16863477362987</v>
      </c>
      <c r="H511" s="26" t="n">
        <f aca="false">IF(A511&lt;Resumen!$B$11,"",IF(H510="",0,H510)+G511/Resumen!$B$9)</f>
        <v>0.259944421848558</v>
      </c>
      <c r="I511" s="26" t="n">
        <f aca="false">IF(H511="","",H511-AVERAGE(H463:H559))</f>
        <v>0.0874355638618403</v>
      </c>
      <c r="J511" s="27" t="n">
        <f aca="false">IF(I511="","",Resumen!$B$10-(MAX(I463:I559)-I511))</f>
        <v>1.79324560682619</v>
      </c>
    </row>
    <row r="512" customFormat="false" ht="15" hidden="false" customHeight="false" outlineLevel="0" collapsed="false">
      <c r="A512" s="24" t="n">
        <v>46266.7083333333</v>
      </c>
      <c r="B512" s="10" t="n">
        <v>4.2458</v>
      </c>
      <c r="C512" s="10" t="n">
        <v>1.9872</v>
      </c>
      <c r="D512" s="10" t="n">
        <f aca="false">IF(OR(B512="",C512="",B512&lt;=0.05,C512&lt;=0.05),0,1)</f>
        <v>1</v>
      </c>
      <c r="E512" s="25" t="n">
        <f aca="false">IF(OR(A512&lt;Resumen!$B$6,A512&gt;=Resumen!$B$7),0,MAX(0,AVERAGEIFS(B464:B560,D464:D560,1)-Resumen!$B$5*AVERAGEIFS(C464:C560,D464:D560,1)))</f>
        <v>0</v>
      </c>
      <c r="F512" s="10" t="n">
        <f aca="false">IF(B512="","",(B512-E512)/Resumen!$B$5)</f>
        <v>3.37235901509134</v>
      </c>
      <c r="G512" s="10" t="n">
        <f aca="false">IF(OR(F512="",C512=""),0,(F512-C512)*0.9)</f>
        <v>1.24664311358221</v>
      </c>
      <c r="H512" s="26" t="n">
        <f aca="false">IF(A512&lt;Resumen!$B$11,"",IF(H511="",0,H511)+G512/Resumen!$B$9)</f>
        <v>0.318871857905917</v>
      </c>
      <c r="I512" s="26" t="n">
        <f aca="false">IF(H512="","",H512-AVERAGE(H464:H560))</f>
        <v>0.144189957035651</v>
      </c>
      <c r="J512" s="27" t="n">
        <f aca="false">IF(I512="","",Resumen!$B$10-(MAX(I464:I560)-I512))</f>
        <v>1.85</v>
      </c>
    </row>
    <row r="513" customFormat="false" ht="15" hidden="false" customHeight="false" outlineLevel="0" collapsed="false">
      <c r="A513" s="24" t="n">
        <v>46266.71875</v>
      </c>
      <c r="B513" s="10" t="n">
        <v>1.9616</v>
      </c>
      <c r="C513" s="10" t="n">
        <v>2.358</v>
      </c>
      <c r="D513" s="10" t="n">
        <f aca="false">IF(OR(B513="",C513="",B513&lt;=0.05,C513&lt;=0.05),0,1)</f>
        <v>1</v>
      </c>
      <c r="E513" s="25" t="n">
        <f aca="false">IF(OR(A513&lt;Resumen!$B$6,A513&gt;=Resumen!$B$7),0,MAX(0,AVERAGEIFS(B465:B561,D465:D561,1)-Resumen!$B$5*AVERAGEIFS(C465:C561,D465:D561,1)))</f>
        <v>0</v>
      </c>
      <c r="F513" s="10" t="n">
        <f aca="false">IF(B513="","",(B513-E513)/Resumen!$B$5)</f>
        <v>1.55806195393169</v>
      </c>
      <c r="G513" s="10" t="n">
        <f aca="false">IF(OR(F513="",C513=""),0,(F513-C513)*0.9)</f>
        <v>-0.719944241461477</v>
      </c>
      <c r="H513" s="26" t="n">
        <f aca="false">IF(A513&lt;Resumen!$B$11,"",IF(H512="",0,H512)+G513/Resumen!$B$9)</f>
        <v>0.284840892835506</v>
      </c>
      <c r="I513" s="26" t="n">
        <f aca="false">IF(H513="","",H513-AVERAGE(H465:H561))</f>
        <v>0.108049608250031</v>
      </c>
      <c r="J513" s="27" t="n">
        <f aca="false">IF(I513="","",Resumen!$B$10-(MAX(I465:I561)-I513))</f>
        <v>1.81385965121438</v>
      </c>
    </row>
    <row r="514" customFormat="false" ht="15" hidden="false" customHeight="false" outlineLevel="0" collapsed="false">
      <c r="A514" s="24" t="n">
        <v>46266.7291666667</v>
      </c>
      <c r="B514" s="10" t="n">
        <v>2.3968</v>
      </c>
      <c r="C514" s="10" t="n">
        <v>2.4992</v>
      </c>
      <c r="D514" s="10" t="n">
        <f aca="false">IF(OR(B514="",C514="",B514&lt;=0.05,C514&lt;=0.05),0,1)</f>
        <v>1</v>
      </c>
      <c r="E514" s="25" t="n">
        <f aca="false">IF(OR(A514&lt;Resumen!$B$6,A514&gt;=Resumen!$B$7),0,MAX(0,AVERAGEIFS(B466:B562,D466:D562,1)-Resumen!$B$5*AVERAGEIFS(C466:C562,D466:D562,1)))</f>
        <v>0</v>
      </c>
      <c r="F514" s="10" t="n">
        <f aca="false">IF(B514="","",(B514-E514)/Resumen!$B$5)</f>
        <v>1.90373312152502</v>
      </c>
      <c r="G514" s="10" t="n">
        <f aca="false">IF(OR(F514="",C514=""),0,(F514-C514)*0.9)</f>
        <v>-0.535920190627482</v>
      </c>
      <c r="H514" s="26" t="n">
        <f aca="false">IF(A514&lt;Resumen!$B$11,"",IF(H513="",0,H513)+G514/Resumen!$B$9)</f>
        <v>0.259508540359501</v>
      </c>
      <c r="I514" s="26" t="n">
        <f aca="false">IF(H514="","",H514-AVERAGE(H466:H562))</f>
        <v>0.0803757545721084</v>
      </c>
      <c r="J514" s="27" t="n">
        <f aca="false">IF(I514="","",Resumen!$B$10-(MAX(I466:I562)-I514))</f>
        <v>1.78618579753646</v>
      </c>
    </row>
    <row r="515" customFormat="false" ht="15" hidden="false" customHeight="false" outlineLevel="0" collapsed="false">
      <c r="A515" s="24" t="n">
        <v>46266.7395833333</v>
      </c>
      <c r="B515" s="10" t="n">
        <v>4.989</v>
      </c>
      <c r="C515" s="10" t="n">
        <v>3.362</v>
      </c>
      <c r="D515" s="10" t="n">
        <f aca="false">IF(OR(B515="",C515="",B515&lt;=0.05,C515&lt;=0.05),0,1)</f>
        <v>1</v>
      </c>
      <c r="E515" s="25" t="n">
        <f aca="false">IF(OR(A515&lt;Resumen!$B$6,A515&gt;=Resumen!$B$7),0,MAX(0,AVERAGEIFS(B467:B563,D467:D563,1)-Resumen!$B$5*AVERAGEIFS(C467:C563,D467:D563,1)))</f>
        <v>0</v>
      </c>
      <c r="F515" s="10" t="n">
        <f aca="false">IF(B515="","",(B515-E515)/Resumen!$B$5)</f>
        <v>3.9626687847498</v>
      </c>
      <c r="G515" s="10" t="n">
        <f aca="false">IF(OR(F515="",C515=""),0,(F515-C515)*0.9)</f>
        <v>0.540601906274821</v>
      </c>
      <c r="H515" s="26" t="n">
        <f aca="false">IF(A515&lt;Resumen!$B$11,"",IF(H514="",0,H514)+G515/Resumen!$B$9)</f>
        <v>0.285062192336896</v>
      </c>
      <c r="I515" s="26" t="n">
        <f aca="false">IF(H515="","",H515-AVERAGE(H467:H563))</f>
        <v>0.103022808805537</v>
      </c>
      <c r="J515" s="27" t="n">
        <f aca="false">IF(I515="","",Resumen!$B$10-(MAX(I467:I563)-I515))</f>
        <v>1.80883285176989</v>
      </c>
    </row>
    <row r="516" customFormat="false" ht="15" hidden="false" customHeight="false" outlineLevel="0" collapsed="false">
      <c r="A516" s="24" t="n">
        <v>46266.75</v>
      </c>
      <c r="B516" s="10" t="n">
        <v>4.1466</v>
      </c>
      <c r="C516" s="10" t="n">
        <v>3.2732</v>
      </c>
      <c r="D516" s="10" t="n">
        <f aca="false">IF(OR(B516="",C516="",B516&lt;=0.05,C516&lt;=0.05),0,1)</f>
        <v>1</v>
      </c>
      <c r="E516" s="25" t="n">
        <f aca="false">IF(OR(A516&lt;Resumen!$B$6,A516&gt;=Resumen!$B$7),0,MAX(0,AVERAGEIFS(B468:B564,D468:D564,1)-Resumen!$B$5*AVERAGEIFS(C468:C564,D468:D564,1)))</f>
        <v>0</v>
      </c>
      <c r="F516" s="10" t="n">
        <f aca="false">IF(B516="","",(B516-E516)/Resumen!$B$5)</f>
        <v>3.29356632247816</v>
      </c>
      <c r="G516" s="10" t="n">
        <f aca="false">IF(OR(F516="",C516=""),0,(F516-C516)*0.9)</f>
        <v>0.0183296902303419</v>
      </c>
      <c r="H516" s="26" t="n">
        <f aca="false">IF(A516&lt;Resumen!$B$11,"",IF(H515="",0,H515)+G516/Resumen!$B$9)</f>
        <v>0.285928616445955</v>
      </c>
      <c r="I516" s="26" t="n">
        <f aca="false">IF(H516="","",H516-AVERAGE(H468:H564))</f>
        <v>0.10095944139701</v>
      </c>
      <c r="J516" s="27" t="n">
        <f aca="false">IF(I516="","",Resumen!$B$10-(MAX(I468:I564)-I516))</f>
        <v>1.80676948436136</v>
      </c>
    </row>
    <row r="517" customFormat="false" ht="15" hidden="false" customHeight="false" outlineLevel="0" collapsed="false">
      <c r="A517" s="24" t="n">
        <v>46266.7604166667</v>
      </c>
      <c r="B517" s="10" t="n">
        <v>2.4502</v>
      </c>
      <c r="C517" s="10" t="n">
        <v>2.4768</v>
      </c>
      <c r="D517" s="10" t="n">
        <f aca="false">IF(OR(B517="",C517="",B517&lt;=0.05,C517&lt;=0.05),0,1)</f>
        <v>1</v>
      </c>
      <c r="E517" s="25" t="n">
        <f aca="false">IF(OR(A517&lt;Resumen!$B$6,A517&gt;=Resumen!$B$7),0,MAX(0,AVERAGEIFS(B469:B565,D469:D565,1)-Resumen!$B$5*AVERAGEIFS(C469:C565,D469:D565,1)))</f>
        <v>0</v>
      </c>
      <c r="F517" s="10" t="n">
        <f aca="false">IF(B517="","",(B517-E517)/Resumen!$B$5)</f>
        <v>1.94614773629865</v>
      </c>
      <c r="G517" s="10" t="n">
        <f aca="false">IF(OR(F517="",C517=""),0,(F517-C517)*0.9)</f>
        <v>-0.477587037331215</v>
      </c>
      <c r="H517" s="26" t="n">
        <f aca="false">IF(A517&lt;Resumen!$B$11,"",IF(H516="",0,H516)+G517/Resumen!$B$9)</f>
        <v>0.263353607369547</v>
      </c>
      <c r="I517" s="26" t="n">
        <f aca="false">IF(H517="","",H517-AVERAGE(H469:H565))</f>
        <v>0.0751235028319023</v>
      </c>
      <c r="J517" s="27" t="n">
        <f aca="false">IF(I517="","",Resumen!$B$10-(MAX(I469:I565)-I517))</f>
        <v>1.78093354579625</v>
      </c>
    </row>
    <row r="518" customFormat="false" ht="15" hidden="false" customHeight="false" outlineLevel="0" collapsed="false">
      <c r="A518" s="24" t="n">
        <v>46266.7708333333</v>
      </c>
      <c r="B518" s="10" t="n">
        <v>3.7822</v>
      </c>
      <c r="C518" s="10" t="n">
        <v>2.7646</v>
      </c>
      <c r="D518" s="10" t="n">
        <f aca="false">IF(OR(B518="",C518="",B518&lt;=0.05,C518&lt;=0.05),0,1)</f>
        <v>1</v>
      </c>
      <c r="E518" s="25" t="n">
        <f aca="false">IF(OR(A518&lt;Resumen!$B$6,A518&gt;=Resumen!$B$7),0,MAX(0,AVERAGEIFS(B470:B566,D470:D566,1)-Resumen!$B$5*AVERAGEIFS(C470:C566,D470:D566,1)))</f>
        <v>0</v>
      </c>
      <c r="F518" s="10" t="n">
        <f aca="false">IF(B518="","",(B518-E518)/Resumen!$B$5)</f>
        <v>3.00413026211279</v>
      </c>
      <c r="G518" s="10" t="n">
        <f aca="false">IF(OR(F518="",C518=""),0,(F518-C518)*0.9)</f>
        <v>0.215577235901509</v>
      </c>
      <c r="H518" s="26" t="n">
        <f aca="false">IF(A518&lt;Resumen!$B$11,"",IF(H517="",0,H517)+G518/Resumen!$B$9)</f>
        <v>0.273543703994319</v>
      </c>
      <c r="I518" s="26" t="n">
        <f aca="false">IF(H518="","",H518-AVERAGE(H470:H566))</f>
        <v>0.0820486449846286</v>
      </c>
      <c r="J518" s="27" t="n">
        <f aca="false">IF(I518="","",Resumen!$B$10-(MAX(I470:I566)-I518))</f>
        <v>1.78785868794898</v>
      </c>
    </row>
    <row r="519" customFormat="false" ht="15" hidden="false" customHeight="false" outlineLevel="0" collapsed="false">
      <c r="A519" s="24" t="n">
        <v>46266.78125</v>
      </c>
      <c r="B519" s="10" t="n">
        <v>3.8314</v>
      </c>
      <c r="C519" s="10" t="n">
        <v>2.2682</v>
      </c>
      <c r="D519" s="10" t="n">
        <f aca="false">IF(OR(B519="",C519="",B519&lt;=0.05,C519&lt;=0.05),0,1)</f>
        <v>1</v>
      </c>
      <c r="E519" s="25" t="n">
        <f aca="false">IF(OR(A519&lt;Resumen!$B$6,A519&gt;=Resumen!$B$7),0,MAX(0,AVERAGEIFS(B471:B567,D471:D567,1)-Resumen!$B$5*AVERAGEIFS(C471:C567,D471:D567,1)))</f>
        <v>0</v>
      </c>
      <c r="F519" s="10" t="n">
        <f aca="false">IF(B519="","",(B519-E519)/Resumen!$B$5)</f>
        <v>3.04320889594917</v>
      </c>
      <c r="G519" s="10" t="n">
        <f aca="false">IF(OR(F519="",C519=""),0,(F519-C519)*0.9)</f>
        <v>0.69750800635425</v>
      </c>
      <c r="H519" s="26" t="n">
        <f aca="false">IF(A519&lt;Resumen!$B$11,"",IF(H518="",0,H518)+G519/Resumen!$B$9)</f>
        <v>0.306514133138093</v>
      </c>
      <c r="I519" s="26" t="n">
        <f aca="false">IF(H519="","",H519-AVERAGE(H471:H567))</f>
        <v>0.111827876623541</v>
      </c>
      <c r="J519" s="27" t="n">
        <f aca="false">IF(I519="","",Resumen!$B$10-(MAX(I471:I567)-I519))</f>
        <v>1.81763791958789</v>
      </c>
    </row>
    <row r="520" customFormat="false" ht="15" hidden="false" customHeight="false" outlineLevel="0" collapsed="false">
      <c r="A520" s="24" t="n">
        <v>46266.7916666667</v>
      </c>
      <c r="B520" s="10" t="n">
        <v>3.0371</v>
      </c>
      <c r="C520" s="10" t="n">
        <v>2.1997</v>
      </c>
      <c r="D520" s="10" t="n">
        <f aca="false">IF(OR(B520="",C520="",B520&lt;=0.05,C520&lt;=0.05),0,1)</f>
        <v>1</v>
      </c>
      <c r="E520" s="25" t="n">
        <f aca="false">IF(OR(A520&lt;Resumen!$B$6,A520&gt;=Resumen!$B$7),0,MAX(0,AVERAGEIFS(B472:B568,D472:D568,1)-Resumen!$B$5*AVERAGEIFS(C472:C568,D472:D568,1)))</f>
        <v>0</v>
      </c>
      <c r="F520" s="10" t="n">
        <f aca="false">IF(B520="","",(B520-E520)/Resumen!$B$5)</f>
        <v>2.41231135822081</v>
      </c>
      <c r="G520" s="10" t="n">
        <f aca="false">IF(OR(F520="",C520=""),0,(F520-C520)*0.9)</f>
        <v>0.19135022239873</v>
      </c>
      <c r="H520" s="26" t="n">
        <f aca="false">IF(A520&lt;Resumen!$B$11,"",IF(H519="",0,H519)+G520/Resumen!$B$9)</f>
        <v>0.315559045729445</v>
      </c>
      <c r="I520" s="26" t="n">
        <f aca="false">IF(H520="","",H520-AVERAGE(H472:H568))</f>
        <v>0.117802583072338</v>
      </c>
      <c r="J520" s="27" t="n">
        <f aca="false">IF(I520="","",Resumen!$B$10-(MAX(I472:I568)-I520))</f>
        <v>1.82361262603669</v>
      </c>
    </row>
    <row r="521" customFormat="false" ht="15" hidden="false" customHeight="false" outlineLevel="0" collapsed="false">
      <c r="A521" s="24" t="n">
        <v>46266.8020833333</v>
      </c>
      <c r="B521" s="10" t="n">
        <v>2.3198</v>
      </c>
      <c r="C521" s="10" t="n">
        <v>2.5922</v>
      </c>
      <c r="D521" s="10" t="n">
        <f aca="false">IF(OR(B521="",C521="",B521&lt;=0.05,C521&lt;=0.05),0,1)</f>
        <v>1</v>
      </c>
      <c r="E521" s="25" t="n">
        <f aca="false">IF(OR(A521&lt;Resumen!$B$6,A521&gt;=Resumen!$B$7),0,MAX(0,AVERAGEIFS(B473:B569,D473:D569,1)-Resumen!$B$5*AVERAGEIFS(C473:C569,D473:D569,1)))</f>
        <v>0</v>
      </c>
      <c r="F521" s="10" t="n">
        <f aca="false">IF(B521="","",(B521-E521)/Resumen!$B$5)</f>
        <v>1.84257347100874</v>
      </c>
      <c r="G521" s="10" t="n">
        <f aca="false">IF(OR(F521="",C521=""),0,(F521-C521)*0.9)</f>
        <v>-0.674663876092137</v>
      </c>
      <c r="H521" s="26" t="n">
        <f aca="false">IF(A521&lt;Resumen!$B$11,"",IF(H520="",0,H520)+G521/Resumen!$B$9)</f>
        <v>0.283668433263468</v>
      </c>
      <c r="I521" s="26" t="n">
        <f aca="false">IF(H521="","",H521-AVERAGE(H473:H569))</f>
        <v>0.0826129666486714</v>
      </c>
      <c r="J521" s="27" t="n">
        <f aca="false">IF(I521="","",Resumen!$B$10-(MAX(I473:I569)-I521))</f>
        <v>1.78842300961302</v>
      </c>
    </row>
    <row r="522" customFormat="false" ht="15" hidden="false" customHeight="false" outlineLevel="0" collapsed="false">
      <c r="A522" s="24" t="n">
        <v>46266.8125</v>
      </c>
      <c r="B522" s="10" t="n">
        <v>3.7893</v>
      </c>
      <c r="C522" s="10" t="n">
        <v>2.5028</v>
      </c>
      <c r="D522" s="10" t="n">
        <f aca="false">IF(OR(B522="",C522="",B522&lt;=0.05,C522&lt;=0.05),0,1)</f>
        <v>1</v>
      </c>
      <c r="E522" s="25" t="n">
        <f aca="false">IF(OR(A522&lt;Resumen!$B$6,A522&gt;=Resumen!$B$7),0,MAX(0,AVERAGEIFS(B474:B570,D474:D570,1)-Resumen!$B$5*AVERAGEIFS(C474:C570,D474:D570,1)))</f>
        <v>0</v>
      </c>
      <c r="F522" s="10" t="n">
        <f aca="false">IF(B522="","",(B522-E522)/Resumen!$B$5)</f>
        <v>3.00976965845909</v>
      </c>
      <c r="G522" s="10" t="n">
        <f aca="false">IF(OR(F522="",C522=""),0,(F522-C522)*0.9)</f>
        <v>0.456272692613185</v>
      </c>
      <c r="H522" s="26" t="n">
        <f aca="false">IF(A522&lt;Resumen!$B$11,"",IF(H521="",0,H521)+G522/Resumen!$B$9)</f>
        <v>0.305235936926504</v>
      </c>
      <c r="I522" s="26" t="n">
        <f aca="false">IF(H522="","",H522-AVERAGE(H474:H570))</f>
        <v>0.101214076851128</v>
      </c>
      <c r="J522" s="27" t="n">
        <f aca="false">IF(I522="","",Resumen!$B$10-(MAX(I474:I570)-I522))</f>
        <v>1.80702411981548</v>
      </c>
    </row>
    <row r="523" customFormat="false" ht="15" hidden="false" customHeight="false" outlineLevel="0" collapsed="false">
      <c r="A523" s="24" t="n">
        <v>46266.8229166667</v>
      </c>
      <c r="B523" s="10" t="n">
        <v>2.7163</v>
      </c>
      <c r="C523" s="10" t="n">
        <v>2.6972</v>
      </c>
      <c r="D523" s="10" t="n">
        <f aca="false">IF(OR(B523="",C523="",B523&lt;=0.05,C523&lt;=0.05),0,1)</f>
        <v>1</v>
      </c>
      <c r="E523" s="25" t="n">
        <f aca="false">IF(OR(A523&lt;Resumen!$B$6,A523&gt;=Resumen!$B$7),0,MAX(0,AVERAGEIFS(B475:B571,D475:D571,1)-Resumen!$B$5*AVERAGEIFS(C475:C571,D475:D571,1)))</f>
        <v>0</v>
      </c>
      <c r="F523" s="10" t="n">
        <f aca="false">IF(B523="","",(B523-E523)/Resumen!$B$5)</f>
        <v>2.15750595710882</v>
      </c>
      <c r="G523" s="10" t="n">
        <f aca="false">IF(OR(F523="",C523=""),0,(F523-C523)*0.9)</f>
        <v>-0.485724638602065</v>
      </c>
      <c r="H523" s="26" t="n">
        <f aca="false">IF(A523&lt;Resumen!$B$11,"",IF(H522="",0,H522)+G523/Resumen!$B$9)</f>
        <v>0.282276272471726</v>
      </c>
      <c r="I523" s="26" t="n">
        <f aca="false">IF(H523="","",H523-AVERAGE(H475:H571))</f>
        <v>0.0744878477323156</v>
      </c>
      <c r="J523" s="27" t="n">
        <f aca="false">IF(I523="","",Resumen!$B$10-(MAX(I475:I571)-I523))</f>
        <v>1.78029789069666</v>
      </c>
    </row>
    <row r="524" customFormat="false" ht="15" hidden="false" customHeight="false" outlineLevel="0" collapsed="false">
      <c r="A524" s="24" t="n">
        <v>46266.8333333333</v>
      </c>
      <c r="B524" s="10" t="n">
        <v>4.8268</v>
      </c>
      <c r="C524" s="10" t="n">
        <v>3.4658</v>
      </c>
      <c r="D524" s="10" t="n">
        <f aca="false">IF(OR(B524="",C524="",B524&lt;=0.05,C524&lt;=0.05),0,1)</f>
        <v>1</v>
      </c>
      <c r="E524" s="25" t="n">
        <f aca="false">IF(OR(A524&lt;Resumen!$B$6,A524&gt;=Resumen!$B$7),0,MAX(0,AVERAGEIFS(B476:B572,D476:D572,1)-Resumen!$B$5*AVERAGEIFS(C476:C572,D476:D572,1)))</f>
        <v>0</v>
      </c>
      <c r="F524" s="10" t="n">
        <f aca="false">IF(B524="","",(B524-E524)/Resumen!$B$5)</f>
        <v>3.83383637807784</v>
      </c>
      <c r="G524" s="10" t="n">
        <f aca="false">IF(OR(F524="",C524=""),0,(F524-C524)*0.9)</f>
        <v>0.331232740270056</v>
      </c>
      <c r="H524" s="26" t="n">
        <f aca="false">IF(A524&lt;Resumen!$B$11,"",IF(H523="",0,H523)+G524/Resumen!$B$9)</f>
        <v>0.297933276396675</v>
      </c>
      <c r="I524" s="26" t="n">
        <f aca="false">IF(H524="","",H524-AVERAGE(H476:H572))</f>
        <v>0.0865100520999322</v>
      </c>
      <c r="J524" s="27" t="n">
        <f aca="false">IF(I524="","",Resumen!$B$10-(MAX(I476:I572)-I524))</f>
        <v>1.79232009506428</v>
      </c>
    </row>
    <row r="525" customFormat="false" ht="15" hidden="false" customHeight="false" outlineLevel="0" collapsed="false">
      <c r="A525" s="24" t="n">
        <v>46266.84375</v>
      </c>
      <c r="B525" s="10" t="n">
        <v>2.6269</v>
      </c>
      <c r="C525" s="10" t="n">
        <v>2.8227</v>
      </c>
      <c r="D525" s="10" t="n">
        <f aca="false">IF(OR(B525="",C525="",B525&lt;=0.05,C525&lt;=0.05),0,1)</f>
        <v>1</v>
      </c>
      <c r="E525" s="25" t="n">
        <f aca="false">IF(OR(A525&lt;Resumen!$B$6,A525&gt;=Resumen!$B$7),0,MAX(0,AVERAGEIFS(B477:B573,D477:D573,1)-Resumen!$B$5*AVERAGEIFS(C477:C573,D477:D573,1)))</f>
        <v>0</v>
      </c>
      <c r="F525" s="10" t="n">
        <f aca="false">IF(B525="","",(B525-E525)/Resumen!$B$5)</f>
        <v>2.08649722001589</v>
      </c>
      <c r="G525" s="10" t="n">
        <f aca="false">IF(OR(F525="",C525=""),0,(F525-C525)*0.9)</f>
        <v>-0.662582501985703</v>
      </c>
      <c r="H525" s="26" t="n">
        <f aca="false">IF(A525&lt;Resumen!$B$11,"",IF(H524="",0,H524)+G525/Resumen!$B$9)</f>
        <v>0.266613737072951</v>
      </c>
      <c r="I525" s="26" t="n">
        <f aca="false">IF(H525="","",H525-AVERAGE(H477:H573))</f>
        <v>0.0517041259406656</v>
      </c>
      <c r="J525" s="27" t="n">
        <f aca="false">IF(I525="","",Resumen!$B$10-(MAX(I477:I573)-I525))</f>
        <v>1.75751416890501</v>
      </c>
    </row>
    <row r="526" customFormat="false" ht="15" hidden="false" customHeight="false" outlineLevel="0" collapsed="false">
      <c r="A526" s="24" t="n">
        <v>46266.8541666667</v>
      </c>
      <c r="B526" s="10" t="n">
        <v>2.733</v>
      </c>
      <c r="C526" s="10" t="n">
        <v>2.249</v>
      </c>
      <c r="D526" s="10" t="n">
        <f aca="false">IF(OR(B526="",C526="",B526&lt;=0.05,C526&lt;=0.05),0,1)</f>
        <v>1</v>
      </c>
      <c r="E526" s="25" t="n">
        <f aca="false">IF(OR(A526&lt;Resumen!$B$6,A526&gt;=Resumen!$B$7),0,MAX(0,AVERAGEIFS(B478:B574,D478:D574,1)-Resumen!$B$5*AVERAGEIFS(C478:C574,D478:D574,1)))</f>
        <v>0</v>
      </c>
      <c r="F526" s="10" t="n">
        <f aca="false">IF(B526="","",(B526-E526)/Resumen!$B$5)</f>
        <v>2.17077045274027</v>
      </c>
      <c r="G526" s="10" t="n">
        <f aca="false">IF(OR(F526="",C526=""),0,(F526-C526)*0.9)</f>
        <v>-0.0704065925337569</v>
      </c>
      <c r="H526" s="26" t="n">
        <f aca="false">IF(A526&lt;Resumen!$B$11,"",IF(H525="",0,H525)+G526/Resumen!$B$9)</f>
        <v>0.263285695603546</v>
      </c>
      <c r="I526" s="26" t="n">
        <f aca="false">IF(H526="","",H526-AVERAGE(H478:H574))</f>
        <v>0.0448938776016306</v>
      </c>
      <c r="J526" s="27" t="n">
        <f aca="false">IF(I526="","",Resumen!$B$10-(MAX(I478:I574)-I526))</f>
        <v>1.75070392056598</v>
      </c>
    </row>
    <row r="527" customFormat="false" ht="15" hidden="false" customHeight="false" outlineLevel="0" collapsed="false">
      <c r="A527" s="24" t="n">
        <v>46266.8645833333</v>
      </c>
      <c r="B527" s="10" t="n">
        <v>2.3132</v>
      </c>
      <c r="C527" s="10" t="n">
        <v>2.1754</v>
      </c>
      <c r="D527" s="10" t="n">
        <f aca="false">IF(OR(B527="",C527="",B527&lt;=0.05,C527&lt;=0.05),0,1)</f>
        <v>1</v>
      </c>
      <c r="E527" s="25" t="n">
        <f aca="false">IF(OR(A527&lt;Resumen!$B$6,A527&gt;=Resumen!$B$7),0,MAX(0,AVERAGEIFS(B479:B575,D479:D575,1)-Resumen!$B$5*AVERAGEIFS(C479:C575,D479:D575,1)))</f>
        <v>0</v>
      </c>
      <c r="F527" s="10" t="n">
        <f aca="false">IF(B527="","",(B527-E527)/Resumen!$B$5)</f>
        <v>1.8373312152502</v>
      </c>
      <c r="G527" s="10" t="n">
        <f aca="false">IF(OR(F527="",C527=""),0,(F527-C527)*0.9)</f>
        <v>-0.304261906274821</v>
      </c>
      <c r="H527" s="26" t="n">
        <f aca="false">IF(A527&lt;Resumen!$B$11,"",IF(H526="",0,H526)+G527/Resumen!$B$9)</f>
        <v>0.248903573060728</v>
      </c>
      <c r="I527" s="26" t="n">
        <f aca="false">IF(H527="","",H527-AVERAGE(H479:H575))</f>
        <v>0.0275125464343117</v>
      </c>
      <c r="J527" s="27" t="n">
        <f aca="false">IF(I527="","",Resumen!$B$10-(MAX(I479:I575)-I527))</f>
        <v>1.73332258939866</v>
      </c>
    </row>
    <row r="528" customFormat="false" ht="15" hidden="false" customHeight="false" outlineLevel="0" collapsed="false">
      <c r="A528" s="24" t="n">
        <v>46266.875</v>
      </c>
      <c r="B528" s="10" t="n">
        <v>2.6801</v>
      </c>
      <c r="C528" s="10" t="n">
        <v>2.3741</v>
      </c>
      <c r="D528" s="10" t="n">
        <f aca="false">IF(OR(B528="",C528="",B528&lt;=0.05,C528&lt;=0.05),0,1)</f>
        <v>1</v>
      </c>
      <c r="E528" s="25" t="n">
        <f aca="false">IF(OR(A528&lt;Resumen!$B$6,A528&gt;=Resumen!$B$7),0,MAX(0,AVERAGEIFS(B480:B576,D480:D576,1)-Resumen!$B$5*AVERAGEIFS(C480:C576,D480:D576,1)))</f>
        <v>0</v>
      </c>
      <c r="F528" s="10" t="n">
        <f aca="false">IF(B528="","",(B528-E528)/Resumen!$B$5)</f>
        <v>2.12875297855441</v>
      </c>
      <c r="G528" s="10" t="n">
        <f aca="false">IF(OR(F528="",C528=""),0,(F528-C528)*0.9)</f>
        <v>-0.220812319301032</v>
      </c>
      <c r="H528" s="26" t="n">
        <f aca="false">IF(A528&lt;Resumen!$B$11,"",IF(H527="",0,H527)+G528/Resumen!$B$9)</f>
        <v>0.238466019855225</v>
      </c>
      <c r="I528" s="26" t="n">
        <f aca="false">IF(H528="","",H528-AVERAGE(H480:H576))</f>
        <v>0.0142745526569995</v>
      </c>
      <c r="J528" s="27" t="n">
        <f aca="false">IF(I528="","",Resumen!$B$10-(MAX(I480:I576)-I528))</f>
        <v>1.72008459562135</v>
      </c>
    </row>
    <row r="529" customFormat="false" ht="15" hidden="false" customHeight="false" outlineLevel="0" collapsed="false">
      <c r="A529" s="24" t="n">
        <v>46266.8854166667</v>
      </c>
      <c r="B529" s="10" t="n">
        <v>2.6687</v>
      </c>
      <c r="C529" s="10" t="n">
        <v>2.0269</v>
      </c>
      <c r="D529" s="10" t="n">
        <f aca="false">IF(OR(B529="",C529="",B529&lt;=0.05,C529&lt;=0.05),0,1)</f>
        <v>1</v>
      </c>
      <c r="E529" s="25" t="n">
        <f aca="false">IF(OR(A529&lt;Resumen!$B$6,A529&gt;=Resumen!$B$7),0,MAX(0,AVERAGEIFS(B481:B577,D481:D577,1)-Resumen!$B$5*AVERAGEIFS(C481:C577,D481:D577,1)))</f>
        <v>0</v>
      </c>
      <c r="F529" s="10" t="n">
        <f aca="false">IF(B529="","",(B529-E529)/Resumen!$B$5)</f>
        <v>2.1196981731533</v>
      </c>
      <c r="G529" s="10" t="n">
        <f aca="false">IF(OR(F529="",C529=""),0,(F529-C529)*0.9)</f>
        <v>0.0835183558379667</v>
      </c>
      <c r="H529" s="26" t="n">
        <f aca="false">IF(A529&lt;Resumen!$B$11,"",IF(H528="",0,H528)+G529/Resumen!$B$9)</f>
        <v>0.242413839820408</v>
      </c>
      <c r="I529" s="26" t="n">
        <f aca="false">IF(H529="","",H529-AVERAGE(H481:H577))</f>
        <v>0.0146152689967333</v>
      </c>
      <c r="J529" s="27" t="n">
        <f aca="false">IF(I529="","",Resumen!$B$10-(MAX(I481:I577)-I529))</f>
        <v>1.72042531196108</v>
      </c>
    </row>
    <row r="530" customFormat="false" ht="15" hidden="false" customHeight="false" outlineLevel="0" collapsed="false">
      <c r="A530" s="24" t="n">
        <v>46266.8958333333</v>
      </c>
      <c r="B530" s="10" t="n">
        <v>2.1654</v>
      </c>
      <c r="C530" s="10" t="n">
        <v>1.9582</v>
      </c>
      <c r="D530" s="10" t="n">
        <f aca="false">IF(OR(B530="",C530="",B530&lt;=0.05,C530&lt;=0.05),0,1)</f>
        <v>1</v>
      </c>
      <c r="E530" s="25" t="n">
        <f aca="false">IF(OR(A530&lt;Resumen!$B$6,A530&gt;=Resumen!$B$7),0,MAX(0,AVERAGEIFS(B482:B578,D482:D578,1)-Resumen!$B$5*AVERAGEIFS(C482:C578,D482:D578,1)))</f>
        <v>0</v>
      </c>
      <c r="F530" s="10" t="n">
        <f aca="false">IF(B530="","",(B530-E530)/Resumen!$B$5)</f>
        <v>1.71993645750596</v>
      </c>
      <c r="G530" s="10" t="n">
        <f aca="false">IF(OR(F530="",C530=""),0,(F530-C530)*0.9)</f>
        <v>-0.214437188244638</v>
      </c>
      <c r="H530" s="26" t="n">
        <f aca="false">IF(A530&lt;Resumen!$B$11,"",IF(H529="",0,H529)+G530/Resumen!$B$9)</f>
        <v>0.232277631982788</v>
      </c>
      <c r="I530" s="26" t="n">
        <f aca="false">IF(H530="","",H530-AVERAGE(H482:H578))</f>
        <v>0.00134319699459542</v>
      </c>
      <c r="J530" s="27" t="n">
        <f aca="false">IF(I530="","",Resumen!$B$10-(MAX(I482:I578)-I530))</f>
        <v>1.70715323995894</v>
      </c>
    </row>
    <row r="531" customFormat="false" ht="15" hidden="false" customHeight="false" outlineLevel="0" collapsed="false">
      <c r="A531" s="24" t="n">
        <v>46266.90625</v>
      </c>
      <c r="B531" s="10" t="n">
        <v>2.4409</v>
      </c>
      <c r="C531" s="10" t="n">
        <v>2.487</v>
      </c>
      <c r="D531" s="10" t="n">
        <f aca="false">IF(OR(B531="",C531="",B531&lt;=0.05,C531&lt;=0.05),0,1)</f>
        <v>1</v>
      </c>
      <c r="E531" s="25" t="n">
        <f aca="false">IF(OR(A531&lt;Resumen!$B$6,A531&gt;=Resumen!$B$7),0,MAX(0,AVERAGEIFS(B483:B579,D483:D579,1)-Resumen!$B$5*AVERAGEIFS(C483:C579,D483:D579,1)))</f>
        <v>0</v>
      </c>
      <c r="F531" s="10" t="n">
        <f aca="false">IF(B531="","",(B531-E531)/Resumen!$B$5)</f>
        <v>1.93876092136616</v>
      </c>
      <c r="G531" s="10" t="n">
        <f aca="false">IF(OR(F531="",C531=""),0,(F531-C531)*0.9)</f>
        <v>-0.493415170770453</v>
      </c>
      <c r="H531" s="26" t="n">
        <f aca="false">IF(A531&lt;Resumen!$B$11,"",IF(H530="",0,H530)+G531/Resumen!$B$9)</f>
        <v>0.208954444609813</v>
      </c>
      <c r="I531" s="26" t="n">
        <f aca="false">IF(H531="","",H531-AVERAGE(H483:H579))</f>
        <v>-0.0248830001835745</v>
      </c>
      <c r="J531" s="27" t="n">
        <f aca="false">IF(I531="","",Resumen!$B$10-(MAX(I483:I579)-I531))</f>
        <v>1.68092704278077</v>
      </c>
    </row>
    <row r="532" customFormat="false" ht="15" hidden="false" customHeight="false" outlineLevel="0" collapsed="false">
      <c r="A532" s="24" t="n">
        <v>46266.9166666667</v>
      </c>
      <c r="B532" s="10" t="n">
        <v>3.6052</v>
      </c>
      <c r="C532" s="10" t="n">
        <v>1.7689</v>
      </c>
      <c r="D532" s="10" t="n">
        <f aca="false">IF(OR(B532="",C532="",B532&lt;=0.05,C532&lt;=0.05),0,1)</f>
        <v>1</v>
      </c>
      <c r="E532" s="25" t="n">
        <f aca="false">IF(OR(A532&lt;Resumen!$B$6,A532&gt;=Resumen!$B$7),0,MAX(0,AVERAGEIFS(B484:B580,D484:D580,1)-Resumen!$B$5*AVERAGEIFS(C484:C580,D484:D580,1)))</f>
        <v>0</v>
      </c>
      <c r="F532" s="10" t="n">
        <f aca="false">IF(B532="","",(B532-E532)/Resumen!$B$5)</f>
        <v>2.86354249404289</v>
      </c>
      <c r="G532" s="10" t="n">
        <f aca="false">IF(OR(F532="",C532=""),0,(F532-C532)*0.9)</f>
        <v>0.985178244638602</v>
      </c>
      <c r="H532" s="26" t="n">
        <f aca="false">IF(A532&lt;Resumen!$B$11,"",IF(H531="",0,H531)+G532/Resumen!$B$9)</f>
        <v>0.255522726569215</v>
      </c>
      <c r="I532" s="26" t="n">
        <f aca="false">IF(H532="","",H532-AVERAGE(H484:H580))</f>
        <v>0.0202388639870547</v>
      </c>
      <c r="J532" s="27" t="n">
        <f aca="false">IF(I532="","",Resumen!$B$10-(MAX(I484:I580)-I532))</f>
        <v>1.7260489069514</v>
      </c>
    </row>
    <row r="533" customFormat="false" ht="15" hidden="false" customHeight="false" outlineLevel="0" collapsed="false">
      <c r="A533" s="24" t="n">
        <v>46266.9270833333</v>
      </c>
      <c r="B533" s="10" t="n">
        <v>3.1679</v>
      </c>
      <c r="C533" s="10" t="n">
        <v>1.9752</v>
      </c>
      <c r="D533" s="10" t="n">
        <f aca="false">IF(OR(B533="",C533="",B533&lt;=0.05,C533&lt;=0.05),0,1)</f>
        <v>1</v>
      </c>
      <c r="E533" s="25" t="n">
        <f aca="false">IF(OR(A533&lt;Resumen!$B$6,A533&gt;=Resumen!$B$7),0,MAX(0,AVERAGEIFS(B485:B581,D485:D581,1)-Resumen!$B$5*AVERAGEIFS(C485:C581,D485:D581,1)))</f>
        <v>0</v>
      </c>
      <c r="F533" s="10" t="n">
        <f aca="false">IF(B533="","",(B533-E533)/Resumen!$B$5)</f>
        <v>2.51620333598094</v>
      </c>
      <c r="G533" s="10" t="n">
        <f aca="false">IF(OR(F533="",C533=""),0,(F533-C533)*0.9)</f>
        <v>0.486903002382844</v>
      </c>
      <c r="H533" s="26" t="n">
        <f aca="false">IF(A533&lt;Resumen!$B$11,"",IF(H532="",0,H532)+G533/Resumen!$B$9)</f>
        <v>0.278538090971787</v>
      </c>
      <c r="I533" s="26" t="n">
        <f aca="false">IF(H533="","",H533-AVERAGE(H485:H581))</f>
        <v>0.0434977908286706</v>
      </c>
      <c r="J533" s="27" t="n">
        <f aca="false">IF(I533="","",Resumen!$B$10-(MAX(I485:I581)-I533))</f>
        <v>1.74930783379302</v>
      </c>
    </row>
    <row r="534" customFormat="false" ht="15" hidden="false" customHeight="false" outlineLevel="0" collapsed="false">
      <c r="A534" s="24" t="n">
        <v>46266.9375</v>
      </c>
      <c r="B534" s="10" t="n">
        <v>2.0351</v>
      </c>
      <c r="C534" s="10" t="n">
        <v>1.9735</v>
      </c>
      <c r="D534" s="10" t="n">
        <f aca="false">IF(OR(B534="",C534="",B534&lt;=0.05,C534&lt;=0.05),0,1)</f>
        <v>1</v>
      </c>
      <c r="E534" s="25" t="n">
        <f aca="false">IF(OR(A534&lt;Resumen!$B$6,A534&gt;=Resumen!$B$7),0,MAX(0,AVERAGEIFS(B486:B582,D486:D582,1)-Resumen!$B$5*AVERAGEIFS(C486:C582,D486:D582,1)))</f>
        <v>0</v>
      </c>
      <c r="F534" s="10" t="n">
        <f aca="false">IF(B534="","",(B534-E534)/Resumen!$B$5)</f>
        <v>1.6164416203336</v>
      </c>
      <c r="G534" s="10" t="n">
        <f aca="false">IF(OR(F534="",C534=""),0,(F534-C534)*0.9)</f>
        <v>-0.321352541699762</v>
      </c>
      <c r="H534" s="26" t="n">
        <f aca="false">IF(A534&lt;Resumen!$B$11,"",IF(H533="",0,H533)+G534/Resumen!$B$9)</f>
        <v>0.263348113065064</v>
      </c>
      <c r="I534" s="26" t="n">
        <f aca="false">IF(H534="","",H534-AVERAGE(H486:H582))</f>
        <v>0.0282347484471164</v>
      </c>
      <c r="J534" s="27" t="n">
        <f aca="false">IF(I534="","",Resumen!$B$10-(MAX(I486:I582)-I534))</f>
        <v>1.73404479141147</v>
      </c>
    </row>
    <row r="535" customFormat="false" ht="15" hidden="false" customHeight="false" outlineLevel="0" collapsed="false">
      <c r="A535" s="24" t="n">
        <v>46266.9479166667</v>
      </c>
      <c r="B535" s="10" t="n">
        <v>1.6924</v>
      </c>
      <c r="C535" s="10" t="n">
        <v>1.8396</v>
      </c>
      <c r="D535" s="10" t="n">
        <f aca="false">IF(OR(B535="",C535="",B535&lt;=0.05,C535&lt;=0.05),0,1)</f>
        <v>1</v>
      </c>
      <c r="E535" s="25" t="n">
        <f aca="false">IF(OR(A535&lt;Resumen!$B$6,A535&gt;=Resumen!$B$7),0,MAX(0,AVERAGEIFS(B487:B583,D487:D583,1)-Resumen!$B$5*AVERAGEIFS(C487:C583,D487:D583,1)))</f>
        <v>0</v>
      </c>
      <c r="F535" s="10" t="n">
        <f aca="false">IF(B535="","",(B535-E535)/Resumen!$B$5)</f>
        <v>1.34424146147736</v>
      </c>
      <c r="G535" s="10" t="n">
        <f aca="false">IF(OR(F535="",C535=""),0,(F535-C535)*0.9)</f>
        <v>-0.445822684670373</v>
      </c>
      <c r="H535" s="26" t="n">
        <f aca="false">IF(A535&lt;Resumen!$B$11,"",IF(H534="",0,H534)+G535/Resumen!$B$9)</f>
        <v>0.242274569676737</v>
      </c>
      <c r="I535" s="26" t="n">
        <f aca="false">IF(H535="","",H535-AVERAGE(H487:H583))</f>
        <v>0.00546903668193952</v>
      </c>
      <c r="J535" s="27" t="n">
        <f aca="false">IF(I535="","",Resumen!$B$10-(MAX(I487:I583)-I535))</f>
        <v>1.71127907964629</v>
      </c>
    </row>
    <row r="536" customFormat="false" ht="15" hidden="false" customHeight="false" outlineLevel="0" collapsed="false">
      <c r="A536" s="24" t="n">
        <v>46266.9583333333</v>
      </c>
      <c r="B536" s="10" t="n">
        <v>3.1193</v>
      </c>
      <c r="C536" s="10" t="n">
        <v>2.1215</v>
      </c>
      <c r="D536" s="10" t="n">
        <f aca="false">IF(OR(B536="",C536="",B536&lt;=0.05,C536&lt;=0.05),0,1)</f>
        <v>1</v>
      </c>
      <c r="E536" s="25" t="n">
        <f aca="false">IF(OR(A536&lt;Resumen!$B$6,A536&gt;=Resumen!$B$7),0,MAX(0,AVERAGEIFS(B488:B584,D488:D584,1)-Resumen!$B$5*AVERAGEIFS(C488:C584,D488:D584,1)))</f>
        <v>0</v>
      </c>
      <c r="F536" s="10" t="n">
        <f aca="false">IF(B536="","",(B536-E536)/Resumen!$B$5)</f>
        <v>2.47760127084988</v>
      </c>
      <c r="G536" s="10" t="n">
        <f aca="false">IF(OR(F536="",C536=""),0,(F536-C536)*0.9)</f>
        <v>0.320491143764893</v>
      </c>
      <c r="H536" s="26" t="n">
        <f aca="false">IF(A536&lt;Resumen!$B$11,"",IF(H535="",0,H535)+G536/Resumen!$B$9)</f>
        <v>0.257423830259333</v>
      </c>
      <c r="I536" s="26" t="n">
        <f aca="false">IF(H536="","",H536-AVERAGE(H488:H584))</f>
        <v>0.0189547729687142</v>
      </c>
      <c r="J536" s="27" t="n">
        <f aca="false">IF(I536="","",Resumen!$B$10-(MAX(I488:I584)-I536))</f>
        <v>1.72476481593306</v>
      </c>
    </row>
    <row r="537" customFormat="false" ht="15" hidden="false" customHeight="false" outlineLevel="0" collapsed="false">
      <c r="A537" s="24" t="n">
        <v>46266.96875</v>
      </c>
      <c r="B537" s="10" t="n">
        <v>3.0531</v>
      </c>
      <c r="C537" s="10" t="n">
        <v>2.2906</v>
      </c>
      <c r="D537" s="10" t="n">
        <f aca="false">IF(OR(B537="",C537="",B537&lt;=0.05,C537&lt;=0.05),0,1)</f>
        <v>1</v>
      </c>
      <c r="E537" s="25" t="n">
        <f aca="false">IF(OR(A537&lt;Resumen!$B$6,A537&gt;=Resumen!$B$7),0,MAX(0,AVERAGEIFS(B489:B585,D489:D585,1)-Resumen!$B$5*AVERAGEIFS(C489:C585,D489:D585,1)))</f>
        <v>0</v>
      </c>
      <c r="F537" s="10" t="n">
        <f aca="false">IF(B537="","",(B537-E537)/Resumen!$B$5)</f>
        <v>2.42501985702939</v>
      </c>
      <c r="G537" s="10" t="n">
        <f aca="false">IF(OR(F537="",C537=""),0,(F537-C537)*0.9)</f>
        <v>0.12097787132645</v>
      </c>
      <c r="H537" s="26" t="n">
        <f aca="false">IF(A537&lt;Resumen!$B$11,"",IF(H536="",0,H536)+G537/Resumen!$B$9)</f>
        <v>0.263142319937152</v>
      </c>
      <c r="I537" s="26" t="n">
        <f aca="false">IF(H537="","",H537-AVERAGE(H489:H585))</f>
        <v>0.023365719306446</v>
      </c>
      <c r="J537" s="27" t="n">
        <f aca="false">IF(I537="","",Resumen!$B$10-(MAX(I489:I585)-I537))</f>
        <v>1.72917576227079</v>
      </c>
    </row>
    <row r="538" customFormat="false" ht="15" hidden="false" customHeight="false" outlineLevel="0" collapsed="false">
      <c r="A538" s="24" t="n">
        <v>46266.9791666667</v>
      </c>
      <c r="B538" s="10" t="n">
        <v>1.9139</v>
      </c>
      <c r="C538" s="10" t="n">
        <v>1.7286</v>
      </c>
      <c r="D538" s="10" t="n">
        <f aca="false">IF(OR(B538="",C538="",B538&lt;=0.05,C538&lt;=0.05),0,1)</f>
        <v>1</v>
      </c>
      <c r="E538" s="25" t="n">
        <f aca="false">IF(OR(A538&lt;Resumen!$B$6,A538&gt;=Resumen!$B$7),0,MAX(0,AVERAGEIFS(B490:B586,D490:D586,1)-Resumen!$B$5*AVERAGEIFS(C490:C586,D490:D586,1)))</f>
        <v>0</v>
      </c>
      <c r="F538" s="10" t="n">
        <f aca="false">IF(B538="","",(B538-E538)/Resumen!$B$5)</f>
        <v>1.52017474185862</v>
      </c>
      <c r="G538" s="10" t="n">
        <f aca="false">IF(OR(F538="",C538=""),0,(F538-C538)*0.9)</f>
        <v>-0.187582732327244</v>
      </c>
      <c r="H538" s="26" t="n">
        <f aca="false">IF(A538&lt;Resumen!$B$11,"",IF(H537="",0,H537)+G538/Resumen!$B$9)</f>
        <v>0.254275492419118</v>
      </c>
      <c r="I538" s="26" t="n">
        <f aca="false">IF(H538="","",H538-AVERAGE(H490:H586))</f>
        <v>0.0135441195335743</v>
      </c>
      <c r="J538" s="27" t="n">
        <f aca="false">IF(I538="","",Resumen!$B$10-(MAX(I490:I586)-I538))</f>
        <v>1.71935416249792</v>
      </c>
    </row>
    <row r="539" customFormat="false" ht="15" hidden="false" customHeight="false" outlineLevel="0" collapsed="false">
      <c r="A539" s="24" t="n">
        <v>46266.9895833333</v>
      </c>
      <c r="B539" s="10" t="n">
        <v>1.5627</v>
      </c>
      <c r="C539" s="10" t="n">
        <v>1.8458</v>
      </c>
      <c r="D539" s="10" t="n">
        <f aca="false">IF(OR(B539="",C539="",B539&lt;=0.05,C539&lt;=0.05),0,1)</f>
        <v>1</v>
      </c>
      <c r="E539" s="25" t="n">
        <f aca="false">IF(OR(A539&lt;Resumen!$B$6,A539&gt;=Resumen!$B$7),0,MAX(0,AVERAGEIFS(B491:B587,D491:D587,1)-Resumen!$B$5*AVERAGEIFS(C491:C587,D491:D587,1)))</f>
        <v>0</v>
      </c>
      <c r="F539" s="10" t="n">
        <f aca="false">IF(B539="","",(B539-E539)/Resumen!$B$5)</f>
        <v>1.24122319301033</v>
      </c>
      <c r="G539" s="10" t="n">
        <f aca="false">IF(OR(F539="",C539=""),0,(F539-C539)*0.9)</f>
        <v>-0.544119126290707</v>
      </c>
      <c r="H539" s="26" t="n">
        <f aca="false">IF(A539&lt;Resumen!$B$11,"",IF(H538="",0,H538)+G539/Resumen!$B$9)</f>
        <v>0.228555585356103</v>
      </c>
      <c r="I539" s="26" t="n">
        <f aca="false">IF(H539="","",H539-AVERAGE(H491:H587))</f>
        <v>-0.0140750277361882</v>
      </c>
      <c r="J539" s="27" t="n">
        <f aca="false">IF(I539="","",Resumen!$B$10-(MAX(I491:I587)-I539))</f>
        <v>1.69173501522816</v>
      </c>
    </row>
    <row r="540" customFormat="false" ht="15" hidden="false" customHeight="false" outlineLevel="0" collapsed="false">
      <c r="A540" s="24" t="n">
        <v>46267</v>
      </c>
      <c r="B540" s="10" t="n">
        <v>1.5357</v>
      </c>
      <c r="C540" s="10" t="n">
        <v>1.6331</v>
      </c>
      <c r="D540" s="10" t="n">
        <f aca="false">IF(OR(B540="",C540="",B540&lt;=0.05,C540&lt;=0.05),0,1)</f>
        <v>1</v>
      </c>
      <c r="E540" s="25" t="n">
        <f aca="false">IF(OR(A540&lt;Resumen!$B$6,A540&gt;=Resumen!$B$7),0,MAX(0,AVERAGEIFS(B492:B588,D492:D588,1)-Resumen!$B$5*AVERAGEIFS(C492:C588,D492:D588,1)))</f>
        <v>0</v>
      </c>
      <c r="F540" s="10" t="n">
        <f aca="false">IF(B540="","",(B540-E540)/Resumen!$B$5)</f>
        <v>1.21977760127085</v>
      </c>
      <c r="G540" s="10" t="n">
        <f aca="false">IF(OR(F540="",C540=""),0,(F540-C540)*0.9)</f>
        <v>-0.371990158856235</v>
      </c>
      <c r="H540" s="26" t="n">
        <f aca="false">IF(A540&lt;Resumen!$B$11,"",IF(H539="",0,H539)+G540/Resumen!$B$9)</f>
        <v>0.210972023500153</v>
      </c>
      <c r="I540" s="26" t="n">
        <f aca="false">IF(H540="","",H540-AVERAGE(H492:H588))</f>
        <v>-0.0336491669937279</v>
      </c>
      <c r="J540" s="27" t="n">
        <f aca="false">IF(I540="","",Resumen!$B$10-(MAX(I492:I588)-I540))</f>
        <v>1.67216087597062</v>
      </c>
    </row>
    <row r="541" customFormat="false" ht="15" hidden="false" customHeight="false" outlineLevel="0" collapsed="false">
      <c r="A541" s="24" t="n">
        <v>46267.0104166667</v>
      </c>
      <c r="B541" s="10" t="n">
        <v>2.9328</v>
      </c>
      <c r="C541" s="10" t="n">
        <v>1.6154</v>
      </c>
      <c r="D541" s="10" t="n">
        <f aca="false">IF(OR(B541="",C541="",B541&lt;=0.05,C541&lt;=0.05),0,1)</f>
        <v>1</v>
      </c>
      <c r="E541" s="25" t="n">
        <f aca="false">IF(OR(A541&lt;Resumen!$B$6,A541&gt;=Resumen!$B$7),0,MAX(0,AVERAGEIFS(B493:B589,D493:D589,1)-Resumen!$B$5*AVERAGEIFS(C493:C589,D493:D589,1)))</f>
        <v>0</v>
      </c>
      <c r="F541" s="10" t="n">
        <f aca="false">IF(B541="","",(B541-E541)/Resumen!$B$5)</f>
        <v>2.32946783161239</v>
      </c>
      <c r="G541" s="10" t="n">
        <f aca="false">IF(OR(F541="",C541=""),0,(F541-C541)*0.9)</f>
        <v>0.642661048451152</v>
      </c>
      <c r="H541" s="26" t="n">
        <f aca="false">IF(A541&lt;Resumen!$B$11,"",IF(H540="",0,H540)+G541/Resumen!$B$9)</f>
        <v>0.241349897830474</v>
      </c>
      <c r="I541" s="26" t="n">
        <f aca="false">IF(H541="","",H541-AVERAGE(H493:H589))</f>
        <v>-0.00489479261514833</v>
      </c>
      <c r="J541" s="27" t="n">
        <f aca="false">IF(I541="","",Resumen!$B$10-(MAX(I493:I589)-I541))</f>
        <v>1.7009152503492</v>
      </c>
    </row>
    <row r="542" customFormat="false" ht="15" hidden="false" customHeight="false" outlineLevel="0" collapsed="false">
      <c r="A542" s="24" t="n">
        <v>46267.0208333333</v>
      </c>
      <c r="B542" s="10" t="n">
        <v>2.2531</v>
      </c>
      <c r="C542" s="10" t="n">
        <v>1.4809</v>
      </c>
      <c r="D542" s="10" t="n">
        <f aca="false">IF(OR(B542="",C542="",B542&lt;=0.05,C542&lt;=0.05),0,1)</f>
        <v>1</v>
      </c>
      <c r="E542" s="25" t="n">
        <f aca="false">IF(OR(A542&lt;Resumen!$B$6,A542&gt;=Resumen!$B$7),0,MAX(0,AVERAGEIFS(B494:B590,D494:D590,1)-Resumen!$B$5*AVERAGEIFS(C494:C590,D494:D590,1)))</f>
        <v>0</v>
      </c>
      <c r="F542" s="10" t="n">
        <f aca="false">IF(B542="","",(B542-E542)/Resumen!$B$5)</f>
        <v>1.78959491660048</v>
      </c>
      <c r="G542" s="10" t="n">
        <f aca="false">IF(OR(F542="",C542=""),0,(F542-C542)*0.9)</f>
        <v>0.277825424940429</v>
      </c>
      <c r="H542" s="26" t="n">
        <f aca="false">IF(A542&lt;Resumen!$B$11,"",IF(H541="",0,H541)+G542/Resumen!$B$9)</f>
        <v>0.254482397248244</v>
      </c>
      <c r="I542" s="26" t="n">
        <f aca="false">IF(H542="","",H542-AVERAGE(H494:H590))</f>
        <v>0.00725217076922771</v>
      </c>
      <c r="J542" s="27" t="n">
        <f aca="false">IF(I542="","",Resumen!$B$10-(MAX(I494:I590)-I542))</f>
        <v>1.71306221373358</v>
      </c>
    </row>
    <row r="543" customFormat="false" ht="15" hidden="false" customHeight="false" outlineLevel="0" collapsed="false">
      <c r="A543" s="24" t="n">
        <v>46267.03125</v>
      </c>
      <c r="B543" s="10" t="n">
        <v>1.3211</v>
      </c>
      <c r="C543" s="10" t="n">
        <v>1.5286</v>
      </c>
      <c r="D543" s="10" t="n">
        <f aca="false">IF(OR(B543="",C543="",B543&lt;=0.05,C543&lt;=0.05),0,1)</f>
        <v>1</v>
      </c>
      <c r="E543" s="25" t="n">
        <f aca="false">IF(OR(A543&lt;Resumen!$B$6,A543&gt;=Resumen!$B$7),0,MAX(0,AVERAGEIFS(B495:B591,D495:D591,1)-Resumen!$B$5*AVERAGEIFS(C495:C591,D495:D591,1)))</f>
        <v>0</v>
      </c>
      <c r="F543" s="10" t="n">
        <f aca="false">IF(B543="","",(B543-E543)/Resumen!$B$5)</f>
        <v>1.04932486100079</v>
      </c>
      <c r="G543" s="10" t="n">
        <f aca="false">IF(OR(F543="",C543=""),0,(F543-C543)*0.9)</f>
        <v>-0.431347625099285</v>
      </c>
      <c r="H543" s="26" t="n">
        <f aca="false">IF(A543&lt;Resumen!$B$11,"",IF(H542="",0,H542)+G543/Resumen!$B$9)</f>
        <v>0.23409307385681</v>
      </c>
      <c r="I543" s="26" t="n">
        <f aca="false">IF(H543="","",H543-AVERAGE(H495:H591))</f>
        <v>-0.0135340316279753</v>
      </c>
      <c r="J543" s="27" t="n">
        <f aca="false">IF(I543="","",Resumen!$B$10-(MAX(I495:I591)-I543))</f>
        <v>1.69227601133637</v>
      </c>
    </row>
    <row r="544" customFormat="false" ht="15" hidden="false" customHeight="false" outlineLevel="0" collapsed="false">
      <c r="A544" s="24" t="n">
        <v>46267.0416666667</v>
      </c>
      <c r="B544" s="10" t="n">
        <v>3.2665</v>
      </c>
      <c r="C544" s="10" t="n">
        <v>1.4726</v>
      </c>
      <c r="D544" s="10" t="n">
        <f aca="false">IF(OR(B544="",C544="",B544&lt;=0.05,C544&lt;=0.05),0,1)</f>
        <v>1</v>
      </c>
      <c r="E544" s="25" t="n">
        <f aca="false">IF(OR(A544&lt;Resumen!$B$6,A544&gt;=Resumen!$B$7),0,MAX(0,AVERAGEIFS(B496:B592,D496:D592,1)-Resumen!$B$5*AVERAGEIFS(C496:C592,D496:D592,1)))</f>
        <v>0</v>
      </c>
      <c r="F544" s="10" t="n">
        <f aca="false">IF(B544="","",(B544-E544)/Resumen!$B$5)</f>
        <v>2.5945194598888</v>
      </c>
      <c r="G544" s="10" t="n">
        <f aca="false">IF(OR(F544="",C544=""),0,(F544-C544)*0.9)</f>
        <v>1.00972751389992</v>
      </c>
      <c r="H544" s="26" t="n">
        <f aca="false">IF(A544&lt;Resumen!$B$11,"",IF(H543="",0,H543)+G544/Resumen!$B$9)</f>
        <v>0.281821772521595</v>
      </c>
      <c r="I544" s="26" t="n">
        <f aca="false">IF(H544="","",H544-AVERAGE(H496:H592))</f>
        <v>0.0334254635730123</v>
      </c>
      <c r="J544" s="27" t="n">
        <f aca="false">IF(I544="","",Resumen!$B$10-(MAX(I496:I592)-I544))</f>
        <v>1.73923550653736</v>
      </c>
    </row>
    <row r="545" customFormat="false" ht="15" hidden="false" customHeight="false" outlineLevel="0" collapsed="false">
      <c r="A545" s="24" t="n">
        <v>46267.0520833333</v>
      </c>
      <c r="B545" s="10" t="n">
        <v>2.2559</v>
      </c>
      <c r="C545" s="10" t="n">
        <v>1.4644</v>
      </c>
      <c r="D545" s="10" t="n">
        <f aca="false">IF(OR(B545="",C545="",B545&lt;=0.05,C545&lt;=0.05),0,1)</f>
        <v>1</v>
      </c>
      <c r="E545" s="25" t="n">
        <f aca="false">IF(OR(A545&lt;Resumen!$B$6,A545&gt;=Resumen!$B$7),0,MAX(0,AVERAGEIFS(B497:B593,D497:D593,1)-Resumen!$B$5*AVERAGEIFS(C497:C593,D497:D593,1)))</f>
        <v>0</v>
      </c>
      <c r="F545" s="10" t="n">
        <f aca="false">IF(B545="","",(B545-E545)/Resumen!$B$5)</f>
        <v>1.79181890389198</v>
      </c>
      <c r="G545" s="10" t="n">
        <f aca="false">IF(OR(F545="",C545=""),0,(F545-C545)*0.9)</f>
        <v>0.29467701350278</v>
      </c>
      <c r="H545" s="26" t="n">
        <f aca="false">IF(A545&lt;Resumen!$B$11,"",IF(H544="",0,H544)+G545/Resumen!$B$9)</f>
        <v>0.295750827823446</v>
      </c>
      <c r="I545" s="26" t="n">
        <f aca="false">IF(H545="","",H545-AVERAGE(H497:H593))</f>
        <v>0.0466770787818445</v>
      </c>
      <c r="J545" s="27" t="n">
        <f aca="false">IF(I545="","",Resumen!$B$10-(MAX(I497:I593)-I545))</f>
        <v>1.75248712174619</v>
      </c>
    </row>
    <row r="546" customFormat="false" ht="15" hidden="false" customHeight="false" outlineLevel="0" collapsed="false">
      <c r="A546" s="24" t="n">
        <v>46267.0625</v>
      </c>
      <c r="B546" s="10" t="n">
        <v>2.1764</v>
      </c>
      <c r="C546" s="10" t="n">
        <v>1.5319</v>
      </c>
      <c r="D546" s="10" t="n">
        <f aca="false">IF(OR(B546="",C546="",B546&lt;=0.05,C546&lt;=0.05),0,1)</f>
        <v>1</v>
      </c>
      <c r="E546" s="25" t="n">
        <f aca="false">IF(OR(A546&lt;Resumen!$B$6,A546&gt;=Resumen!$B$7),0,MAX(0,AVERAGEIFS(B498:B594,D498:D594,1)-Resumen!$B$5*AVERAGEIFS(C498:C594,D498:D594,1)))</f>
        <v>0</v>
      </c>
      <c r="F546" s="10" t="n">
        <f aca="false">IF(B546="","",(B546-E546)/Resumen!$B$5)</f>
        <v>1.72867355043685</v>
      </c>
      <c r="G546" s="10" t="n">
        <f aca="false">IF(OR(F546="",C546=""),0,(F546-C546)*0.9)</f>
        <v>0.177096195393169</v>
      </c>
      <c r="H546" s="26" t="n">
        <f aca="false">IF(A546&lt;Resumen!$B$11,"",IF(H545="",0,H545)+G546/Resumen!$B$9)</f>
        <v>0.304121968381906</v>
      </c>
      <c r="I546" s="26" t="n">
        <f aca="false">IF(H546="","",H546-AVERAGE(H498:H594))</f>
        <v>0.0538738939509269</v>
      </c>
      <c r="J546" s="27" t="n">
        <f aca="false">IF(I546="","",Resumen!$B$10-(MAX(I498:I594)-I546))</f>
        <v>1.75968393691528</v>
      </c>
    </row>
    <row r="547" customFormat="false" ht="15" hidden="false" customHeight="false" outlineLevel="0" collapsed="false">
      <c r="A547" s="24" t="n">
        <v>46267.0729166667</v>
      </c>
      <c r="B547" s="10" t="n">
        <v>1.3561</v>
      </c>
      <c r="C547" s="10" t="n">
        <v>1.4692</v>
      </c>
      <c r="D547" s="10" t="n">
        <f aca="false">IF(OR(B547="",C547="",B547&lt;=0.05,C547&lt;=0.05),0,1)</f>
        <v>1</v>
      </c>
      <c r="E547" s="25" t="n">
        <f aca="false">IF(OR(A547&lt;Resumen!$B$6,A547&gt;=Resumen!$B$7),0,MAX(0,AVERAGEIFS(B499:B595,D499:D595,1)-Resumen!$B$5*AVERAGEIFS(C499:C595,D499:D595,1)))</f>
        <v>0</v>
      </c>
      <c r="F547" s="10" t="n">
        <f aca="false">IF(B547="","",(B547-E547)/Resumen!$B$5)</f>
        <v>1.07712470214456</v>
      </c>
      <c r="G547" s="10" t="n">
        <f aca="false">IF(OR(F547="",C547=""),0,(F547-C547)*0.9)</f>
        <v>-0.352867768069897</v>
      </c>
      <c r="H547" s="26" t="n">
        <f aca="false">IF(A547&lt;Resumen!$B$11,"",IF(H546="",0,H546)+G547/Resumen!$B$9)</f>
        <v>0.287442300710304</v>
      </c>
      <c r="I547" s="26" t="n">
        <f aca="false">IF(H547="","",H547-AVERAGE(H499:H595))</f>
        <v>0.0360029729546236</v>
      </c>
      <c r="J547" s="27" t="n">
        <f aca="false">IF(I547="","",Resumen!$B$10-(MAX(I499:I595)-I547))</f>
        <v>1.74181301591897</v>
      </c>
    </row>
    <row r="548" customFormat="false" ht="15" hidden="false" customHeight="false" outlineLevel="0" collapsed="false">
      <c r="A548" s="24" t="n">
        <v>46267.0833333333</v>
      </c>
      <c r="B548" s="10" t="n">
        <v>2.2056</v>
      </c>
      <c r="C548" s="10" t="n">
        <v>1.4104</v>
      </c>
      <c r="D548" s="10" t="n">
        <f aca="false">IF(OR(B548="",C548="",B548&lt;=0.05,C548&lt;=0.05),0,1)</f>
        <v>1</v>
      </c>
      <c r="E548" s="25" t="n">
        <f aca="false">IF(OR(A548&lt;Resumen!$B$6,A548&gt;=Resumen!$B$7),0,MAX(0,AVERAGEIFS(B500:B596,D500:D596,1)-Resumen!$B$5*AVERAGEIFS(C500:C596,D500:D596,1)))</f>
        <v>0</v>
      </c>
      <c r="F548" s="10" t="n">
        <f aca="false">IF(B548="","",(B548-E548)/Resumen!$B$5)</f>
        <v>1.75186656076251</v>
      </c>
      <c r="G548" s="10" t="n">
        <f aca="false">IF(OR(F548="",C548=""),0,(F548-C548)*0.9)</f>
        <v>0.307319904686259</v>
      </c>
      <c r="H548" s="26" t="n">
        <f aca="false">IF(A548&lt;Resumen!$B$11,"",IF(H547="",0,H547)+G548/Resumen!$B$9)</f>
        <v>0.30196897144329</v>
      </c>
      <c r="I548" s="26" t="n">
        <f aca="false">IF(H548="","",H548-AVERAGE(H500:H596))</f>
        <v>0.0502009255555844</v>
      </c>
      <c r="J548" s="27" t="n">
        <f aca="false">IF(I548="","",Resumen!$B$10-(MAX(I500:I596)-I548))</f>
        <v>1.75601096851993</v>
      </c>
    </row>
    <row r="549" customFormat="false" ht="15" hidden="false" customHeight="false" outlineLevel="0" collapsed="false">
      <c r="A549" s="24" t="n">
        <v>46267.09375</v>
      </c>
      <c r="B549" s="10" t="n">
        <v>1.3641</v>
      </c>
      <c r="C549" s="10" t="n">
        <v>1.4416</v>
      </c>
      <c r="D549" s="10" t="n">
        <f aca="false">IF(OR(B549="",C549="",B549&lt;=0.05,C549&lt;=0.05),0,1)</f>
        <v>1</v>
      </c>
      <c r="E549" s="25" t="n">
        <f aca="false">IF(OR(A549&lt;Resumen!$B$6,A549&gt;=Resumen!$B$7),0,MAX(0,AVERAGEIFS(B501:B597,D501:D597,1)-Resumen!$B$5*AVERAGEIFS(C501:C597,D501:D597,1)))</f>
        <v>0</v>
      </c>
      <c r="F549" s="10" t="n">
        <f aca="false">IF(B549="","",(B549-E549)/Resumen!$B$5)</f>
        <v>1.08347895154885</v>
      </c>
      <c r="G549" s="10" t="n">
        <f aca="false">IF(OR(F549="",C549=""),0,(F549-C549)*0.9)</f>
        <v>-0.322308943606036</v>
      </c>
      <c r="H549" s="26" t="n">
        <f aca="false">IF(A549&lt;Resumen!$B$11,"",IF(H548="",0,H548)+G549/Resumen!$B$9)</f>
        <v>0.286733785480177</v>
      </c>
      <c r="I549" s="26" t="n">
        <f aca="false">IF(H549="","",H549-AVERAGE(H501:H597))</f>
        <v>0.0344793332635934</v>
      </c>
      <c r="J549" s="27" t="n">
        <f aca="false">IF(I549="","",Resumen!$B$10-(MAX(I501:I597)-I549))</f>
        <v>1.74028937622794</v>
      </c>
    </row>
    <row r="550" customFormat="false" ht="15" hidden="false" customHeight="false" outlineLevel="0" collapsed="false">
      <c r="A550" s="24" t="n">
        <v>46267.1041666667</v>
      </c>
      <c r="B550" s="10" t="n">
        <v>2.5005</v>
      </c>
      <c r="C550" s="10" t="n">
        <v>1.5698</v>
      </c>
      <c r="D550" s="10" t="n">
        <f aca="false">IF(OR(B550="",C550="",B550&lt;=0.05,C550&lt;=0.05),0,1)</f>
        <v>1</v>
      </c>
      <c r="E550" s="25" t="n">
        <f aca="false">IF(OR(A550&lt;Resumen!$B$6,A550&gt;=Resumen!$B$7),0,MAX(0,AVERAGEIFS(B502:B598,D502:D598,1)-Resumen!$B$5*AVERAGEIFS(C502:C598,D502:D598,1)))</f>
        <v>0</v>
      </c>
      <c r="F550" s="10" t="n">
        <f aca="false">IF(B550="","",(B550-E550)/Resumen!$B$5)</f>
        <v>1.98610007942812</v>
      </c>
      <c r="G550" s="10" t="n">
        <f aca="false">IF(OR(F550="",C550=""),0,(F550-C550)*0.9)</f>
        <v>0.374670071485306</v>
      </c>
      <c r="H550" s="26" t="n">
        <f aca="false">IF(A550&lt;Resumen!$B$11,"",IF(H549="",0,H549)+G550/Resumen!$B$9)</f>
        <v>0.304444023831083</v>
      </c>
      <c r="I550" s="26" t="n">
        <f aca="false">IF(H550="","",H550-AVERAGE(H502:H598))</f>
        <v>0.0513780197648049</v>
      </c>
      <c r="J550" s="27" t="n">
        <f aca="false">IF(I550="","",Resumen!$B$10-(MAX(I502:I598)-I550))</f>
        <v>1.75718806272915</v>
      </c>
    </row>
    <row r="551" customFormat="false" ht="15" hidden="false" customHeight="false" outlineLevel="0" collapsed="false">
      <c r="A551" s="24" t="n">
        <v>46267.1145833333</v>
      </c>
      <c r="B551" s="10" t="n">
        <v>1.4906</v>
      </c>
      <c r="C551" s="10" t="n">
        <v>1.6929</v>
      </c>
      <c r="D551" s="10" t="n">
        <f aca="false">IF(OR(B551="",C551="",B551&lt;=0.05,C551&lt;=0.05),0,1)</f>
        <v>1</v>
      </c>
      <c r="E551" s="25" t="n">
        <f aca="false">IF(OR(A551&lt;Resumen!$B$6,A551&gt;=Resumen!$B$7),0,MAX(0,AVERAGEIFS(B503:B599,D503:D599,1)-Resumen!$B$5*AVERAGEIFS(C503:C599,D503:D599,1)))</f>
        <v>0</v>
      </c>
      <c r="F551" s="10" t="n">
        <f aca="false">IF(B551="","",(B551-E551)/Resumen!$B$5)</f>
        <v>1.18395552025417</v>
      </c>
      <c r="G551" s="10" t="n">
        <f aca="false">IF(OR(F551="",C551=""),0,(F551-C551)*0.9)</f>
        <v>-0.458050031771247</v>
      </c>
      <c r="H551" s="26" t="n">
        <f aca="false">IF(A551&lt;Resumen!$B$11,"",IF(H550="",0,H550)+G551/Resumen!$B$9)</f>
        <v>0.282792507319103</v>
      </c>
      <c r="I551" s="26" t="n">
        <f aca="false">IF(H551="","",H551-AVERAGE(H503:H599))</f>
        <v>0.0286022544417054</v>
      </c>
      <c r="J551" s="27" t="n">
        <f aca="false">IF(I551="","",Resumen!$B$10-(MAX(I503:I599)-I551))</f>
        <v>1.73441229740605</v>
      </c>
    </row>
    <row r="552" customFormat="false" ht="15" hidden="false" customHeight="false" outlineLevel="0" collapsed="false">
      <c r="A552" s="24" t="n">
        <v>46267.125</v>
      </c>
      <c r="B552" s="10" t="n">
        <v>2.3849</v>
      </c>
      <c r="C552" s="10" t="n">
        <v>1.6709</v>
      </c>
      <c r="D552" s="10" t="n">
        <f aca="false">IF(OR(B552="",C552="",B552&lt;=0.05,C552&lt;=0.05),0,1)</f>
        <v>1</v>
      </c>
      <c r="E552" s="25" t="n">
        <f aca="false">IF(OR(A552&lt;Resumen!$B$6,A552&gt;=Resumen!$B$7),0,MAX(0,AVERAGEIFS(B504:B600,D504:D600,1)-Resumen!$B$5*AVERAGEIFS(C504:C600,D504:D600,1)))</f>
        <v>0</v>
      </c>
      <c r="F552" s="10" t="n">
        <f aca="false">IF(B552="","",(B552-E552)/Resumen!$B$5)</f>
        <v>1.89428117553614</v>
      </c>
      <c r="G552" s="10" t="n">
        <f aca="false">IF(OR(F552="",C552=""),0,(F552-C552)*0.9)</f>
        <v>0.201043057982526</v>
      </c>
      <c r="H552" s="26" t="n">
        <f aca="false">IF(A552&lt;Resumen!$B$11,"",IF(H551="",0,H551)+G552/Resumen!$B$9)</f>
        <v>0.292295589488305</v>
      </c>
      <c r="I552" s="26" t="n">
        <f aca="false">IF(H552="","",H552-AVERAGE(H504:H600))</f>
        <v>0.0369869006737453</v>
      </c>
      <c r="J552" s="27" t="n">
        <f aca="false">IF(I552="","",Resumen!$B$10-(MAX(I504:I600)-I552))</f>
        <v>1.74279694363809</v>
      </c>
    </row>
    <row r="553" customFormat="false" ht="15" hidden="false" customHeight="false" outlineLevel="0" collapsed="false">
      <c r="A553" s="24" t="n">
        <v>46267.1354166667</v>
      </c>
      <c r="B553" s="10" t="n">
        <v>2.3836</v>
      </c>
      <c r="C553" s="10" t="n">
        <v>1.4727</v>
      </c>
      <c r="D553" s="10" t="n">
        <f aca="false">IF(OR(B553="",C553="",B553&lt;=0.05,C553&lt;=0.05),0,1)</f>
        <v>1</v>
      </c>
      <c r="E553" s="25" t="n">
        <f aca="false">IF(OR(A553&lt;Resumen!$B$6,A553&gt;=Resumen!$B$7),0,MAX(0,AVERAGEIFS(B505:B601,D505:D601,1)-Resumen!$B$5*AVERAGEIFS(C505:C601,D505:D601,1)))</f>
        <v>0</v>
      </c>
      <c r="F553" s="10" t="n">
        <f aca="false">IF(B553="","",(B553-E553)/Resumen!$B$5)</f>
        <v>1.89324861000794</v>
      </c>
      <c r="G553" s="10" t="n">
        <f aca="false">IF(OR(F553="",C553=""),0,(F553-C553)*0.9)</f>
        <v>0.378493749007149</v>
      </c>
      <c r="H553" s="26" t="n">
        <f aca="false">IF(A553&lt;Resumen!$B$11,"",IF(H552="",0,H552)+G553/Resumen!$B$9)</f>
        <v>0.310186568830933</v>
      </c>
      <c r="I553" s="26" t="n">
        <f aca="false">IF(H553="","",H553-AVERAGE(H505:H601))</f>
        <v>0.0539637779534055</v>
      </c>
      <c r="J553" s="27" t="n">
        <f aca="false">IF(I553="","",Resumen!$B$10-(MAX(I505:I601)-I553))</f>
        <v>1.75977382091775</v>
      </c>
    </row>
    <row r="554" customFormat="false" ht="15" hidden="false" customHeight="false" outlineLevel="0" collapsed="false">
      <c r="A554" s="24" t="n">
        <v>46267.1458333333</v>
      </c>
      <c r="B554" s="10" t="n">
        <v>1.9943</v>
      </c>
      <c r="C554" s="10" t="n">
        <v>1.4173</v>
      </c>
      <c r="D554" s="10" t="n">
        <f aca="false">IF(OR(B554="",C554="",B554&lt;=0.05,C554&lt;=0.05),0,1)</f>
        <v>1</v>
      </c>
      <c r="E554" s="25" t="n">
        <f aca="false">IF(OR(A554&lt;Resumen!$B$6,A554&gt;=Resumen!$B$7),0,MAX(0,AVERAGEIFS(B506:B602,D506:D602,1)-Resumen!$B$5*AVERAGEIFS(C506:C602,D506:D602,1)))</f>
        <v>0</v>
      </c>
      <c r="F554" s="10" t="n">
        <f aca="false">IF(B554="","",(B554-E554)/Resumen!$B$5)</f>
        <v>1.58403494837172</v>
      </c>
      <c r="G554" s="10" t="n">
        <f aca="false">IF(OR(F554="",C554=""),0,(F554-C554)*0.9)</f>
        <v>0.150061453534551</v>
      </c>
      <c r="H554" s="26" t="n">
        <f aca="false">IF(A554&lt;Resumen!$B$11,"",IF(H553="",0,H553)+G554/Resumen!$B$9)</f>
        <v>0.317279807153505</v>
      </c>
      <c r="I554" s="26" t="n">
        <f aca="false">IF(H554="","",H554-AVERAGE(H506:H602))</f>
        <v>0.0602443262153501</v>
      </c>
      <c r="J554" s="27" t="n">
        <f aca="false">IF(I554="","",Resumen!$B$10-(MAX(I506:I602)-I554))</f>
        <v>1.7660543691797</v>
      </c>
    </row>
    <row r="555" customFormat="false" ht="15" hidden="false" customHeight="false" outlineLevel="0" collapsed="false">
      <c r="A555" s="24" t="n">
        <v>46267.15625</v>
      </c>
      <c r="B555" s="10" t="n">
        <v>2.2852</v>
      </c>
      <c r="C555" s="10" t="n">
        <v>1.6909</v>
      </c>
      <c r="D555" s="10" t="n">
        <f aca="false">IF(OR(B555="",C555="",B555&lt;=0.05,C555&lt;=0.05),0,1)</f>
        <v>1</v>
      </c>
      <c r="E555" s="25" t="n">
        <f aca="false">IF(OR(A555&lt;Resumen!$B$6,A555&gt;=Resumen!$B$7),0,MAX(0,AVERAGEIFS(B507:B603,D507:D603,1)-Resumen!$B$5*AVERAGEIFS(C507:C603,D507:D603,1)))</f>
        <v>0</v>
      </c>
      <c r="F555" s="10" t="n">
        <f aca="false">IF(B555="","",(B555-E555)/Resumen!$B$5)</f>
        <v>1.81509134233519</v>
      </c>
      <c r="G555" s="10" t="n">
        <f aca="false">IF(OR(F555="",C555=""),0,(F555-C555)*0.9)</f>
        <v>0.111772208101668</v>
      </c>
      <c r="H555" s="26" t="n">
        <f aca="false">IF(A555&lt;Resumen!$B$11,"",IF(H554="",0,H554)+G555/Resumen!$B$9)</f>
        <v>0.322563155350067</v>
      </c>
      <c r="I555" s="26" t="n">
        <f aca="false">IF(H555="","",H555-AVERAGE(H507:H603))</f>
        <v>0.0644309371142189</v>
      </c>
      <c r="J555" s="27" t="n">
        <f aca="false">IF(I555="","",Resumen!$B$10-(MAX(I507:I603)-I555))</f>
        <v>1.77024098007857</v>
      </c>
    </row>
    <row r="556" customFormat="false" ht="15" hidden="false" customHeight="false" outlineLevel="0" collapsed="false">
      <c r="A556" s="24" t="n">
        <v>46267.1666666667</v>
      </c>
      <c r="B556" s="10" t="n">
        <v>1.4656</v>
      </c>
      <c r="C556" s="10" t="n">
        <v>1.6358</v>
      </c>
      <c r="D556" s="10" t="n">
        <f aca="false">IF(OR(B556="",C556="",B556&lt;=0.05,C556&lt;=0.05),0,1)</f>
        <v>1</v>
      </c>
      <c r="E556" s="25" t="n">
        <f aca="false">IF(OR(A556&lt;Resumen!$B$6,A556&gt;=Resumen!$B$7),0,MAX(0,AVERAGEIFS(B508:B604,D508:D604,1)-Resumen!$B$5*AVERAGEIFS(C508:C604,D508:D604,1)))</f>
        <v>0</v>
      </c>
      <c r="F556" s="10" t="n">
        <f aca="false">IF(B556="","",(B556-E556)/Resumen!$B$5)</f>
        <v>1.16409849086577</v>
      </c>
      <c r="G556" s="10" t="n">
        <f aca="false">IF(OR(F556="",C556=""),0,(F556-C556)*0.9)</f>
        <v>-0.42453135822081</v>
      </c>
      <c r="H556" s="26" t="n">
        <f aca="false">IF(A556&lt;Resumen!$B$11,"",IF(H555="",0,H555)+G556/Resumen!$B$9)</f>
        <v>0.302496029327114</v>
      </c>
      <c r="I556" s="26" t="n">
        <f aca="false">IF(H556="","",H556-AVERAGE(H508:H604))</f>
        <v>0.0426589630571679</v>
      </c>
      <c r="J556" s="27" t="n">
        <f aca="false">IF(I556="","",Resumen!$B$10-(MAX(I508:I604)-I556))</f>
        <v>1.74846900602152</v>
      </c>
    </row>
    <row r="557" customFormat="false" ht="15" hidden="false" customHeight="false" outlineLevel="0" collapsed="false">
      <c r="A557" s="24" t="n">
        <v>46267.1770833333</v>
      </c>
      <c r="B557" s="10" t="n">
        <v>1.3822</v>
      </c>
      <c r="C557" s="10" t="n">
        <v>1.5557</v>
      </c>
      <c r="D557" s="10" t="n">
        <f aca="false">IF(OR(B557="",C557="",B557&lt;=0.05,C557&lt;=0.05),0,1)</f>
        <v>1</v>
      </c>
      <c r="E557" s="25" t="n">
        <f aca="false">IF(OR(A557&lt;Resumen!$B$6,A557&gt;=Resumen!$B$7),0,MAX(0,AVERAGEIFS(B509:B605,D509:D605,1)-Resumen!$B$5*AVERAGEIFS(C509:C605,D509:D605,1)))</f>
        <v>0</v>
      </c>
      <c r="F557" s="10" t="n">
        <f aca="false">IF(B557="","",(B557-E557)/Resumen!$B$5)</f>
        <v>1.09785544082605</v>
      </c>
      <c r="G557" s="10" t="n">
        <f aca="false">IF(OR(F557="",C557=""),0,(F557-C557)*0.9)</f>
        <v>-0.412060103256553</v>
      </c>
      <c r="H557" s="26" t="n">
        <f aca="false">IF(A557&lt;Resumen!$B$11,"",IF(H556="",0,H556)+G557/Resumen!$B$9)</f>
        <v>0.283018405681749</v>
      </c>
      <c r="I557" s="26" t="n">
        <f aca="false">IF(H557="","",H557-AVERAGE(H509:H605))</f>
        <v>0.0223005251939144</v>
      </c>
      <c r="J557" s="27" t="n">
        <f aca="false">IF(I557="","",Resumen!$B$10-(MAX(I509:I605)-I557))</f>
        <v>1.72811056815826</v>
      </c>
    </row>
    <row r="558" customFormat="false" ht="15" hidden="false" customHeight="false" outlineLevel="0" collapsed="false">
      <c r="A558" s="24" t="n">
        <v>46267.1875</v>
      </c>
      <c r="B558" s="10" t="n">
        <v>1.4644</v>
      </c>
      <c r="C558" s="10" t="n">
        <v>1.6229</v>
      </c>
      <c r="D558" s="10" t="n">
        <f aca="false">IF(OR(B558="",C558="",B558&lt;=0.05,C558&lt;=0.05),0,1)</f>
        <v>1</v>
      </c>
      <c r="E558" s="25" t="n">
        <f aca="false">IF(OR(A558&lt;Resumen!$B$6,A558&gt;=Resumen!$B$7),0,MAX(0,AVERAGEIFS(B510:B606,D510:D606,1)-Resumen!$B$5*AVERAGEIFS(C510:C606,D510:D606,1)))</f>
        <v>0</v>
      </c>
      <c r="F558" s="10" t="n">
        <f aca="false">IF(B558="","",(B558-E558)/Resumen!$B$5)</f>
        <v>1.16314535345512</v>
      </c>
      <c r="G558" s="10" t="n">
        <f aca="false">IF(OR(F558="",C558=""),0,(F558-C558)*0.9)</f>
        <v>-0.413779181890389</v>
      </c>
      <c r="H558" s="26" t="n">
        <f aca="false">IF(A558&lt;Resumen!$B$11,"",IF(H557="",0,H557)+G558/Resumen!$B$9)</f>
        <v>0.263459523097745</v>
      </c>
      <c r="I558" s="26" t="n">
        <f aca="false">IF(H558="","",H558-AVERAGE(H510:H606))</f>
        <v>0.00224447316142506</v>
      </c>
      <c r="J558" s="27" t="n">
        <f aca="false">IF(I558="","",Resumen!$B$10-(MAX(I510:I606)-I558))</f>
        <v>1.70805451612577</v>
      </c>
    </row>
    <row r="559" customFormat="false" ht="15" hidden="false" customHeight="false" outlineLevel="0" collapsed="false">
      <c r="A559" s="24" t="n">
        <v>46267.1979166667</v>
      </c>
      <c r="B559" s="10" t="n">
        <v>2.4132</v>
      </c>
      <c r="C559" s="10" t="n">
        <v>1.5605</v>
      </c>
      <c r="D559" s="10" t="n">
        <f aca="false">IF(OR(B559="",C559="",B559&lt;=0.05,C559&lt;=0.05),0,1)</f>
        <v>1</v>
      </c>
      <c r="E559" s="25" t="n">
        <f aca="false">IF(OR(A559&lt;Resumen!$B$6,A559&gt;=Resumen!$B$7),0,MAX(0,AVERAGEIFS(B511:B607,D511:D607,1)-Resumen!$B$5*AVERAGEIFS(C511:C607,D511:D607,1)))</f>
        <v>0</v>
      </c>
      <c r="F559" s="10" t="n">
        <f aca="false">IF(B559="","",(B559-E559)/Resumen!$B$5)</f>
        <v>1.91675933280381</v>
      </c>
      <c r="G559" s="10" t="n">
        <f aca="false">IF(OR(F559="",C559=""),0,(F559-C559)*0.9)</f>
        <v>0.320633399523431</v>
      </c>
      <c r="H559" s="26" t="n">
        <f aca="false">IF(A559&lt;Resumen!$B$11,"",IF(H558="",0,H558)+G559/Resumen!$B$9)</f>
        <v>0.278615507952126</v>
      </c>
      <c r="I559" s="26" t="n">
        <f aca="false">IF(H559="","",H559-AVERAGE(H511:H607))</f>
        <v>0.0166213745787437</v>
      </c>
      <c r="J559" s="27" t="n">
        <f aca="false">IF(I559="","",Resumen!$B$10-(MAX(I511:I607)-I559))</f>
        <v>1.72243141754309</v>
      </c>
    </row>
    <row r="560" customFormat="false" ht="15" hidden="false" customHeight="false" outlineLevel="0" collapsed="false">
      <c r="A560" s="24" t="n">
        <v>46267.2083333333</v>
      </c>
      <c r="B560" s="10" t="n">
        <v>1.6969</v>
      </c>
      <c r="C560" s="10" t="n">
        <v>1.5797</v>
      </c>
      <c r="D560" s="10" t="n">
        <f aca="false">IF(OR(B560="",C560="",B560&lt;=0.05,C560&lt;=0.05),0,1)</f>
        <v>1</v>
      </c>
      <c r="E560" s="25" t="n">
        <f aca="false">IF(OR(A560&lt;Resumen!$B$6,A560&gt;=Resumen!$B$7),0,MAX(0,AVERAGEIFS(B512:B608,D512:D608,1)-Resumen!$B$5*AVERAGEIFS(C512:C608,D512:D608,1)))</f>
        <v>0</v>
      </c>
      <c r="F560" s="10" t="n">
        <f aca="false">IF(B560="","",(B560-E560)/Resumen!$B$5)</f>
        <v>1.34781572676728</v>
      </c>
      <c r="G560" s="10" t="n">
        <f aca="false">IF(OR(F560="",C560=""),0,(F560-C560)*0.9)</f>
        <v>-0.208695845909452</v>
      </c>
      <c r="H560" s="26" t="n">
        <f aca="false">IF(A560&lt;Resumen!$B$11,"",IF(H559="",0,H559)+G560/Resumen!$B$9)</f>
        <v>0.26875068699312</v>
      </c>
      <c r="I560" s="26" t="n">
        <f aca="false">IF(H560="","",H560-AVERAGE(H512:H608))</f>
        <v>0.0064714548421444</v>
      </c>
      <c r="J560" s="27" t="n">
        <f aca="false">IF(I560="","",Resumen!$B$10-(MAX(I512:I608)-I560))</f>
        <v>1.71228149780649</v>
      </c>
    </row>
    <row r="561" customFormat="false" ht="15" hidden="false" customHeight="false" outlineLevel="0" collapsed="false">
      <c r="A561" s="24" t="n">
        <v>46267.21875</v>
      </c>
      <c r="B561" s="10" t="n">
        <v>3.26</v>
      </c>
      <c r="C561" s="10" t="n">
        <v>3.0492</v>
      </c>
      <c r="D561" s="10" t="n">
        <f aca="false">IF(OR(B561="",C561="",B561&lt;=0.05,C561&lt;=0.05),0,1)</f>
        <v>1</v>
      </c>
      <c r="E561" s="25" t="n">
        <f aca="false">IF(OR(A561&lt;Resumen!$B$6,A561&gt;=Resumen!$B$7),0,MAX(0,AVERAGEIFS(B513:B609,D513:D609,1)-Resumen!$B$5*AVERAGEIFS(C513:C609,D513:D609,1)))</f>
        <v>0</v>
      </c>
      <c r="F561" s="10" t="n">
        <f aca="false">IF(B561="","",(B561-E561)/Resumen!$B$5)</f>
        <v>2.58935663224782</v>
      </c>
      <c r="G561" s="10" t="n">
        <f aca="false">IF(OR(F561="",C561=""),0,(F561-C561)*0.9)</f>
        <v>-0.413859030976966</v>
      </c>
      <c r="H561" s="26" t="n">
        <f aca="false">IF(A561&lt;Resumen!$B$11,"",IF(H560="",0,H560)+G561/Resumen!$B$9)</f>
        <v>0.249188030031435</v>
      </c>
      <c r="I561" s="26" t="n">
        <f aca="false">IF(H561="","",H561-AVERAGE(H513:H609))</f>
        <v>-0.0129579161005142</v>
      </c>
      <c r="J561" s="27" t="n">
        <f aca="false">IF(I561="","",Resumen!$B$10-(MAX(I513:I609)-I561))</f>
        <v>1.71923950082715</v>
      </c>
    </row>
    <row r="562" customFormat="false" ht="15" hidden="false" customHeight="false" outlineLevel="0" collapsed="false">
      <c r="A562" s="24" t="n">
        <v>46267.2291666667</v>
      </c>
      <c r="B562" s="10" t="n">
        <v>3.5873</v>
      </c>
      <c r="C562" s="10" t="n">
        <v>2.3151</v>
      </c>
      <c r="D562" s="10" t="n">
        <f aca="false">IF(OR(B562="",C562="",B562&lt;=0.05,C562&lt;=0.05),0,1)</f>
        <v>1</v>
      </c>
      <c r="E562" s="25" t="n">
        <f aca="false">IF(OR(A562&lt;Resumen!$B$6,A562&gt;=Resumen!$B$7),0,MAX(0,AVERAGEIFS(B514:B610,D514:D610,1)-Resumen!$B$5*AVERAGEIFS(C514:C610,D514:D610,1)))</f>
        <v>0</v>
      </c>
      <c r="F562" s="10" t="n">
        <f aca="false">IF(B562="","",(B562-E562)/Resumen!$B$5)</f>
        <v>2.84932486100079</v>
      </c>
      <c r="G562" s="10" t="n">
        <f aca="false">IF(OR(F562="",C562=""),0,(F562-C562)*0.9)</f>
        <v>0.480802374900715</v>
      </c>
      <c r="H562" s="26" t="n">
        <f aca="false">IF(A562&lt;Resumen!$B$11,"",IF(H561="",0,H561)+G562/Resumen!$B$9)</f>
        <v>0.271915024545347</v>
      </c>
      <c r="I562" s="26" t="n">
        <f aca="false">IF(H562="","",H562-AVERAGE(H514:H610))</f>
        <v>0.00973532516775355</v>
      </c>
      <c r="J562" s="27" t="n">
        <f aca="false">IF(I562="","",Resumen!$B$10-(MAX(I514:I610)-I562))</f>
        <v>1.74193274209542</v>
      </c>
    </row>
    <row r="563" customFormat="false" ht="15" hidden="false" customHeight="false" outlineLevel="0" collapsed="false">
      <c r="A563" s="24" t="n">
        <v>46267.2395833333</v>
      </c>
      <c r="B563" s="10" t="n">
        <v>4.7991</v>
      </c>
      <c r="C563" s="10" t="n">
        <v>3.3511</v>
      </c>
      <c r="D563" s="10" t="n">
        <f aca="false">IF(OR(B563="",C563="",B563&lt;=0.05,C563&lt;=0.05),0,1)</f>
        <v>1</v>
      </c>
      <c r="E563" s="25" t="n">
        <f aca="false">IF(OR(A563&lt;Resumen!$B$6,A563&gt;=Resumen!$B$7),0,MAX(0,AVERAGEIFS(B515:B611,D515:D611,1)-Resumen!$B$5*AVERAGEIFS(C515:C611,D515:D611,1)))</f>
        <v>0</v>
      </c>
      <c r="F563" s="10" t="n">
        <f aca="false">IF(B563="","",(B563-E563)/Resumen!$B$5)</f>
        <v>3.81183478951549</v>
      </c>
      <c r="G563" s="10" t="n">
        <f aca="false">IF(OR(F563="",C563=""),0,(F563-C563)*0.9)</f>
        <v>0.41466131056394</v>
      </c>
      <c r="H563" s="26" t="n">
        <f aca="false">IF(A563&lt;Resumen!$B$11,"",IF(H562="",0,H562)+G563/Resumen!$B$9)</f>
        <v>0.291515604372483</v>
      </c>
      <c r="I563" s="26" t="n">
        <f aca="false">IF(H563="","",H563-AVERAGE(H515:H611))</f>
        <v>0.029559339207853</v>
      </c>
      <c r="J563" s="27" t="n">
        <f aca="false">IF(I563="","",Resumen!$B$10-(MAX(I515:I611)-I563))</f>
        <v>1.76175675613552</v>
      </c>
    </row>
    <row r="564" customFormat="false" ht="15" hidden="false" customHeight="false" outlineLevel="0" collapsed="false">
      <c r="A564" s="24" t="n">
        <v>46267.25</v>
      </c>
      <c r="B564" s="10" t="n">
        <v>4.5352</v>
      </c>
      <c r="C564" s="10" t="n">
        <v>2.6836</v>
      </c>
      <c r="D564" s="10" t="n">
        <f aca="false">IF(OR(B564="",C564="",B564&lt;=0.05,C564&lt;=0.05),0,1)</f>
        <v>1</v>
      </c>
      <c r="E564" s="25" t="n">
        <f aca="false">IF(OR(A564&lt;Resumen!$B$6,A564&gt;=Resumen!$B$7),0,MAX(0,AVERAGEIFS(B516:B612,D516:D612,1)-Resumen!$B$5*AVERAGEIFS(C516:C612,D516:D612,1)))</f>
        <v>0</v>
      </c>
      <c r="F564" s="10" t="n">
        <f aca="false">IF(B564="","",(B564-E564)/Resumen!$B$5)</f>
        <v>3.6022239872915</v>
      </c>
      <c r="G564" s="10" t="n">
        <f aca="false">IF(OR(F564="",C564=""),0,(F564-C564)*0.9)</f>
        <v>0.826761588562351</v>
      </c>
      <c r="H564" s="26" t="n">
        <f aca="false">IF(A564&lt;Resumen!$B$11,"",IF(H563="",0,H563)+G564/Resumen!$B$9)</f>
        <v>0.330595706860432</v>
      </c>
      <c r="I564" s="26" t="n">
        <f aca="false">IF(H564="","",H564-AVERAGE(H516:H612))</f>
        <v>0.0689207165249817</v>
      </c>
      <c r="J564" s="27" t="n">
        <f aca="false">IF(I564="","",Resumen!$B$10-(MAX(I516:I612)-I564))</f>
        <v>1.80111813345264</v>
      </c>
    </row>
    <row r="565" customFormat="false" ht="15" hidden="false" customHeight="false" outlineLevel="0" collapsed="false">
      <c r="A565" s="24" t="n">
        <v>46267.2604166667</v>
      </c>
      <c r="B565" s="10" t="n">
        <v>5.2972</v>
      </c>
      <c r="C565" s="10" t="n">
        <v>3.5893</v>
      </c>
      <c r="D565" s="10" t="n">
        <f aca="false">IF(OR(B565="",C565="",B565&lt;=0.05,C565&lt;=0.05),0,1)</f>
        <v>1</v>
      </c>
      <c r="E565" s="25" t="n">
        <f aca="false">IF(OR(A565&lt;Resumen!$B$6,A565&gt;=Resumen!$B$7),0,MAX(0,AVERAGEIFS(B517:B613,D517:D613,1)-Resumen!$B$5*AVERAGEIFS(C517:C613,D517:D613,1)))</f>
        <v>0</v>
      </c>
      <c r="F565" s="10" t="n">
        <f aca="false">IF(B565="","",(B565-E565)/Resumen!$B$5)</f>
        <v>4.20746624305004</v>
      </c>
      <c r="G565" s="10" t="n">
        <f aca="false">IF(OR(F565="",C565=""),0,(F565-C565)*0.9)</f>
        <v>0.556349618745036</v>
      </c>
      <c r="H565" s="26" t="n">
        <f aca="false">IF(A565&lt;Resumen!$B$11,"",IF(H564="",0,H564)+G565/Resumen!$B$9)</f>
        <v>0.356893735724466</v>
      </c>
      <c r="I565" s="26" t="n">
        <f aca="false">IF(H565="","",H565-AVERAGE(H517:H613))</f>
        <v>0.0956172555958966</v>
      </c>
      <c r="J565" s="27" t="n">
        <f aca="false">IF(I565="","",Resumen!$B$10-(MAX(I517:I613)-I565))</f>
        <v>1.82781467252356</v>
      </c>
    </row>
    <row r="566" customFormat="false" ht="15" hidden="false" customHeight="false" outlineLevel="0" collapsed="false">
      <c r="A566" s="24" t="n">
        <v>46267.2708333333</v>
      </c>
      <c r="B566" s="10" t="n">
        <v>3.4217</v>
      </c>
      <c r="C566" s="10" t="n">
        <v>3.2664</v>
      </c>
      <c r="D566" s="10" t="n">
        <f aca="false">IF(OR(B566="",C566="",B566&lt;=0.05,C566&lt;=0.05),0,1)</f>
        <v>1</v>
      </c>
      <c r="E566" s="25" t="n">
        <f aca="false">IF(OR(A566&lt;Resumen!$B$6,A566&gt;=Resumen!$B$7),0,MAX(0,AVERAGEIFS(B518:B614,D518:D614,1)-Resumen!$B$5*AVERAGEIFS(C518:C614,D518:D614,1)))</f>
        <v>0</v>
      </c>
      <c r="F566" s="10" t="n">
        <f aca="false">IF(B566="","",(B566-E566)/Resumen!$B$5)</f>
        <v>2.71779189833201</v>
      </c>
      <c r="G566" s="10" t="n">
        <f aca="false">IF(OR(F566="",C566=""),0,(F566-C566)*0.9)</f>
        <v>-0.493747291501191</v>
      </c>
      <c r="H566" s="26" t="n">
        <f aca="false">IF(A566&lt;Resumen!$B$11,"",IF(H565="",0,H565)+G566/Resumen!$B$9)</f>
        <v>0.333554849373242</v>
      </c>
      <c r="I566" s="26" t="n">
        <f aca="false">IF(H566="","",H566-AVERAGE(H518:H614))</f>
        <v>0.0723797122729777</v>
      </c>
      <c r="J566" s="27" t="n">
        <f aca="false">IF(I566="","",Resumen!$B$10-(MAX(I518:I614)-I566))</f>
        <v>1.80457712920064</v>
      </c>
    </row>
    <row r="567" customFormat="false" ht="15" hidden="false" customHeight="false" outlineLevel="0" collapsed="false">
      <c r="A567" s="24" t="n">
        <v>46267.28125</v>
      </c>
      <c r="B567" s="10" t="n">
        <v>5.0102</v>
      </c>
      <c r="C567" s="10" t="n">
        <v>3.9003</v>
      </c>
      <c r="D567" s="10" t="n">
        <f aca="false">IF(OR(B567="",C567="",B567&lt;=0.05,C567&lt;=0.05),0,1)</f>
        <v>1</v>
      </c>
      <c r="E567" s="25" t="n">
        <f aca="false">IF(OR(A567&lt;Resumen!$B$6,A567&gt;=Resumen!$B$7),0,MAX(0,AVERAGEIFS(B519:B615,D519:D615,1)-Resumen!$B$5*AVERAGEIFS(C519:C615,D519:D615,1)))</f>
        <v>0</v>
      </c>
      <c r="F567" s="10" t="n">
        <f aca="false">IF(B567="","",(B567-E567)/Resumen!$B$5)</f>
        <v>3.97950754567117</v>
      </c>
      <c r="G567" s="10" t="n">
        <f aca="false">IF(OR(F567="",C567=""),0,(F567-C567)*0.9)</f>
        <v>0.0712867911040513</v>
      </c>
      <c r="H567" s="26" t="n">
        <f aca="false">IF(A567&lt;Resumen!$B$11,"",IF(H566="",0,H566)+G567/Resumen!$B$9)</f>
        <v>0.33692449685194</v>
      </c>
      <c r="I567" s="26" t="n">
        <f aca="false">IF(H567="","",H567-AVERAGE(H519:H615))</f>
        <v>0.0763960554694398</v>
      </c>
      <c r="J567" s="27" t="n">
        <f aca="false">IF(I567="","",Resumen!$B$10-(MAX(I519:I615)-I567))</f>
        <v>1.8085934723971</v>
      </c>
    </row>
    <row r="568" customFormat="false" ht="15" hidden="false" customHeight="false" outlineLevel="0" collapsed="false">
      <c r="A568" s="24" t="n">
        <v>46267.2916666667</v>
      </c>
      <c r="B568" s="10" t="n">
        <v>3.1769</v>
      </c>
      <c r="C568" s="10" t="n">
        <v>3.2985</v>
      </c>
      <c r="D568" s="10" t="n">
        <f aca="false">IF(OR(B568="",C568="",B568&lt;=0.05,C568&lt;=0.05),0,1)</f>
        <v>1</v>
      </c>
      <c r="E568" s="25" t="n">
        <f aca="false">IF(OR(A568&lt;Resumen!$B$6,A568&gt;=Resumen!$B$7),0,MAX(0,AVERAGEIFS(B520:B616,D520:D616,1)-Resumen!$B$5*AVERAGEIFS(C520:C616,D520:D616,1)))</f>
        <v>0</v>
      </c>
      <c r="F568" s="10" t="n">
        <f aca="false">IF(B568="","",(B568-E568)/Resumen!$B$5)</f>
        <v>2.52335186656076</v>
      </c>
      <c r="G568" s="10" t="n">
        <f aca="false">IF(OR(F568="",C568=""),0,(F568-C568)*0.9)</f>
        <v>-0.697633320095314</v>
      </c>
      <c r="H568" s="26" t="n">
        <f aca="false">IF(A568&lt;Resumen!$B$11,"",IF(H567="",0,H567)+G568/Resumen!$B$9)</f>
        <v>0.303948144266739</v>
      </c>
      <c r="I568" s="26" t="n">
        <f aca="false">IF(H568="","",H568-AVERAGE(H520:H616))</f>
        <v>0.0442116699744857</v>
      </c>
      <c r="J568" s="27" t="n">
        <f aca="false">IF(I568="","",Resumen!$B$10-(MAX(I520:I616)-I568))</f>
        <v>1.77640908690215</v>
      </c>
    </row>
    <row r="569" customFormat="false" ht="15" hidden="false" customHeight="false" outlineLevel="0" collapsed="false">
      <c r="A569" s="24" t="n">
        <v>46267.3020833333</v>
      </c>
      <c r="B569" s="10" t="n">
        <v>4.7476</v>
      </c>
      <c r="C569" s="10" t="n">
        <v>3.4733</v>
      </c>
      <c r="D569" s="10" t="n">
        <f aca="false">IF(OR(B569="",C569="",B569&lt;=0.05,C569&lt;=0.05),0,1)</f>
        <v>1</v>
      </c>
      <c r="E569" s="25" t="n">
        <f aca="false">IF(OR(A569&lt;Resumen!$B$6,A569&gt;=Resumen!$B$7),0,MAX(0,AVERAGEIFS(B521:B617,D521:D617,1)-Resumen!$B$5*AVERAGEIFS(C521:C617,D521:D617,1)))</f>
        <v>0</v>
      </c>
      <c r="F569" s="10" t="n">
        <f aca="false">IF(B569="","",(B569-E569)/Resumen!$B$5)</f>
        <v>3.77092930897538</v>
      </c>
      <c r="G569" s="10" t="n">
        <f aca="false">IF(OR(F569="",C569=""),0,(F569-C569)*0.9)</f>
        <v>0.26786637807784</v>
      </c>
      <c r="H569" s="26" t="n">
        <f aca="false">IF(A569&lt;Resumen!$B$11,"",IF(H568="",0,H568)+G569/Resumen!$B$9)</f>
        <v>0.316609890595038</v>
      </c>
      <c r="I569" s="26" t="n">
        <f aca="false">IF(H569="","",H569-AVERAGE(H521:H617))</f>
        <v>0.0573352290683047</v>
      </c>
      <c r="J569" s="27" t="n">
        <f aca="false">IF(I569="","",Resumen!$B$10-(MAX(I521:I617)-I569))</f>
        <v>1.80612115221718</v>
      </c>
    </row>
    <row r="570" customFormat="false" ht="15" hidden="false" customHeight="false" outlineLevel="0" collapsed="false">
      <c r="A570" s="24" t="n">
        <v>46267.3125</v>
      </c>
      <c r="B570" s="10" t="n">
        <v>4.7334</v>
      </c>
      <c r="C570" s="10" t="n">
        <v>4.2764</v>
      </c>
      <c r="D570" s="10" t="n">
        <f aca="false">IF(OR(B570="",C570="",B570&lt;=0.05,C570&lt;=0.05),0,1)</f>
        <v>1</v>
      </c>
      <c r="E570" s="25" t="n">
        <f aca="false">IF(OR(A570&lt;Resumen!$B$6,A570&gt;=Resumen!$B$7),0,MAX(0,AVERAGEIFS(B522:B618,D522:D618,1)-Resumen!$B$5*AVERAGEIFS(C522:C618,D522:D618,1)))</f>
        <v>0</v>
      </c>
      <c r="F570" s="10" t="n">
        <f aca="false">IF(B570="","",(B570-E570)/Resumen!$B$5)</f>
        <v>3.75965051628276</v>
      </c>
      <c r="G570" s="10" t="n">
        <f aca="false">IF(OR(F570="",C570=""),0,(F570-C570)*0.9)</f>
        <v>-0.465074535345512</v>
      </c>
      <c r="H570" s="26" t="n">
        <f aca="false">IF(A570&lt;Resumen!$B$11,"",IF(H569="",0,H569)+G570/Resumen!$B$9)</f>
        <v>0.294626333597134</v>
      </c>
      <c r="I570" s="26" t="n">
        <f aca="false">IF(H570="","",H570-AVERAGE(H522:H618))</f>
        <v>0.0357465803695261</v>
      </c>
      <c r="J570" s="27" t="n">
        <f aca="false">IF(I570="","",Resumen!$B$10-(MAX(I522:I618)-I570))</f>
        <v>1.7845325035184</v>
      </c>
    </row>
    <row r="571" customFormat="false" ht="15" hidden="false" customHeight="false" outlineLevel="0" collapsed="false">
      <c r="A571" s="24" t="n">
        <v>46267.3229166667</v>
      </c>
      <c r="B571" s="10" t="n">
        <v>6.6259</v>
      </c>
      <c r="C571" s="10" t="n">
        <v>3.8379</v>
      </c>
      <c r="D571" s="10" t="n">
        <f aca="false">IF(OR(B571="",C571="",B571&lt;=0.05,C571&lt;=0.05),0,1)</f>
        <v>1</v>
      </c>
      <c r="E571" s="25" t="n">
        <f aca="false">IF(OR(A571&lt;Resumen!$B$6,A571&gt;=Resumen!$B$7),0,MAX(0,AVERAGEIFS(B523:B619,D523:D619,1)-Resumen!$B$5*AVERAGEIFS(C523:C619,D523:D619,1)))</f>
        <v>0</v>
      </c>
      <c r="F571" s="10" t="n">
        <f aca="false">IF(B571="","",(B571-E571)/Resumen!$B$5)</f>
        <v>5.26282764098491</v>
      </c>
      <c r="G571" s="10" t="n">
        <f aca="false">IF(OR(F571="",C571=""),0,(F571-C571)*0.9)</f>
        <v>1.28243487688642</v>
      </c>
      <c r="H571" s="26" t="n">
        <f aca="false">IF(A571&lt;Resumen!$B$11,"",IF(H570="",0,H570)+G571/Resumen!$B$9)</f>
        <v>0.355245606572782</v>
      </c>
      <c r="I571" s="26" t="n">
        <f aca="false">IF(H571="","",H571-AVERAGE(H523:H619))</f>
        <v>0.0973293865217993</v>
      </c>
      <c r="J571" s="27" t="n">
        <f aca="false">IF(I571="","",Resumen!$B$10-(MAX(I523:I619)-I571))</f>
        <v>1.85</v>
      </c>
    </row>
    <row r="572" customFormat="false" ht="15" hidden="false" customHeight="false" outlineLevel="0" collapsed="false">
      <c r="A572" s="24" t="n">
        <v>46267.3333333333</v>
      </c>
      <c r="B572" s="10" t="n">
        <v>4.528</v>
      </c>
      <c r="C572" s="10" t="n">
        <v>4.2389</v>
      </c>
      <c r="D572" s="10" t="n">
        <f aca="false">IF(OR(B572="",C572="",B572&lt;=0.05,C572&lt;=0.05),0,1)</f>
        <v>1</v>
      </c>
      <c r="E572" s="25" t="n">
        <f aca="false">IF(OR(A572&lt;Resumen!$B$6,A572&gt;=Resumen!$B$7),0,MAX(0,AVERAGEIFS(B524:B620,D524:D620,1)-Resumen!$B$5*AVERAGEIFS(C524:C620,D524:D620,1)))</f>
        <v>0</v>
      </c>
      <c r="F572" s="10" t="n">
        <f aca="false">IF(B572="","",(B572-E572)/Resumen!$B$5)</f>
        <v>3.59650516282764</v>
      </c>
      <c r="G572" s="10" t="n">
        <f aca="false">IF(OR(F572="",C572=""),0,(F572-C572)*0.9)</f>
        <v>-0.578155353455124</v>
      </c>
      <c r="H572" s="26" t="n">
        <f aca="false">IF(A572&lt;Resumen!$B$11,"",IF(H571="",0,H571)+G572/Resumen!$B$9)</f>
        <v>0.327916844835953</v>
      </c>
      <c r="I572" s="26" t="n">
        <f aca="false">IF(H572="","",H572-AVERAGE(H524:H620))</f>
        <v>0.0714186760609554</v>
      </c>
      <c r="J572" s="27" t="n">
        <f aca="false">IF(I572="","",Resumen!$B$10-(MAX(I524:I620)-I572))</f>
        <v>1.82408928953916</v>
      </c>
    </row>
    <row r="573" customFormat="false" ht="15" hidden="false" customHeight="false" outlineLevel="0" collapsed="false">
      <c r="A573" s="24" t="n">
        <v>46267.34375</v>
      </c>
      <c r="B573" s="10" t="n">
        <v>5.5081</v>
      </c>
      <c r="C573" s="10" t="n">
        <v>4.1337</v>
      </c>
      <c r="D573" s="10" t="n">
        <f aca="false">IF(OR(B573="",C573="",B573&lt;=0.05,C573&lt;=0.05),0,1)</f>
        <v>1</v>
      </c>
      <c r="E573" s="25" t="n">
        <f aca="false">IF(OR(A573&lt;Resumen!$B$6,A573&gt;=Resumen!$B$7),0,MAX(0,AVERAGEIFS(B525:B621,D525:D621,1)-Resumen!$B$5*AVERAGEIFS(C525:C621,D525:D621,1)))</f>
        <v>0</v>
      </c>
      <c r="F573" s="10" t="n">
        <f aca="false">IF(B573="","",(B573-E573)/Resumen!$B$5)</f>
        <v>4.37498014297061</v>
      </c>
      <c r="G573" s="10" t="n">
        <f aca="false">IF(OR(F573="",C573=""),0,(F573-C573)*0.9)</f>
        <v>0.217152128673551</v>
      </c>
      <c r="H573" s="26" t="n">
        <f aca="false">IF(A573&lt;Resumen!$B$11,"",IF(H572="",0,H572)+G573/Resumen!$B$9)</f>
        <v>0.338181384893741</v>
      </c>
      <c r="I573" s="26" t="n">
        <f aca="false">IF(H573="","",H573-AVERAGE(H525:H621))</f>
        <v>0.0834158975451015</v>
      </c>
      <c r="J573" s="27" t="n">
        <f aca="false">IF(I573="","",Resumen!$B$10-(MAX(I525:I621)-I573))</f>
        <v>1.8360865110233</v>
      </c>
    </row>
    <row r="574" customFormat="false" ht="15" hidden="false" customHeight="false" outlineLevel="0" collapsed="false">
      <c r="A574" s="24" t="n">
        <v>46267.3541666667</v>
      </c>
      <c r="B574" s="10" t="n">
        <v>4.1009</v>
      </c>
      <c r="C574" s="10" t="n">
        <v>4.0509</v>
      </c>
      <c r="D574" s="10" t="n">
        <f aca="false">IF(OR(B574="",C574="",B574&lt;=0.05,C574&lt;=0.05),0,1)</f>
        <v>1</v>
      </c>
      <c r="E574" s="25" t="n">
        <f aca="false">IF(OR(A574&lt;Resumen!$B$6,A574&gt;=Resumen!$B$7),0,MAX(0,AVERAGEIFS(B526:B622,D526:D622,1)-Resumen!$B$5*AVERAGEIFS(C526:C622,D526:D622,1)))</f>
        <v>0</v>
      </c>
      <c r="F574" s="10" t="n">
        <f aca="false">IF(B574="","",(B574-E574)/Resumen!$B$5)</f>
        <v>3.25726767275616</v>
      </c>
      <c r="G574" s="10" t="n">
        <f aca="false">IF(OR(F574="",C574=""),0,(F574-C574)*0.9)</f>
        <v>-0.71426909451946</v>
      </c>
      <c r="H574" s="26" t="n">
        <f aca="false">IF(A574&lt;Resumen!$B$11,"",IF(H573="",0,H573)+G574/Resumen!$B$9)</f>
        <v>0.304418677719193</v>
      </c>
      <c r="I574" s="26" t="n">
        <f aca="false">IF(H574="","",H574-AVERAGE(H526:H622))</f>
        <v>0.0516964794372516</v>
      </c>
      <c r="J574" s="27" t="n">
        <f aca="false">IF(I574="","",Resumen!$B$10-(MAX(I526:I622)-I574))</f>
        <v>1.80436709291545</v>
      </c>
    </row>
    <row r="575" customFormat="false" ht="15" hidden="false" customHeight="false" outlineLevel="0" collapsed="false">
      <c r="A575" s="24" t="n">
        <v>46267.3645833333</v>
      </c>
      <c r="B575" s="10" t="n">
        <v>4.6288</v>
      </c>
      <c r="C575" s="10" t="n">
        <v>5.2389</v>
      </c>
      <c r="D575" s="10" t="n">
        <f aca="false">IF(OR(B575="",C575="",B575&lt;=0.05,C575&lt;=0.05),0,1)</f>
        <v>1</v>
      </c>
      <c r="E575" s="25" t="n">
        <f aca="false">IF(OR(A575&lt;Resumen!$B$6,A575&gt;=Resumen!$B$7),0,MAX(0,AVERAGEIFS(B527:B623,D527:D623,1)-Resumen!$B$5*AVERAGEIFS(C527:C623,D527:D623,1)))</f>
        <v>0</v>
      </c>
      <c r="F575" s="10" t="n">
        <f aca="false">IF(B575="","",(B575-E575)/Resumen!$B$5)</f>
        <v>3.67656870532168</v>
      </c>
      <c r="G575" s="10" t="n">
        <f aca="false">IF(OR(F575="",C575=""),0,(F575-C575)*0.9)</f>
        <v>-1.40609816521048</v>
      </c>
      <c r="H575" s="26" t="n">
        <f aca="false">IF(A575&lt;Resumen!$B$11,"",IF(H574="",0,H574)+G575/Resumen!$B$9)</f>
        <v>0.237953978385379</v>
      </c>
      <c r="I575" s="26" t="n">
        <f aca="false">IF(H575="","",H575-AVERAGE(H527:H623))</f>
        <v>-0.012756020110133</v>
      </c>
      <c r="J575" s="27" t="n">
        <f aca="false">IF(I575="","",Resumen!$B$10-(MAX(I527:I623)-I575))</f>
        <v>1.73991459336807</v>
      </c>
    </row>
    <row r="576" customFormat="false" ht="15" hidden="false" customHeight="false" outlineLevel="0" collapsed="false">
      <c r="A576" s="24" t="n">
        <v>46267.375</v>
      </c>
      <c r="B576" s="10" t="n">
        <v>4.2325</v>
      </c>
      <c r="C576" s="10" t="n">
        <v>3.8718</v>
      </c>
      <c r="D576" s="10" t="n">
        <f aca="false">IF(OR(B576="",C576="",B576&lt;=0.05,C576&lt;=0.05),0,1)</f>
        <v>1</v>
      </c>
      <c r="E576" s="25" t="n">
        <f aca="false">IF(OR(A576&lt;Resumen!$B$6,A576&gt;=Resumen!$B$7),0,MAX(0,AVERAGEIFS(B528:B624,D528:D624,1)-Resumen!$B$5*AVERAGEIFS(C528:C624,D528:D624,1)))</f>
        <v>0</v>
      </c>
      <c r="F576" s="10" t="n">
        <f aca="false">IF(B576="","",(B576-E576)/Resumen!$B$5)</f>
        <v>3.36179507545671</v>
      </c>
      <c r="G576" s="10" t="n">
        <f aca="false">IF(OR(F576="",C576=""),0,(F576-C576)*0.9)</f>
        <v>-0.459004432088959</v>
      </c>
      <c r="H576" s="26" t="n">
        <f aca="false">IF(A576&lt;Resumen!$B$11,"",IF(H575="",0,H575)+G576/Resumen!$B$9)</f>
        <v>0.216257348429878</v>
      </c>
      <c r="I576" s="26" t="n">
        <f aca="false">IF(H576="","",H576-AVERAGE(H528:H624))</f>
        <v>-0.0325240900761544</v>
      </c>
      <c r="J576" s="27" t="n">
        <f aca="false">IF(I576="","",Resumen!$B$10-(MAX(I528:I624)-I576))</f>
        <v>1.72014652340205</v>
      </c>
    </row>
    <row r="577" customFormat="false" ht="15" hidden="false" customHeight="false" outlineLevel="0" collapsed="false">
      <c r="A577" s="24" t="n">
        <v>46267.3854166667</v>
      </c>
      <c r="B577" s="10" t="n">
        <v>6.314</v>
      </c>
      <c r="C577" s="10" t="n">
        <v>3.5417</v>
      </c>
      <c r="D577" s="10" t="n">
        <f aca="false">IF(OR(B577="",C577="",B577&lt;=0.05,C577&lt;=0.05),0,1)</f>
        <v>1</v>
      </c>
      <c r="E577" s="25" t="n">
        <f aca="false">IF(OR(A577&lt;Resumen!$B$6,A577&gt;=Resumen!$B$7),0,MAX(0,AVERAGEIFS(B529:B625,D529:D625,1)-Resumen!$B$5*AVERAGEIFS(C529:C625,D529:D625,1)))</f>
        <v>0</v>
      </c>
      <c r="F577" s="10" t="n">
        <f aca="false">IF(B577="","",(B577-E577)/Resumen!$B$5)</f>
        <v>5.01509134233519</v>
      </c>
      <c r="G577" s="10" t="n">
        <f aca="false">IF(OR(F577="",C577=""),0,(F577-C577)*0.9)</f>
        <v>1.32605220810167</v>
      </c>
      <c r="H577" s="26" t="n">
        <f aca="false">IF(A577&lt;Resumen!$B$11,"",IF(H576="",0,H576)+G577/Resumen!$B$9)</f>
        <v>0.278938364231661</v>
      </c>
      <c r="I577" s="26" t="n">
        <f aca="false">IF(H577="","",H577-AVERAGE(H529:H625))</f>
        <v>0.0319798169348615</v>
      </c>
      <c r="J577" s="27" t="n">
        <f aca="false">IF(I577="","",Resumen!$B$10-(MAX(I529:I625)-I577))</f>
        <v>1.78465043041306</v>
      </c>
    </row>
    <row r="578" customFormat="false" ht="15" hidden="false" customHeight="false" outlineLevel="0" collapsed="false">
      <c r="A578" s="24" t="n">
        <v>46267.3958333333</v>
      </c>
      <c r="B578" s="10" t="n">
        <v>4.8623</v>
      </c>
      <c r="C578" s="10" t="n">
        <v>4.8716</v>
      </c>
      <c r="D578" s="10" t="n">
        <f aca="false">IF(OR(B578="",C578="",B578&lt;=0.05,C578&lt;=0.05),0,1)</f>
        <v>1</v>
      </c>
      <c r="E578" s="25" t="n">
        <f aca="false">IF(OR(A578&lt;Resumen!$B$6,A578&gt;=Resumen!$B$7),0,MAX(0,AVERAGEIFS(B530:B626,D530:D626,1)-Resumen!$B$5*AVERAGEIFS(C530:C626,D530:D626,1)))</f>
        <v>0</v>
      </c>
      <c r="F578" s="10" t="n">
        <f aca="false">IF(B578="","",(B578-E578)/Resumen!$B$5)</f>
        <v>3.86203335980937</v>
      </c>
      <c r="G578" s="10" t="n">
        <f aca="false">IF(OR(F578="",C578=""),0,(F578-C578)*0.9)</f>
        <v>-0.908609976171564</v>
      </c>
      <c r="H578" s="26" t="n">
        <f aca="false">IF(A578&lt;Resumen!$B$11,"",IF(H577="",0,H577)+G578/Resumen!$B$9)</f>
        <v>0.23598937932284</v>
      </c>
      <c r="I578" s="26" t="n">
        <f aca="false">IF(H578="","",H578-AVERAGE(H530:H626))</f>
        <v>-0.00948007936309012</v>
      </c>
      <c r="J578" s="27" t="n">
        <f aca="false">IF(I578="","",Resumen!$B$10-(MAX(I530:I626)-I578))</f>
        <v>1.74319053411511</v>
      </c>
    </row>
    <row r="579" customFormat="false" ht="15" hidden="false" customHeight="false" outlineLevel="0" collapsed="false">
      <c r="A579" s="24" t="n">
        <v>46267.40625</v>
      </c>
      <c r="B579" s="10" t="n">
        <v>5.5531</v>
      </c>
      <c r="C579" s="10" t="n">
        <v>4.3241</v>
      </c>
      <c r="D579" s="10" t="n">
        <f aca="false">IF(OR(B579="",C579="",B579&lt;=0.05,C579&lt;=0.05),0,1)</f>
        <v>1</v>
      </c>
      <c r="E579" s="25" t="n">
        <f aca="false">IF(OR(A579&lt;Resumen!$B$6,A579&gt;=Resumen!$B$7),0,MAX(0,AVERAGEIFS(B531:B627,D531:D627,1)-Resumen!$B$5*AVERAGEIFS(C531:C627,D531:D627,1)))</f>
        <v>0</v>
      </c>
      <c r="F579" s="10" t="n">
        <f aca="false">IF(B579="","",(B579-E579)/Resumen!$B$5)</f>
        <v>4.41072279586974</v>
      </c>
      <c r="G579" s="10" t="n">
        <f aca="false">IF(OR(F579="",C579=""),0,(F579-C579)*0.9)</f>
        <v>0.0779605162827645</v>
      </c>
      <c r="H579" s="26" t="n">
        <f aca="false">IF(A579&lt;Resumen!$B$11,"",IF(H578="",0,H578)+G579/Resumen!$B$9)</f>
        <v>0.239674486382109</v>
      </c>
      <c r="I579" s="26" t="n">
        <f aca="false">IF(H579="","",H579-AVERAGE(H531:H627))</f>
        <v>-0.00457881137488675</v>
      </c>
      <c r="J579" s="27" t="n">
        <f aca="false">IF(I579="","",Resumen!$B$10-(MAX(I531:I627)-I579))</f>
        <v>1.74809180210331</v>
      </c>
    </row>
    <row r="580" customFormat="false" ht="15" hidden="false" customHeight="false" outlineLevel="0" collapsed="false">
      <c r="A580" s="24" t="n">
        <v>46267.4166666667</v>
      </c>
      <c r="B580" s="10" t="n">
        <v>2.5849</v>
      </c>
      <c r="C580" s="10" t="n">
        <v>3.6368</v>
      </c>
      <c r="D580" s="10" t="n">
        <f aca="false">IF(OR(B580="",C580="",B580&lt;=0.05,C580&lt;=0.05),0,1)</f>
        <v>1</v>
      </c>
      <c r="E580" s="25" t="n">
        <f aca="false">IF(OR(A580&lt;Resumen!$B$6,A580&gt;=Resumen!$B$7),0,MAX(0,AVERAGEIFS(B532:B628,D532:D628,1)-Resumen!$B$5*AVERAGEIFS(C532:C628,D532:D628,1)))</f>
        <v>0</v>
      </c>
      <c r="F580" s="10" t="n">
        <f aca="false">IF(B580="","",(B580-E580)/Resumen!$B$5)</f>
        <v>2.05313741064337</v>
      </c>
      <c r="G580" s="10" t="n">
        <f aca="false">IF(OR(F580="",C580=""),0,(F580-C580)*0.9)</f>
        <v>-1.42529633042097</v>
      </c>
      <c r="H580" s="26" t="n">
        <f aca="false">IF(A580&lt;Resumen!$B$11,"",IF(H579="",0,H579)+G580/Resumen!$B$9)</f>
        <v>0.172302311091035</v>
      </c>
      <c r="I580" s="26" t="n">
        <f aca="false">IF(H580="","",H580-AVERAGE(H532:H628))</f>
        <v>-0.0710554591714983</v>
      </c>
      <c r="J580" s="27" t="n">
        <f aca="false">IF(I580="","",Resumen!$B$10-(MAX(I532:I628)-I580))</f>
        <v>1.6816151543067</v>
      </c>
    </row>
    <row r="581" customFormat="false" ht="15" hidden="false" customHeight="false" outlineLevel="0" collapsed="false">
      <c r="A581" s="24" t="n">
        <v>46267.4270833333</v>
      </c>
      <c r="B581" s="10" t="n">
        <v>3.6956</v>
      </c>
      <c r="C581" s="10" t="n">
        <v>4.6314</v>
      </c>
      <c r="D581" s="10" t="n">
        <f aca="false">IF(OR(B581="",C581="",B581&lt;=0.05,C581&lt;=0.05),0,1)</f>
        <v>1</v>
      </c>
      <c r="E581" s="25" t="n">
        <f aca="false">IF(OR(A581&lt;Resumen!$B$6,A581&gt;=Resumen!$B$7),0,MAX(0,AVERAGEIFS(B533:B629,D533:D629,1)-Resumen!$B$5*AVERAGEIFS(C533:C629,D533:D629,1)))</f>
        <v>0</v>
      </c>
      <c r="F581" s="10" t="n">
        <f aca="false">IF(B581="","",(B581-E581)/Resumen!$B$5)</f>
        <v>2.93534551231136</v>
      </c>
      <c r="G581" s="10" t="n">
        <f aca="false">IF(OR(F581="",C581=""),0,(F581-C581)*0.9)</f>
        <v>-1.52644903891978</v>
      </c>
      <c r="H581" s="26" t="n">
        <f aca="false">IF(A581&lt;Resumen!$B$11,"",IF(H580="",0,H580)+G581/Resumen!$B$9)</f>
        <v>0.100148759560723</v>
      </c>
      <c r="I581" s="26" t="n">
        <f aca="false">IF(H581="","",H581-AVERAGE(H533:H629))</f>
        <v>-0.141741053924078</v>
      </c>
      <c r="J581" s="27" t="n">
        <f aca="false">IF(I581="","",Resumen!$B$10-(MAX(I533:I629)-I581))</f>
        <v>1.61092955955412</v>
      </c>
    </row>
    <row r="582" customFormat="false" ht="15" hidden="false" customHeight="false" outlineLevel="0" collapsed="false">
      <c r="A582" s="24" t="n">
        <v>46267.4375</v>
      </c>
      <c r="B582" s="10" t="n">
        <v>6.0579</v>
      </c>
      <c r="C582" s="10" t="n">
        <v>3.4345</v>
      </c>
      <c r="D582" s="10" t="n">
        <f aca="false">IF(OR(B582="",C582="",B582&lt;=0.05,C582&lt;=0.05),0,1)</f>
        <v>1</v>
      </c>
      <c r="E582" s="25" t="n">
        <f aca="false">IF(OR(A582&lt;Resumen!$B$6,A582&gt;=Resumen!$B$7),0,MAX(0,AVERAGEIFS(B534:B630,D534:D630,1)-Resumen!$B$5*AVERAGEIFS(C534:C630,D534:D630,1)))</f>
        <v>0</v>
      </c>
      <c r="F582" s="10" t="n">
        <f aca="false">IF(B582="","",(B582-E582)/Resumen!$B$5)</f>
        <v>4.81167593328038</v>
      </c>
      <c r="G582" s="10" t="n">
        <f aca="false">IF(OR(F582="",C582=""),0,(F582-C582)*0.9)</f>
        <v>1.23945833995234</v>
      </c>
      <c r="H582" s="26" t="n">
        <f aca="false">IF(A582&lt;Resumen!$B$11,"",IF(H581="",0,H581)+G582/Resumen!$B$9)</f>
        <v>0.158736579344549</v>
      </c>
      <c r="I582" s="26" t="n">
        <f aca="false">IF(H582="","",H582-AVERAGE(H534:H630))</f>
        <v>-0.0817951587842567</v>
      </c>
      <c r="J582" s="27" t="n">
        <f aca="false">IF(I582="","",Resumen!$B$10-(MAX(I534:I630)-I582))</f>
        <v>1.67087545469394</v>
      </c>
    </row>
    <row r="583" customFormat="false" ht="15" hidden="false" customHeight="false" outlineLevel="0" collapsed="false">
      <c r="A583" s="24" t="n">
        <v>46267.4479166667</v>
      </c>
      <c r="B583" s="10" t="n">
        <v>9.5406</v>
      </c>
      <c r="C583" s="10" t="n">
        <v>4.3069</v>
      </c>
      <c r="D583" s="10" t="n">
        <f aca="false">IF(OR(B583="",C583="",B583&lt;=0.05,C583&lt;=0.05),0,1)</f>
        <v>1</v>
      </c>
      <c r="E583" s="25" t="n">
        <f aca="false">IF(OR(A583&lt;Resumen!$B$6,A583&gt;=Resumen!$B$7),0,MAX(0,AVERAGEIFS(B535:B631,D535:D631,1)-Resumen!$B$5*AVERAGEIFS(C535:C631,D535:D631,1)))</f>
        <v>0</v>
      </c>
      <c r="F583" s="10" t="n">
        <f aca="false">IF(B583="","",(B583-E583)/Resumen!$B$5)</f>
        <v>7.5779189833201</v>
      </c>
      <c r="G583" s="10" t="n">
        <f aca="false">IF(OR(F583="",C583=""),0,(F583-C583)*0.9)</f>
        <v>2.94391708498809</v>
      </c>
      <c r="H583" s="26" t="n">
        <f aca="false">IF(A583&lt;Resumen!$B$11,"",IF(H582="",0,H582)+G583/Resumen!$B$9)</f>
        <v>0.297892271854909</v>
      </c>
      <c r="I583" s="26" t="n">
        <f aca="false">IF(H583="","",H583-AVERAGE(H535:H631))</f>
        <v>0.0586333793987868</v>
      </c>
      <c r="J583" s="27" t="n">
        <f aca="false">IF(I583="","",Resumen!$B$10-(MAX(I535:I631)-I583))</f>
        <v>1.81130399287699</v>
      </c>
    </row>
    <row r="584" customFormat="false" ht="15" hidden="false" customHeight="false" outlineLevel="0" collapsed="false">
      <c r="A584" s="24" t="n">
        <v>46267.4583333333</v>
      </c>
      <c r="B584" s="10" t="n">
        <v>4.6797</v>
      </c>
      <c r="C584" s="10" t="n">
        <v>3.959</v>
      </c>
      <c r="D584" s="10" t="n">
        <f aca="false">IF(OR(B584="",C584="",B584&lt;=0.05,C584&lt;=0.05),0,1)</f>
        <v>1</v>
      </c>
      <c r="E584" s="25" t="n">
        <f aca="false">IF(OR(A584&lt;Resumen!$B$6,A584&gt;=Resumen!$B$7),0,MAX(0,AVERAGEIFS(B536:B632,D536:D632,1)-Resumen!$B$5*AVERAGEIFS(C536:C632,D536:D632,1)))</f>
        <v>0</v>
      </c>
      <c r="F584" s="10" t="n">
        <f aca="false">IF(B584="","",(B584-E584)/Resumen!$B$5)</f>
        <v>3.71699761715647</v>
      </c>
      <c r="G584" s="10" t="n">
        <f aca="false">IF(OR(F584="",C584=""),0,(F584-C584)*0.9)</f>
        <v>-0.217802144559173</v>
      </c>
      <c r="H584" s="26" t="n">
        <f aca="false">IF(A584&lt;Resumen!$B$11,"",IF(H583="",0,H583)+G584/Resumen!$B$9)</f>
        <v>0.287597006267802</v>
      </c>
      <c r="I584" s="26" t="n">
        <f aca="false">IF(H584="","",H584-AVERAGE(H536:H632))</f>
        <v>0.0497764475647711</v>
      </c>
      <c r="J584" s="27" t="n">
        <f aca="false">IF(I584="","",Resumen!$B$10-(MAX(I536:I632)-I584))</f>
        <v>1.80244706104297</v>
      </c>
    </row>
    <row r="585" customFormat="false" ht="15" hidden="false" customHeight="false" outlineLevel="0" collapsed="false">
      <c r="A585" s="24" t="n">
        <v>46267.46875</v>
      </c>
      <c r="B585" s="10" t="n">
        <v>3.0147</v>
      </c>
      <c r="C585" s="10" t="n">
        <v>3.8284</v>
      </c>
      <c r="D585" s="10" t="n">
        <f aca="false">IF(OR(B585="",C585="",B585&lt;=0.05,C585&lt;=0.05),0,1)</f>
        <v>1</v>
      </c>
      <c r="E585" s="25" t="n">
        <f aca="false">IF(OR(A585&lt;Resumen!$B$6,A585&gt;=Resumen!$B$7),0,MAX(0,AVERAGEIFS(B537:B633,D537:D633,1)-Resumen!$B$5*AVERAGEIFS(C537:C633,D537:D633,1)))</f>
        <v>0</v>
      </c>
      <c r="F585" s="10" t="n">
        <f aca="false">IF(B585="","",(B585-E585)/Resumen!$B$5)</f>
        <v>2.3945194598888</v>
      </c>
      <c r="G585" s="10" t="n">
        <f aca="false">IF(OR(F585="",C585=""),0,(F585-C585)*0.9)</f>
        <v>-1.29049248610008</v>
      </c>
      <c r="H585" s="26" t="n">
        <f aca="false">IF(A585&lt;Resumen!$B$11,"",IF(H584="",0,H584)+G585/Resumen!$B$9)</f>
        <v>0.226596859049526</v>
      </c>
      <c r="I585" s="26" t="n">
        <f aca="false">IF(H585="","",H585-AVERAGE(H537:H633))</f>
        <v>-0.00989391964163394</v>
      </c>
      <c r="J585" s="27" t="n">
        <f aca="false">IF(I585="","",Resumen!$B$10-(MAX(I537:I633)-I585))</f>
        <v>1.74277669383657</v>
      </c>
    </row>
    <row r="586" customFormat="false" ht="15" hidden="false" customHeight="false" outlineLevel="0" collapsed="false">
      <c r="A586" s="24" t="n">
        <v>46267.4791666667</v>
      </c>
      <c r="B586" s="10" t="n">
        <v>4.2195</v>
      </c>
      <c r="C586" s="10" t="n">
        <v>4.4202</v>
      </c>
      <c r="D586" s="10" t="n">
        <f aca="false">IF(OR(B586="",C586="",B586&lt;=0.05,C586&lt;=0.05),0,1)</f>
        <v>1</v>
      </c>
      <c r="E586" s="25" t="n">
        <f aca="false">IF(OR(A586&lt;Resumen!$B$6,A586&gt;=Resumen!$B$7),0,MAX(0,AVERAGEIFS(B538:B634,D538:D634,1)-Resumen!$B$5*AVERAGEIFS(C538:C634,D538:D634,1)))</f>
        <v>0</v>
      </c>
      <c r="F586" s="10" t="n">
        <f aca="false">IF(B586="","",(B586-E586)/Resumen!$B$5)</f>
        <v>3.35146942017474</v>
      </c>
      <c r="G586" s="10" t="n">
        <f aca="false">IF(OR(F586="",C586=""),0,(F586-C586)*0.9)</f>
        <v>-0.961857521842732</v>
      </c>
      <c r="H586" s="26" t="n">
        <f aca="false">IF(A586&lt;Resumen!$B$11,"",IF(H585="",0,H585)+G586/Resumen!$B$9)</f>
        <v>0.181130921767918</v>
      </c>
      <c r="I586" s="26" t="n">
        <f aca="false">IF(H586="","",H586-AVERAGE(H538:H634))</f>
        <v>-0.0540127835878337</v>
      </c>
      <c r="J586" s="27" t="n">
        <f aca="false">IF(I586="","",Resumen!$B$10-(MAX(I538:I634)-I586))</f>
        <v>1.69865782989037</v>
      </c>
    </row>
    <row r="587" customFormat="false" ht="15" hidden="false" customHeight="false" outlineLevel="0" collapsed="false">
      <c r="A587" s="24" t="n">
        <v>46267.4895833333</v>
      </c>
      <c r="B587" s="10" t="n">
        <v>6.1909</v>
      </c>
      <c r="C587" s="10" t="n">
        <v>3.7182</v>
      </c>
      <c r="D587" s="10" t="n">
        <f aca="false">IF(OR(B587="",C587="",B587&lt;=0.05,C587&lt;=0.05),0,1)</f>
        <v>1</v>
      </c>
      <c r="E587" s="25" t="n">
        <f aca="false">IF(OR(A587&lt;Resumen!$B$6,A587&gt;=Resumen!$B$7),0,MAX(0,AVERAGEIFS(B539:B635,D539:D635,1)-Resumen!$B$5*AVERAGEIFS(C539:C635,D539:D635,1)))</f>
        <v>0</v>
      </c>
      <c r="F587" s="10" t="n">
        <f aca="false">IF(B587="","",(B587-E587)/Resumen!$B$5)</f>
        <v>4.91731532962669</v>
      </c>
      <c r="G587" s="10" t="n">
        <f aca="false">IF(OR(F587="",C587=""),0,(F587-C587)*0.9)</f>
        <v>1.07920379666402</v>
      </c>
      <c r="H587" s="26" t="n">
        <f aca="false">IF(A587&lt;Resumen!$B$11,"",IF(H586="",0,H586)+G587/Resumen!$B$9)</f>
        <v>0.232143687192049</v>
      </c>
      <c r="I587" s="26" t="n">
        <f aca="false">IF(H587="","",H587-AVERAGE(H539:H635))</f>
        <v>-0.00189038927035975</v>
      </c>
      <c r="J587" s="27" t="n">
        <f aca="false">IF(I587="","",Resumen!$B$10-(MAX(I539:I635)-I587))</f>
        <v>1.75078022420784</v>
      </c>
    </row>
    <row r="588" customFormat="false" ht="15" hidden="false" customHeight="false" outlineLevel="0" collapsed="false">
      <c r="A588" s="24" t="n">
        <v>46267.5</v>
      </c>
      <c r="B588" s="10" t="n">
        <v>5.6865</v>
      </c>
      <c r="C588" s="10" t="n">
        <v>3.8428</v>
      </c>
      <c r="D588" s="10" t="n">
        <f aca="false">IF(OR(B588="",C588="",B588&lt;=0.05,C588&lt;=0.05),0,1)</f>
        <v>1</v>
      </c>
      <c r="E588" s="25" t="n">
        <f aca="false">IF(OR(A588&lt;Resumen!$B$6,A588&gt;=Resumen!$B$7),0,MAX(0,AVERAGEIFS(B540:B636,D540:D636,1)-Resumen!$B$5*AVERAGEIFS(C540:C636,D540:D636,1)))</f>
        <v>0</v>
      </c>
      <c r="F588" s="10" t="n">
        <f aca="false">IF(B588="","",(B588-E588)/Resumen!$B$5)</f>
        <v>4.51667990468626</v>
      </c>
      <c r="G588" s="10" t="n">
        <f aca="false">IF(OR(F588="",C588=""),0,(F588-C588)*0.9)</f>
        <v>0.606491914217633</v>
      </c>
      <c r="H588" s="26" t="n">
        <f aca="false">IF(A588&lt;Resumen!$B$11,"",IF(H587="",0,H587)+G588/Resumen!$B$9)</f>
        <v>0.26081188669918</v>
      </c>
      <c r="I588" s="26" t="n">
        <f aca="false">IF(H588="","",H588-AVERAGE(H540:H636))</f>
        <v>0.0275451476393803</v>
      </c>
      <c r="J588" s="27" t="n">
        <f aca="false">IF(I588="","",Resumen!$B$10-(MAX(I540:I636)-I588))</f>
        <v>1.78021576111758</v>
      </c>
    </row>
    <row r="589" customFormat="false" ht="15" hidden="false" customHeight="false" outlineLevel="0" collapsed="false">
      <c r="A589" s="24" t="n">
        <v>46267.5104166667</v>
      </c>
      <c r="B589" s="10" t="n">
        <v>4.1211</v>
      </c>
      <c r="C589" s="10" t="n">
        <v>3.0821</v>
      </c>
      <c r="D589" s="10" t="n">
        <f aca="false">IF(OR(B589="",C589="",B589&lt;=0.05,C589&lt;=0.05),0,1)</f>
        <v>1</v>
      </c>
      <c r="E589" s="25" t="n">
        <f aca="false">IF(OR(A589&lt;Resumen!$B$6,A589&gt;=Resumen!$B$7),0,MAX(0,AVERAGEIFS(B541:B637,D541:D637,1)-Resumen!$B$5*AVERAGEIFS(C541:C637,D541:D637,1)))</f>
        <v>0</v>
      </c>
      <c r="F589" s="10" t="n">
        <f aca="false">IF(B589="","",(B589-E589)/Resumen!$B$5)</f>
        <v>3.27331215250199</v>
      </c>
      <c r="G589" s="10" t="n">
        <f aca="false">IF(OR(F589="",C589=""),0,(F589-C589)*0.9)</f>
        <v>0.172090937251787</v>
      </c>
      <c r="H589" s="26" t="n">
        <f aca="false">IF(A589&lt;Resumen!$B$11,"",IF(H588="",0,H588)+G589/Resumen!$B$9)</f>
        <v>0.268946434261727</v>
      </c>
      <c r="I589" s="26" t="n">
        <f aca="false">IF(H589="","",H589-AVERAGE(H541:H637))</f>
        <v>0.036177208789048</v>
      </c>
      <c r="J589" s="27" t="n">
        <f aca="false">IF(I589="","",Resumen!$B$10-(MAX(I541:I637)-I589))</f>
        <v>1.78884782226725</v>
      </c>
    </row>
    <row r="590" customFormat="false" ht="15" hidden="false" customHeight="false" outlineLevel="0" collapsed="false">
      <c r="A590" s="24" t="n">
        <v>46267.5208333333</v>
      </c>
      <c r="B590" s="10" t="n">
        <v>2.181</v>
      </c>
      <c r="C590" s="10" t="n">
        <v>3.1582</v>
      </c>
      <c r="D590" s="10" t="n">
        <f aca="false">IF(OR(B590="",C590="",B590&lt;=0.05,C590&lt;=0.05),0,1)</f>
        <v>1</v>
      </c>
      <c r="E590" s="25" t="n">
        <f aca="false">IF(OR(A590&lt;Resumen!$B$6,A590&gt;=Resumen!$B$7),0,MAX(0,AVERAGEIFS(B542:B638,D542:D638,1)-Resumen!$B$5*AVERAGEIFS(C542:C638,D542:D638,1)))</f>
        <v>0</v>
      </c>
      <c r="F590" s="10" t="n">
        <f aca="false">IF(B590="","",(B590-E590)/Resumen!$B$5)</f>
        <v>1.73232724384432</v>
      </c>
      <c r="G590" s="10" t="n">
        <f aca="false">IF(OR(F590="",C590=""),0,(F590-C590)*0.9)</f>
        <v>-1.28328548054011</v>
      </c>
      <c r="H590" s="26" t="n">
        <f aca="false">IF(A590&lt;Resumen!$B$11,"",IF(H589="",0,H589)+G590/Resumen!$B$9)</f>
        <v>0.208286954195639</v>
      </c>
      <c r="I590" s="26" t="n">
        <f aca="false">IF(H590="","",H590-AVERAGE(H542:H638))</f>
        <v>-0.0238669818414262</v>
      </c>
      <c r="J590" s="27" t="n">
        <f aca="false">IF(I590="","",Resumen!$B$10-(MAX(I542:I638)-I590))</f>
        <v>1.72880363163677</v>
      </c>
    </row>
    <row r="591" customFormat="false" ht="15" hidden="false" customHeight="false" outlineLevel="0" collapsed="false">
      <c r="A591" s="24" t="n">
        <v>46267.53125</v>
      </c>
      <c r="B591" s="10" t="n">
        <v>3.6475</v>
      </c>
      <c r="C591" s="10" t="n">
        <v>4.3319</v>
      </c>
      <c r="D591" s="10" t="n">
        <f aca="false">IF(OR(B591="",C591="",B591&lt;=0.05,C591&lt;=0.05),0,1)</f>
        <v>1</v>
      </c>
      <c r="E591" s="25" t="n">
        <f aca="false">IF(OR(A591&lt;Resumen!$B$6,A591&gt;=Resumen!$B$7),0,MAX(0,AVERAGEIFS(B543:B639,D543:D639,1)-Resumen!$B$5*AVERAGEIFS(C543:C639,D543:D639,1)))</f>
        <v>0</v>
      </c>
      <c r="F591" s="10" t="n">
        <f aca="false">IF(B591="","",(B591-E591)/Resumen!$B$5)</f>
        <v>2.89714058776807</v>
      </c>
      <c r="G591" s="10" t="n">
        <f aca="false">IF(OR(F591="",C591=""),0,(F591-C591)*0.9)</f>
        <v>-1.29128347100874</v>
      </c>
      <c r="H591" s="26" t="n">
        <f aca="false">IF(A591&lt;Resumen!$B$11,"",IF(H590="",0,H590)+G591/Resumen!$B$9)</f>
        <v>0.147249417998818</v>
      </c>
      <c r="I591" s="26" t="n">
        <f aca="false">IF(H591="","",H591-AVERAGE(H543:H639))</f>
        <v>-0.0845373125684098</v>
      </c>
      <c r="J591" s="27" t="n">
        <f aca="false">IF(I591="","",Resumen!$B$10-(MAX(I543:I639)-I591))</f>
        <v>1.66813330090979</v>
      </c>
    </row>
    <row r="592" customFormat="false" ht="15" hidden="false" customHeight="false" outlineLevel="0" collapsed="false">
      <c r="A592" s="24" t="n">
        <v>46267.5416666667</v>
      </c>
      <c r="B592" s="10" t="n">
        <v>5.5414</v>
      </c>
      <c r="C592" s="10" t="n">
        <v>3.522</v>
      </c>
      <c r="D592" s="10" t="n">
        <f aca="false">IF(OR(B592="",C592="",B592&lt;=0.05,C592&lt;=0.05),0,1)</f>
        <v>1</v>
      </c>
      <c r="E592" s="25" t="n">
        <f aca="false">IF(OR(A592&lt;Resumen!$B$6,A592&gt;=Resumen!$B$7),0,MAX(0,AVERAGEIFS(B544:B640,D544:D640,1)-Resumen!$B$5*AVERAGEIFS(C544:C640,D544:D640,1)))</f>
        <v>0</v>
      </c>
      <c r="F592" s="10" t="n">
        <f aca="false">IF(B592="","",(B592-E592)/Resumen!$B$5)</f>
        <v>4.40142970611597</v>
      </c>
      <c r="G592" s="10" t="n">
        <f aca="false">IF(OR(F592="",C592=""),0,(F592-C592)*0.9)</f>
        <v>0.79148673550437</v>
      </c>
      <c r="H592" s="26" t="n">
        <f aca="false">IF(A592&lt;Resumen!$B$11,"",IF(H591="",0,H591)+G592/Resumen!$B$9)</f>
        <v>0.184662117341985</v>
      </c>
      <c r="I592" s="26" t="n">
        <f aca="false">IF(H592="","",H592-AVERAGE(H544:H640))</f>
        <v>-0.0474889344308153</v>
      </c>
      <c r="J592" s="27" t="n">
        <f aca="false">IF(I592="","",Resumen!$B$10-(MAX(I544:I640)-I592))</f>
        <v>1.70518167904739</v>
      </c>
    </row>
    <row r="593" customFormat="false" ht="15" hidden="false" customHeight="false" outlineLevel="0" collapsed="false">
      <c r="A593" s="24" t="n">
        <v>46267.5520833333</v>
      </c>
      <c r="B593" s="10" t="n">
        <v>5.5305</v>
      </c>
      <c r="C593" s="10" t="n">
        <v>4.5584</v>
      </c>
      <c r="D593" s="10" t="n">
        <f aca="false">IF(OR(B593="",C593="",B593&lt;=0.05,C593&lt;=0.05),0,1)</f>
        <v>1</v>
      </c>
      <c r="E593" s="25" t="n">
        <f aca="false">IF(OR(A593&lt;Resumen!$B$6,A593&gt;=Resumen!$B$7),0,MAX(0,AVERAGEIFS(B545:B641,D545:D641,1)-Resumen!$B$5*AVERAGEIFS(C545:C641,D545:D641,1)))</f>
        <v>0</v>
      </c>
      <c r="F593" s="10" t="n">
        <f aca="false">IF(B593="","",(B593-E593)/Resumen!$B$5)</f>
        <v>4.39277204130262</v>
      </c>
      <c r="G593" s="10" t="n">
        <f aca="false">IF(OR(F593="",C593=""),0,(F593-C593)*0.9)</f>
        <v>-0.14906516282764</v>
      </c>
      <c r="H593" s="26" t="n">
        <f aca="false">IF(A593&lt;Resumen!$B$11,"",IF(H592="",0,H592)+G593/Resumen!$B$9)</f>
        <v>0.177615972575128</v>
      </c>
      <c r="I593" s="26" t="n">
        <f aca="false">IF(H593="","",H593-AVERAGE(H545:H641))</f>
        <v>-0.0550598499303359</v>
      </c>
      <c r="J593" s="27" t="n">
        <f aca="false">IF(I593="","",Resumen!$B$10-(MAX(I545:I641)-I593))</f>
        <v>1.69761076354786</v>
      </c>
    </row>
    <row r="594" customFormat="false" ht="15" hidden="false" customHeight="false" outlineLevel="0" collapsed="false">
      <c r="A594" s="24" t="n">
        <v>46267.5625</v>
      </c>
      <c r="B594" s="10" t="n">
        <v>4.4722</v>
      </c>
      <c r="C594" s="10" t="n">
        <v>2.9506</v>
      </c>
      <c r="D594" s="10" t="n">
        <f aca="false">IF(OR(B594="",C594="",B594&lt;=0.05,C594&lt;=0.05),0,1)</f>
        <v>1</v>
      </c>
      <c r="E594" s="25" t="n">
        <f aca="false">IF(OR(A594&lt;Resumen!$B$6,A594&gt;=Resumen!$B$7),0,MAX(0,AVERAGEIFS(B546:B642,D546:D642,1)-Resumen!$B$5*AVERAGEIFS(C546:C642,D546:D642,1)))</f>
        <v>0</v>
      </c>
      <c r="F594" s="10" t="n">
        <f aca="false">IF(B594="","",(B594-E594)/Resumen!$B$5)</f>
        <v>3.55218427323272</v>
      </c>
      <c r="G594" s="10" t="n">
        <f aca="false">IF(OR(F594="",C594=""),0,(F594-C594)*0.9)</f>
        <v>0.541425845909452</v>
      </c>
      <c r="H594" s="26" t="n">
        <f aca="false">IF(A594&lt;Resumen!$B$11,"",IF(H593="",0,H593)+G594/Resumen!$B$9)</f>
        <v>0.203208571264382</v>
      </c>
      <c r="I594" s="26" t="n">
        <f aca="false">IF(H594="","",H594-AVERAGE(H546:H642))</f>
        <v>-0.0303176031108855</v>
      </c>
      <c r="J594" s="27" t="n">
        <f aca="false">IF(I594="","",Resumen!$B$10-(MAX(I546:I642)-I594))</f>
        <v>1.72235301036732</v>
      </c>
    </row>
    <row r="595" customFormat="false" ht="15" hidden="false" customHeight="false" outlineLevel="0" collapsed="false">
      <c r="A595" s="24" t="n">
        <v>46267.5729166667</v>
      </c>
      <c r="B595" s="10" t="n">
        <v>3.5971</v>
      </c>
      <c r="C595" s="10" t="n">
        <v>2.9447</v>
      </c>
      <c r="D595" s="10" t="n">
        <f aca="false">IF(OR(B595="",C595="",B595&lt;=0.05,C595&lt;=0.05),0,1)</f>
        <v>1</v>
      </c>
      <c r="E595" s="25" t="n">
        <f aca="false">IF(OR(A595&lt;Resumen!$B$6,A595&gt;=Resumen!$B$7),0,MAX(0,AVERAGEIFS(B547:B643,D547:D643,1)-Resumen!$B$5*AVERAGEIFS(C547:C643,D547:D643,1)))</f>
        <v>0</v>
      </c>
      <c r="F595" s="10" t="n">
        <f aca="false">IF(B595="","",(B595-E595)/Resumen!$B$5)</f>
        <v>2.85710881652105</v>
      </c>
      <c r="G595" s="10" t="n">
        <f aca="false">IF(OR(F595="",C595=""),0,(F595-C595)*0.9)</f>
        <v>-0.0788320651310562</v>
      </c>
      <c r="H595" s="26" t="n">
        <f aca="false">IF(A595&lt;Resumen!$B$11,"",IF(H594="",0,H594)+G595/Resumen!$B$9)</f>
        <v>0.199482267058576</v>
      </c>
      <c r="I595" s="26" t="n">
        <f aca="false">IF(H595="","",H595-AVERAGE(H547:H643))</f>
        <v>-0.0352808240309254</v>
      </c>
      <c r="J595" s="27" t="n">
        <f aca="false">IF(I595="","",Resumen!$B$10-(MAX(I547:I643)-I595))</f>
        <v>1.69421915390011</v>
      </c>
    </row>
    <row r="596" customFormat="false" ht="15" hidden="false" customHeight="false" outlineLevel="0" collapsed="false">
      <c r="A596" s="24" t="n">
        <v>46267.5833333333</v>
      </c>
      <c r="B596" s="10" t="n">
        <v>2.7272</v>
      </c>
      <c r="C596" s="10" t="n">
        <v>3.1233</v>
      </c>
      <c r="D596" s="10" t="n">
        <f aca="false">IF(OR(B596="",C596="",B596&lt;=0.05,C596&lt;=0.05),0,1)</f>
        <v>1</v>
      </c>
      <c r="E596" s="25" t="n">
        <f aca="false">IF(OR(A596&lt;Resumen!$B$6,A596&gt;=Resumen!$B$7),0,MAX(0,AVERAGEIFS(B548:B644,D548:D644,1)-Resumen!$B$5*AVERAGEIFS(C548:C644,D548:D644,1)))</f>
        <v>0</v>
      </c>
      <c r="F596" s="10" t="n">
        <f aca="false">IF(B596="","",(B596-E596)/Resumen!$B$5)</f>
        <v>2.16616362192216</v>
      </c>
      <c r="G596" s="10" t="n">
        <f aca="false">IF(OR(F596="",C596=""),0,(F596-C596)*0.9)</f>
        <v>-0.861422740270056</v>
      </c>
      <c r="H596" s="26" t="n">
        <f aca="false">IF(A596&lt;Resumen!$B$11,"",IF(H595="",0,H595)+G596/Resumen!$B$9)</f>
        <v>0.158763770407392</v>
      </c>
      <c r="I596" s="26" t="n">
        <f aca="false">IF(H596="","",H596-AVERAGE(H548:H644))</f>
        <v>-0.0773411105367033</v>
      </c>
      <c r="J596" s="27" t="n">
        <f aca="false">IF(I596="","",Resumen!$B$10-(MAX(I548:I644)-I596))</f>
        <v>1.65215886739433</v>
      </c>
    </row>
    <row r="597" customFormat="false" ht="15" hidden="false" customHeight="false" outlineLevel="0" collapsed="false">
      <c r="A597" s="24" t="n">
        <v>46267.59375</v>
      </c>
      <c r="B597" s="10" t="n">
        <v>4.541</v>
      </c>
      <c r="C597" s="10" t="n">
        <v>3.6227</v>
      </c>
      <c r="D597" s="10" t="n">
        <f aca="false">IF(OR(B597="",C597="",B597&lt;=0.05,C597&lt;=0.05),0,1)</f>
        <v>1</v>
      </c>
      <c r="E597" s="25" t="n">
        <f aca="false">IF(OR(A597&lt;Resumen!$B$6,A597&gt;=Resumen!$B$7),0,MAX(0,AVERAGEIFS(B549:B645,D549:D645,1)-Resumen!$B$5*AVERAGEIFS(C549:C645,D549:D645,1)))</f>
        <v>0</v>
      </c>
      <c r="F597" s="10" t="n">
        <f aca="false">IF(B597="","",(B597-E597)/Resumen!$B$5)</f>
        <v>3.60683081810961</v>
      </c>
      <c r="G597" s="10" t="n">
        <f aca="false">IF(OR(F597="",C597=""),0,(F597-C597)*0.9)</f>
        <v>-0.0142822637013496</v>
      </c>
      <c r="H597" s="26" t="n">
        <f aca="false">IF(A597&lt;Resumen!$B$11,"",IF(H596="",0,H596)+G597/Resumen!$B$9)</f>
        <v>0.158088663657236</v>
      </c>
      <c r="I597" s="26" t="n">
        <f aca="false">IF(H597="","",H597-AVERAGE(H549:H645))</f>
        <v>-0.0792548955561668</v>
      </c>
      <c r="J597" s="27" t="n">
        <f aca="false">IF(I597="","",Resumen!$B$10-(MAX(I549:I645)-I597))</f>
        <v>1.65024508237487</v>
      </c>
    </row>
    <row r="598" customFormat="false" ht="15" hidden="false" customHeight="false" outlineLevel="0" collapsed="false">
      <c r="A598" s="24" t="n">
        <v>46267.6041666667</v>
      </c>
      <c r="B598" s="10" t="n">
        <v>4.7949</v>
      </c>
      <c r="C598" s="10" t="n">
        <v>2.9694</v>
      </c>
      <c r="D598" s="10" t="n">
        <f aca="false">IF(OR(B598="",C598="",B598&lt;=0.05,C598&lt;=0.05),0,1)</f>
        <v>1</v>
      </c>
      <c r="E598" s="25" t="n">
        <f aca="false">IF(OR(A598&lt;Resumen!$B$6,A598&gt;=Resumen!$B$7),0,MAX(0,AVERAGEIFS(B550:B646,D550:D646,1)-Resumen!$B$5*AVERAGEIFS(C550:C646,D550:D646,1)))</f>
        <v>0</v>
      </c>
      <c r="F598" s="10" t="n">
        <f aca="false">IF(B598="","",(B598-E598)/Resumen!$B$5)</f>
        <v>3.80849880857824</v>
      </c>
      <c r="G598" s="10" t="n">
        <f aca="false">IF(OR(F598="",C598=""),0,(F598-C598)*0.9)</f>
        <v>0.755188927720414</v>
      </c>
      <c r="H598" s="26" t="n">
        <f aca="false">IF(A598&lt;Resumen!$B$11,"",IF(H597="",0,H597)+G598/Resumen!$B$9)</f>
        <v>0.193785605921326</v>
      </c>
      <c r="I598" s="26" t="n">
        <f aca="false">IF(H598="","",H598-AVERAGE(H550:H646))</f>
        <v>-0.0446342004590129</v>
      </c>
      <c r="J598" s="27" t="n">
        <f aca="false">IF(I598="","",Resumen!$B$10-(MAX(I550:I646)-I598))</f>
        <v>1.68486577747202</v>
      </c>
    </row>
    <row r="599" customFormat="false" ht="15" hidden="false" customHeight="false" outlineLevel="0" collapsed="false">
      <c r="A599" s="24" t="n">
        <v>46267.6145833333</v>
      </c>
      <c r="B599" s="10" t="n">
        <v>4.9759</v>
      </c>
      <c r="C599" s="10" t="n">
        <v>3.0743</v>
      </c>
      <c r="D599" s="10" t="n">
        <f aca="false">IF(OR(B599="",C599="",B599&lt;=0.05,C599&lt;=0.05),0,1)</f>
        <v>1</v>
      </c>
      <c r="E599" s="25" t="n">
        <f aca="false">IF(OR(A599&lt;Resumen!$B$6,A599&gt;=Resumen!$B$7),0,MAX(0,AVERAGEIFS(B551:B647,D551:D647,1)-Resumen!$B$5*AVERAGEIFS(C551:C647,D551:D647,1)))</f>
        <v>0</v>
      </c>
      <c r="F599" s="10" t="n">
        <f aca="false">IF(B599="","",(B599-E599)/Resumen!$B$5)</f>
        <v>3.95226370135028</v>
      </c>
      <c r="G599" s="10" t="n">
        <f aca="false">IF(OR(F599="",C599=""),0,(F599-C599)*0.9)</f>
        <v>0.790167331215251</v>
      </c>
      <c r="H599" s="26" t="n">
        <f aca="false">IF(A599&lt;Resumen!$B$11,"",IF(H598="",0,H598)+G599/Resumen!$B$9)</f>
        <v>0.231135938488443</v>
      </c>
      <c r="I599" s="26" t="n">
        <f aca="false">IF(H599="","",H599-AVERAGE(H551:H647))</f>
        <v>-0.00849547120465433</v>
      </c>
      <c r="J599" s="27" t="n">
        <f aca="false">IF(I599="","",Resumen!$B$10-(MAX(I551:I647)-I599))</f>
        <v>1.72100450672638</v>
      </c>
    </row>
    <row r="600" customFormat="false" ht="15" hidden="false" customHeight="false" outlineLevel="0" collapsed="false">
      <c r="A600" s="24" t="n">
        <v>46267.625</v>
      </c>
      <c r="B600" s="10" t="n">
        <v>3.9503</v>
      </c>
      <c r="C600" s="10" t="n">
        <v>2.8868</v>
      </c>
      <c r="D600" s="10" t="n">
        <f aca="false">IF(OR(B600="",C600="",B600&lt;=0.05,C600&lt;=0.05),0,1)</f>
        <v>1</v>
      </c>
      <c r="E600" s="25" t="n">
        <f aca="false">IF(OR(A600&lt;Resumen!$B$6,A600&gt;=Resumen!$B$7),0,MAX(0,AVERAGEIFS(B552:B648,D552:D648,1)-Resumen!$B$5*AVERAGEIFS(C552:C648,D552:D648,1)))</f>
        <v>0</v>
      </c>
      <c r="F600" s="10" t="n">
        <f aca="false">IF(B600="","",(B600-E600)/Resumen!$B$5)</f>
        <v>3.13764892772041</v>
      </c>
      <c r="G600" s="10" t="n">
        <f aca="false">IF(OR(F600="",C600=""),0,(F600-C600)*0.9)</f>
        <v>0.225764034948372</v>
      </c>
      <c r="H600" s="26" t="n">
        <f aca="false">IF(A600&lt;Resumen!$B$11,"",IF(H599="",0,H599)+G600/Resumen!$B$9)</f>
        <v>0.241807553795604</v>
      </c>
      <c r="I600" s="26" t="n">
        <f aca="false">IF(H600="","",H600-AVERAGE(H552:H648))</f>
        <v>0.000687377056952876</v>
      </c>
      <c r="J600" s="27" t="n">
        <f aca="false">IF(I600="","",Resumen!$B$10-(MAX(I552:I648)-I600))</f>
        <v>1.73018735498799</v>
      </c>
    </row>
    <row r="601" customFormat="false" ht="15" hidden="false" customHeight="false" outlineLevel="0" collapsed="false">
      <c r="A601" s="24" t="n">
        <v>46267.6354166667</v>
      </c>
      <c r="B601" s="10" t="n">
        <v>2.5493</v>
      </c>
      <c r="C601" s="10" t="n">
        <v>2.5465</v>
      </c>
      <c r="D601" s="10" t="n">
        <f aca="false">IF(OR(B601="",C601="",B601&lt;=0.05,C601&lt;=0.05),0,1)</f>
        <v>1</v>
      </c>
      <c r="E601" s="25" t="n">
        <f aca="false">IF(OR(A601&lt;Resumen!$B$6,A601&gt;=Resumen!$B$7),0,MAX(0,AVERAGEIFS(B553:B649,D553:D649,1)-Resumen!$B$5*AVERAGEIFS(C553:C649,D553:D649,1)))</f>
        <v>0</v>
      </c>
      <c r="F601" s="10" t="n">
        <f aca="false">IF(B601="","",(B601-E601)/Resumen!$B$5)</f>
        <v>2.02486100079428</v>
      </c>
      <c r="G601" s="10" t="n">
        <f aca="false">IF(OR(F601="",C601=""),0,(F601-C601)*0.9)</f>
        <v>-0.469475099285147</v>
      </c>
      <c r="H601" s="26" t="n">
        <f aca="false">IF(A601&lt;Resumen!$B$11,"",IF(H600="",0,H600)+G601/Resumen!$B$9)</f>
        <v>0.219615987025422</v>
      </c>
      <c r="I601" s="26" t="n">
        <f aca="false">IF(H601="","",H601-AVERAGE(H553:H649))</f>
        <v>-0.0226378204214713</v>
      </c>
      <c r="J601" s="27" t="n">
        <f aca="false">IF(I601="","",Resumen!$B$10-(MAX(I553:I649)-I601))</f>
        <v>1.70686215750957</v>
      </c>
    </row>
    <row r="602" customFormat="false" ht="15" hidden="false" customHeight="false" outlineLevel="0" collapsed="false">
      <c r="A602" s="24" t="n">
        <v>46267.6458333333</v>
      </c>
      <c r="B602" s="10" t="n">
        <v>4.255</v>
      </c>
      <c r="C602" s="10" t="n">
        <v>3.0686</v>
      </c>
      <c r="D602" s="10" t="n">
        <f aca="false">IF(OR(B602="",C602="",B602&lt;=0.05,C602&lt;=0.05),0,1)</f>
        <v>1</v>
      </c>
      <c r="E602" s="25" t="n">
        <f aca="false">IF(OR(A602&lt;Resumen!$B$6,A602&gt;=Resumen!$B$7),0,MAX(0,AVERAGEIFS(B554:B650,D554:D650,1)-Resumen!$B$5*AVERAGEIFS(C554:C650,D554:D650,1)))</f>
        <v>0</v>
      </c>
      <c r="F602" s="10" t="n">
        <f aca="false">IF(B602="","",(B602-E602)/Resumen!$B$5)</f>
        <v>3.37966640190628</v>
      </c>
      <c r="G602" s="10" t="n">
        <f aca="false">IF(OR(F602="",C602=""),0,(F602-C602)*0.9)</f>
        <v>0.279959761715648</v>
      </c>
      <c r="H602" s="26" t="n">
        <f aca="false">IF(A602&lt;Resumen!$B$11,"",IF(H601="",0,H601)+G602/Resumen!$B$9)</f>
        <v>0.23284937417319</v>
      </c>
      <c r="I602" s="26" t="n">
        <f aca="false">IF(H602="","",H602-AVERAGE(H554:H650))</f>
        <v>-0.0105337744239531</v>
      </c>
      <c r="J602" s="27" t="n">
        <f aca="false">IF(I602="","",Resumen!$B$10-(MAX(I554:I650)-I602))</f>
        <v>1.71896620350708</v>
      </c>
    </row>
    <row r="603" customFormat="false" ht="15" hidden="false" customHeight="false" outlineLevel="0" collapsed="false">
      <c r="A603" s="24" t="n">
        <v>46267.65625</v>
      </c>
      <c r="B603" s="10" t="n">
        <v>4.6562</v>
      </c>
      <c r="C603" s="10" t="n">
        <v>2.9237</v>
      </c>
      <c r="D603" s="10" t="n">
        <f aca="false">IF(OR(B603="",C603="",B603&lt;=0.05,C603&lt;=0.05),0,1)</f>
        <v>1</v>
      </c>
      <c r="E603" s="25" t="n">
        <f aca="false">IF(OR(A603&lt;Resumen!$B$6,A603&gt;=Resumen!$B$7),0,MAX(0,AVERAGEIFS(B555:B651,D555:D651,1)-Resumen!$B$5*AVERAGEIFS(C555:C651,D555:D651,1)))</f>
        <v>0</v>
      </c>
      <c r="F603" s="10" t="n">
        <f aca="false">IF(B603="","",(B603-E603)/Resumen!$B$5)</f>
        <v>3.69833200953137</v>
      </c>
      <c r="G603" s="10" t="n">
        <f aca="false">IF(OR(F603="",C603=""),0,(F603-C603)*0.9)</f>
        <v>0.697168808578237</v>
      </c>
      <c r="H603" s="26" t="n">
        <f aca="false">IF(A603&lt;Resumen!$B$11,"",IF(H602="",0,H602)+G603/Resumen!$B$9)</f>
        <v>0.265803769814642</v>
      </c>
      <c r="I603" s="26" t="n">
        <f aca="false">IF(H603="","",H603-AVERAGE(H555:H651))</f>
        <v>0.0211885288887165</v>
      </c>
      <c r="J603" s="27" t="n">
        <f aca="false">IF(I603="","",Resumen!$B$10-(MAX(I555:I651)-I603))</f>
        <v>1.75068850681975</v>
      </c>
    </row>
    <row r="604" customFormat="false" ht="15" hidden="false" customHeight="false" outlineLevel="0" collapsed="false">
      <c r="A604" s="24" t="n">
        <v>46267.6666666667</v>
      </c>
      <c r="B604" s="10" t="n">
        <v>5.5733</v>
      </c>
      <c r="C604" s="10" t="n">
        <v>3.1054</v>
      </c>
      <c r="D604" s="10" t="n">
        <f aca="false">IF(OR(B604="",C604="",B604&lt;=0.05,C604&lt;=0.05),0,1)</f>
        <v>1</v>
      </c>
      <c r="E604" s="25" t="n">
        <f aca="false">IF(OR(A604&lt;Resumen!$B$6,A604&gt;=Resumen!$B$7),0,MAX(0,AVERAGEIFS(B556:B652,D556:D652,1)-Resumen!$B$5*AVERAGEIFS(C556:C652,D556:D652,1)))</f>
        <v>0</v>
      </c>
      <c r="F604" s="10" t="n">
        <f aca="false">IF(B604="","",(B604-E604)/Resumen!$B$5)</f>
        <v>4.42676727561557</v>
      </c>
      <c r="G604" s="10" t="n">
        <f aca="false">IF(OR(F604="",C604=""),0,(F604-C604)*0.9)</f>
        <v>1.18923054805401</v>
      </c>
      <c r="H604" s="26" t="n">
        <f aca="false">IF(A604&lt;Resumen!$B$11,"",IF(H603="",0,H603)+G604/Resumen!$B$9)</f>
        <v>0.322017377634238</v>
      </c>
      <c r="I604" s="26" t="n">
        <f aca="false">IF(H604="","",H604-AVERAGE(H556:H652))</f>
        <v>0.0761713062908682</v>
      </c>
      <c r="J604" s="27" t="n">
        <f aca="false">IF(I604="","",Resumen!$B$10-(MAX(I556:I652)-I604))</f>
        <v>1.80567128422191</v>
      </c>
    </row>
    <row r="605" customFormat="false" ht="15" hidden="false" customHeight="false" outlineLevel="0" collapsed="false">
      <c r="A605" s="24" t="n">
        <v>46267.6770833333</v>
      </c>
      <c r="B605" s="10" t="n">
        <v>2.6654</v>
      </c>
      <c r="C605" s="10" t="n">
        <v>3.3305</v>
      </c>
      <c r="D605" s="10" t="n">
        <f aca="false">IF(OR(B605="",C605="",B605&lt;=0.05,C605&lt;=0.05),0,1)</f>
        <v>1</v>
      </c>
      <c r="E605" s="25" t="n">
        <f aca="false">IF(OR(A605&lt;Resumen!$B$6,A605&gt;=Resumen!$B$7),0,MAX(0,AVERAGEIFS(B557:B653,D557:D653,1)-Resumen!$B$5*AVERAGEIFS(C557:C653,D557:D653,1)))</f>
        <v>0</v>
      </c>
      <c r="F605" s="10" t="n">
        <f aca="false">IF(B605="","",(B605-E605)/Resumen!$B$5)</f>
        <v>2.11707704527403</v>
      </c>
      <c r="G605" s="10" t="n">
        <f aca="false">IF(OR(F605="",C605=""),0,(F605-C605)*0.9)</f>
        <v>-1.09208065925338</v>
      </c>
      <c r="H605" s="26" t="n">
        <f aca="false">IF(A605&lt;Resumen!$B$11,"",IF(H604="",0,H604)+G605/Resumen!$B$9)</f>
        <v>0.270395937210352</v>
      </c>
      <c r="I605" s="26" t="n">
        <f aca="false">IF(H605="","",H605-AVERAGE(H557:H653))</f>
        <v>0.0231063513277516</v>
      </c>
      <c r="J605" s="27" t="n">
        <f aca="false">IF(I605="","",Resumen!$B$10-(MAX(I557:I653)-I605))</f>
        <v>1.75260632925879</v>
      </c>
    </row>
    <row r="606" customFormat="false" ht="15" hidden="false" customHeight="false" outlineLevel="0" collapsed="false">
      <c r="A606" s="24" t="n">
        <v>46267.6875</v>
      </c>
      <c r="B606" s="10" t="n">
        <v>2.3065</v>
      </c>
      <c r="C606" s="10" t="n">
        <v>2.9965</v>
      </c>
      <c r="D606" s="10" t="n">
        <f aca="false">IF(OR(B606="",C606="",B606&lt;=0.05,C606&lt;=0.05),0,1)</f>
        <v>1</v>
      </c>
      <c r="E606" s="25" t="n">
        <f aca="false">IF(OR(A606&lt;Resumen!$B$6,A606&gt;=Resumen!$B$7),0,MAX(0,AVERAGEIFS(B558:B654,D558:D654,1)-Resumen!$B$5*AVERAGEIFS(C558:C654,D558:D654,1)))</f>
        <v>0</v>
      </c>
      <c r="F606" s="10" t="n">
        <f aca="false">IF(B606="","",(B606-E606)/Resumen!$B$5)</f>
        <v>1.83200953137411</v>
      </c>
      <c r="G606" s="10" t="n">
        <f aca="false">IF(OR(F606="",C606=""),0,(F606-C606)*0.9)</f>
        <v>-1.0480414217633</v>
      </c>
      <c r="H606" s="26" t="n">
        <f aca="false">IF(A606&lt;Resumen!$B$11,"",IF(H605="",0,H605)+G606/Resumen!$B$9)</f>
        <v>0.220856182653846</v>
      </c>
      <c r="I606" s="26" t="n">
        <f aca="false">IF(H606="","",H606-AVERAGE(H558:H654))</f>
        <v>-0.0284505411381242</v>
      </c>
      <c r="J606" s="27" t="n">
        <f aca="false">IF(I606="","",Resumen!$B$10-(MAX(I558:I654)-I606))</f>
        <v>1.6808542539234</v>
      </c>
    </row>
    <row r="607" customFormat="false" ht="15" hidden="false" customHeight="false" outlineLevel="0" collapsed="false">
      <c r="A607" s="24" t="n">
        <v>46267.6979166667</v>
      </c>
      <c r="B607" s="10" t="n">
        <v>4.9066</v>
      </c>
      <c r="C607" s="10" t="n">
        <v>2.5005</v>
      </c>
      <c r="D607" s="10" t="n">
        <f aca="false">IF(OR(B607="",C607="",B607&lt;=0.05,C607&lt;=0.05),0,1)</f>
        <v>1</v>
      </c>
      <c r="E607" s="25" t="n">
        <f aca="false">IF(OR(A607&lt;Resumen!$B$6,A607&gt;=Resumen!$B$7),0,MAX(0,AVERAGEIFS(B559:B655,D559:D655,1)-Resumen!$B$5*AVERAGEIFS(C559:C655,D559:D655,1)))</f>
        <v>0</v>
      </c>
      <c r="F607" s="10" t="n">
        <f aca="false">IF(B607="","",(B607-E607)/Resumen!$B$5)</f>
        <v>3.89722001588562</v>
      </c>
      <c r="G607" s="10" t="n">
        <f aca="false">IF(OR(F607="",C607=""),0,(F607-C607)*0.9)</f>
        <v>1.25704801429706</v>
      </c>
      <c r="H607" s="26" t="n">
        <f aca="false">IF(A607&lt;Resumen!$B$11,"",IF(H606="",0,H606)+G607/Resumen!$B$9)</f>
        <v>0.280275446817323</v>
      </c>
      <c r="I607" s="26" t="n">
        <f aca="false">IF(H607="","",H607-AVERAGE(H559:H655))</f>
        <v>0.0291033679509658</v>
      </c>
      <c r="J607" s="27" t="n">
        <f aca="false">IF(I607="","",Resumen!$B$10-(MAX(I559:I655)-I607))</f>
        <v>1.73840816301249</v>
      </c>
    </row>
    <row r="608" customFormat="false" ht="15" hidden="false" customHeight="false" outlineLevel="0" collapsed="false">
      <c r="A608" s="24" t="n">
        <v>46267.7083333333</v>
      </c>
      <c r="B608" s="10" t="n">
        <v>3.2124</v>
      </c>
      <c r="C608" s="10" t="n">
        <v>2.3794</v>
      </c>
      <c r="D608" s="10" t="n">
        <f aca="false">IF(OR(B608="",C608="",B608&lt;=0.05,C608&lt;=0.05),0,1)</f>
        <v>1</v>
      </c>
      <c r="E608" s="25" t="n">
        <f aca="false">IF(OR(A608&lt;Resumen!$B$6,A608&gt;=Resumen!$B$7),0,MAX(0,AVERAGEIFS(B560:B656,D560:D656,1)-Resumen!$B$5*AVERAGEIFS(C560:C656,D560:D656,1)))</f>
        <v>0</v>
      </c>
      <c r="F608" s="10" t="n">
        <f aca="false">IF(B608="","",(B608-E608)/Resumen!$B$5)</f>
        <v>2.5515488482923</v>
      </c>
      <c r="G608" s="10" t="n">
        <f aca="false">IF(OR(F608="",C608=""),0,(F608-C608)*0.9)</f>
        <v>0.154933963463066</v>
      </c>
      <c r="H608" s="26" t="n">
        <f aca="false">IF(A608&lt;Resumen!$B$11,"",IF(H607="",0,H607)+G608/Resumen!$B$9)</f>
        <v>0.287599003275152</v>
      </c>
      <c r="I608" s="26" t="n">
        <f aca="false">IF(H608="","",H608-AVERAGE(H560:H656))</f>
        <v>0.0353142133862772</v>
      </c>
      <c r="J608" s="27" t="n">
        <f aca="false">IF(I608="","",Resumen!$B$10-(MAX(I560:I656)-I608))</f>
        <v>1.74461900844781</v>
      </c>
    </row>
    <row r="609" customFormat="false" ht="15" hidden="false" customHeight="false" outlineLevel="0" collapsed="false">
      <c r="A609" s="24" t="n">
        <v>46267.71875</v>
      </c>
      <c r="B609" s="10" t="n">
        <v>4.1547</v>
      </c>
      <c r="C609" s="10" t="n">
        <v>2.8688</v>
      </c>
      <c r="D609" s="10" t="n">
        <f aca="false">IF(OR(B609="",C609="",B609&lt;=0.05,C609&lt;=0.05),0,1)</f>
        <v>1</v>
      </c>
      <c r="E609" s="25" t="n">
        <f aca="false">IF(OR(A609&lt;Resumen!$B$6,A609&gt;=Resumen!$B$7),0,MAX(0,AVERAGEIFS(B561:B657,D561:D657,1)-Resumen!$B$5*AVERAGEIFS(C561:C657,D561:D657,1)))</f>
        <v>0</v>
      </c>
      <c r="F609" s="10" t="n">
        <f aca="false">IF(B609="","",(B609-E609)/Resumen!$B$5)</f>
        <v>3.3</v>
      </c>
      <c r="G609" s="10" t="n">
        <f aca="false">IF(OR(F609="",C609=""),0,(F609-C609)*0.9)</f>
        <v>0.38808</v>
      </c>
      <c r="H609" s="26" t="n">
        <f aca="false">IF(A609&lt;Resumen!$B$11,"",IF(H608="",0,H608)+G609/Resumen!$B$9)</f>
        <v>0.305943114060337</v>
      </c>
      <c r="I609" s="26" t="n">
        <f aca="false">IF(H609="","",H609-AVERAGE(H561:H657))</f>
        <v>0.0532157999602246</v>
      </c>
      <c r="J609" s="27" t="n">
        <f aca="false">IF(I609="","",Resumen!$B$10-(MAX(I561:I657)-I609))</f>
        <v>1.76252059502175</v>
      </c>
    </row>
    <row r="610" customFormat="false" ht="15" hidden="false" customHeight="false" outlineLevel="0" collapsed="false">
      <c r="A610" s="24" t="n">
        <v>46267.7291666667</v>
      </c>
      <c r="B610" s="10" t="n">
        <v>3.3734</v>
      </c>
      <c r="C610" s="10" t="n">
        <v>3.0985</v>
      </c>
      <c r="D610" s="10" t="n">
        <f aca="false">IF(OR(B610="",C610="",B610&lt;=0.05,C610&lt;=0.05),0,1)</f>
        <v>1</v>
      </c>
      <c r="E610" s="25" t="n">
        <f aca="false">IF(OR(A610&lt;Resumen!$B$6,A610&gt;=Resumen!$B$7),0,MAX(0,AVERAGEIFS(B562:B658,D562:D658,1)-Resumen!$B$5*AVERAGEIFS(C562:C658,D562:D658,1)))</f>
        <v>0</v>
      </c>
      <c r="F610" s="10" t="n">
        <f aca="false">IF(B610="","",(B610-E610)/Resumen!$B$5)</f>
        <v>2.67942811755361</v>
      </c>
      <c r="G610" s="10" t="n">
        <f aca="false">IF(OR(F610="",C610=""),0,(F610-C610)*0.9)</f>
        <v>-0.377164694201747</v>
      </c>
      <c r="H610" s="26" t="n">
        <f aca="false">IF(A610&lt;Resumen!$B$11,"",IF(H609="",0,H609)+G610/Resumen!$B$9)</f>
        <v>0.288114957662952</v>
      </c>
      <c r="I610" s="26" t="n">
        <f aca="false">IF(H610="","",H610-AVERAGE(H562:H658))</f>
        <v>0.0343784949998236</v>
      </c>
      <c r="J610" s="27" t="n">
        <f aca="false">IF(I610="","",Resumen!$B$10-(MAX(I562:I658)-I610))</f>
        <v>1.74368329006135</v>
      </c>
    </row>
    <row r="611" customFormat="false" ht="15" hidden="false" customHeight="false" outlineLevel="0" collapsed="false">
      <c r="A611" s="24" t="n">
        <v>46267.7395833333</v>
      </c>
      <c r="B611" s="10" t="n">
        <v>2.497</v>
      </c>
      <c r="C611" s="10" t="n">
        <v>3.1652</v>
      </c>
      <c r="D611" s="10" t="n">
        <f aca="false">IF(OR(B611="",C611="",B611&lt;=0.05,C611&lt;=0.05),0,1)</f>
        <v>1</v>
      </c>
      <c r="E611" s="25" t="n">
        <f aca="false">IF(OR(A611&lt;Resumen!$B$6,A611&gt;=Resumen!$B$7),0,MAX(0,AVERAGEIFS(B563:B659,D563:D659,1)-Resumen!$B$5*AVERAGEIFS(C563:C659,D563:D659,1)))</f>
        <v>0</v>
      </c>
      <c r="F611" s="10" t="n">
        <f aca="false">IF(B611="","",(B611-E611)/Resumen!$B$5)</f>
        <v>1.98332009531374</v>
      </c>
      <c r="G611" s="10" t="n">
        <f aca="false">IF(OR(F611="",C611=""),0,(F611-C611)*0.9)</f>
        <v>-1.06369191421763</v>
      </c>
      <c r="H611" s="26" t="n">
        <f aca="false">IF(A611&lt;Resumen!$B$11,"",IF(H610="",0,H610)+G611/Resumen!$B$9)</f>
        <v>0.237835421702032</v>
      </c>
      <c r="I611" s="26" t="n">
        <f aca="false">IF(H611="","",H611-AVERAGE(H563:H659))</f>
        <v>-0.0168690311493444</v>
      </c>
      <c r="J611" s="27" t="n">
        <f aca="false">IF(I611="","",Resumen!$B$10-(MAX(I563:I659)-I611))</f>
        <v>1.69243576391218</v>
      </c>
    </row>
    <row r="612" customFormat="false" ht="15" hidden="false" customHeight="false" outlineLevel="0" collapsed="false">
      <c r="A612" s="24" t="n">
        <v>46267.75</v>
      </c>
      <c r="B612" s="10" t="n">
        <v>3.8738</v>
      </c>
      <c r="C612" s="10" t="n">
        <v>2.6081</v>
      </c>
      <c r="D612" s="10" t="n">
        <f aca="false">IF(OR(B612="",C612="",B612&lt;=0.05,C612&lt;=0.05),0,1)</f>
        <v>1</v>
      </c>
      <c r="E612" s="25" t="n">
        <f aca="false">IF(OR(A612&lt;Resumen!$B$6,A612&gt;=Resumen!$B$7),0,MAX(0,AVERAGEIFS(B564:B660,D564:D660,1)-Resumen!$B$5*AVERAGEIFS(C564:C660,D564:D660,1)))</f>
        <v>0</v>
      </c>
      <c r="F612" s="10" t="n">
        <f aca="false">IF(B612="","",(B612-E612)/Resumen!$B$5)</f>
        <v>3.0768864177919</v>
      </c>
      <c r="G612" s="10" t="n">
        <f aca="false">IF(OR(F612="",C612=""),0,(F612-C612)*0.9)</f>
        <v>0.421907776012709</v>
      </c>
      <c r="H612" s="26" t="n">
        <f aca="false">IF(A612&lt;Resumen!$B$11,"",IF(H611="",0,H611)+G612/Resumen!$B$9)</f>
        <v>0.257778533906495</v>
      </c>
      <c r="I612" s="26" t="n">
        <f aca="false">IF(H612="","",H612-AVERAGE(H564:H660))</f>
        <v>0.00293242130946048</v>
      </c>
      <c r="J612" s="27" t="n">
        <f aca="false">IF(I612="","",Resumen!$B$10-(MAX(I564:I660)-I612))</f>
        <v>1.71223721637099</v>
      </c>
    </row>
    <row r="613" customFormat="false" ht="15" hidden="false" customHeight="false" outlineLevel="0" collapsed="false">
      <c r="A613" s="24" t="n">
        <v>46267.7604166667</v>
      </c>
      <c r="B613" s="10" t="n">
        <v>3.0884</v>
      </c>
      <c r="C613" s="10" t="n">
        <v>2.7</v>
      </c>
      <c r="D613" s="10" t="n">
        <f aca="false">IF(OR(B613="",C613="",B613&lt;=0.05,C613&lt;=0.05),0,1)</f>
        <v>1</v>
      </c>
      <c r="E613" s="25" t="n">
        <f aca="false">IF(OR(A613&lt;Resumen!$B$6,A613&gt;=Resumen!$B$7),0,MAX(0,AVERAGEIFS(B565:B661,D565:D661,1)-Resumen!$B$5*AVERAGEIFS(C565:C661,D565:D661,1)))</f>
        <v>0</v>
      </c>
      <c r="F613" s="10" t="n">
        <f aca="false">IF(B613="","",(B613-E613)/Resumen!$B$5)</f>
        <v>2.45305798252581</v>
      </c>
      <c r="G613" s="10" t="n">
        <f aca="false">IF(OR(F613="",C613=""),0,(F613-C613)*0.9)</f>
        <v>-0.222247815726767</v>
      </c>
      <c r="H613" s="26" t="n">
        <f aca="false">IF(A613&lt;Resumen!$B$11,"",IF(H612="",0,H612)+G613/Resumen!$B$9)</f>
        <v>0.247273126378519</v>
      </c>
      <c r="I613" s="26" t="n">
        <f aca="false">IF(H613="","",H613-AVERAGE(H565:H661))</f>
        <v>-0.00744745490156776</v>
      </c>
      <c r="J613" s="27" t="n">
        <f aca="false">IF(I613="","",Resumen!$B$10-(MAX(I565:I661)-I613))</f>
        <v>1.70185734015996</v>
      </c>
    </row>
    <row r="614" customFormat="false" ht="15" hidden="false" customHeight="false" outlineLevel="0" collapsed="false">
      <c r="A614" s="24" t="n">
        <v>46267.7708333333</v>
      </c>
      <c r="B614" s="10" t="n">
        <v>3.9801</v>
      </c>
      <c r="C614" s="10" t="n">
        <v>3.0144</v>
      </c>
      <c r="D614" s="10" t="n">
        <f aca="false">IF(OR(B614="",C614="",B614&lt;=0.05,C614&lt;=0.05),0,1)</f>
        <v>1</v>
      </c>
      <c r="E614" s="25" t="n">
        <f aca="false">IF(OR(A614&lt;Resumen!$B$6,A614&gt;=Resumen!$B$7),0,MAX(0,AVERAGEIFS(B566:B662,D566:D662,1)-Resumen!$B$5*AVERAGEIFS(C566:C662,D566:D662,1)))</f>
        <v>0</v>
      </c>
      <c r="F614" s="10" t="n">
        <f aca="false">IF(B614="","",(B614-E614)/Resumen!$B$5)</f>
        <v>3.16131850675139</v>
      </c>
      <c r="G614" s="10" t="n">
        <f aca="false">IF(OR(F614="",C614=""),0,(F614-C614)*0.9)</f>
        <v>0.132226656076251</v>
      </c>
      <c r="H614" s="26" t="n">
        <f aca="false">IF(A614&lt;Resumen!$B$11,"",IF(H613="",0,H613)+G614/Resumen!$B$9)</f>
        <v>0.253523333623977</v>
      </c>
      <c r="I614" s="26" t="n">
        <f aca="false">IF(H614="","",H614-AVERAGE(H566:H662))</f>
        <v>-0.0010823262876396</v>
      </c>
      <c r="J614" s="27" t="n">
        <f aca="false">IF(I614="","",Resumen!$B$10-(MAX(I566:I662)-I614))</f>
        <v>1.70822246877389</v>
      </c>
    </row>
    <row r="615" customFormat="false" ht="15" hidden="false" customHeight="false" outlineLevel="0" collapsed="false">
      <c r="A615" s="24" t="n">
        <v>46267.78125</v>
      </c>
      <c r="B615" s="10" t="n">
        <v>3.1909</v>
      </c>
      <c r="C615" s="10" t="n">
        <v>3.5384</v>
      </c>
      <c r="D615" s="10" t="n">
        <f aca="false">IF(OR(B615="",C615="",B615&lt;=0.05,C615&lt;=0.05),0,1)</f>
        <v>1</v>
      </c>
      <c r="E615" s="25" t="n">
        <f aca="false">IF(OR(A615&lt;Resumen!$B$6,A615&gt;=Resumen!$B$7),0,MAX(0,AVERAGEIFS(B567:B663,D567:D663,1)-Resumen!$B$5*AVERAGEIFS(C567:C663,D567:D663,1)))</f>
        <v>0</v>
      </c>
      <c r="F615" s="10" t="n">
        <f aca="false">IF(B615="","",(B615-E615)/Resumen!$B$5)</f>
        <v>2.53447180301827</v>
      </c>
      <c r="G615" s="10" t="n">
        <f aca="false">IF(OR(F615="",C615=""),0,(F615-C615)*0.9)</f>
        <v>-0.903535377283558</v>
      </c>
      <c r="H615" s="26" t="n">
        <f aca="false">IF(A615&lt;Resumen!$B$11,"",IF(H614="",0,H614)+G615/Resumen!$B$9)</f>
        <v>0.210814219371184</v>
      </c>
      <c r="I615" s="26" t="n">
        <f aca="false">IF(H615="","",H615-AVERAGE(H567:H663))</f>
        <v>-0.0441656489998634</v>
      </c>
      <c r="J615" s="27" t="n">
        <f aca="false">IF(I615="","",Resumen!$B$10-(MAX(I567:I663)-I615))</f>
        <v>1.66513914606166</v>
      </c>
    </row>
    <row r="616" customFormat="false" ht="15" hidden="false" customHeight="false" outlineLevel="0" collapsed="false">
      <c r="A616" s="24" t="n">
        <v>46267.7916666667</v>
      </c>
      <c r="B616" s="10" t="n">
        <v>4.8514</v>
      </c>
      <c r="C616" s="10" t="n">
        <v>3.4096</v>
      </c>
      <c r="D616" s="10" t="n">
        <f aca="false">IF(OR(B616="",C616="",B616&lt;=0.05,C616&lt;=0.05),0,1)</f>
        <v>1</v>
      </c>
      <c r="E616" s="25" t="n">
        <f aca="false">IF(OR(A616&lt;Resumen!$B$6,A616&gt;=Resumen!$B$7),0,MAX(0,AVERAGEIFS(B568:B664,D568:D664,1)-Resumen!$B$5*AVERAGEIFS(C568:C664,D568:D664,1)))</f>
        <v>0</v>
      </c>
      <c r="F616" s="10" t="n">
        <f aca="false">IF(B616="","",(B616-E616)/Resumen!$B$5)</f>
        <v>3.85337569499603</v>
      </c>
      <c r="G616" s="10" t="n">
        <f aca="false">IF(OR(F616="",C616=""),0,(F616-C616)*0.9)</f>
        <v>0.399398125496426</v>
      </c>
      <c r="H616" s="26" t="n">
        <f aca="false">IF(A616&lt;Resumen!$B$11,"",IF(H615="",0,H615)+G616/Resumen!$B$9)</f>
        <v>0.229693325384124</v>
      </c>
      <c r="I616" s="26" t="n">
        <f aca="false">IF(H616="","",H616-AVERAGE(H568:H664))</f>
        <v>-0.0257870678480743</v>
      </c>
      <c r="J616" s="27" t="n">
        <f aca="false">IF(I616="","",Resumen!$B$10-(MAX(I568:I664)-I616))</f>
        <v>1.68351772721345</v>
      </c>
    </row>
    <row r="617" customFormat="false" ht="15" hidden="false" customHeight="false" outlineLevel="0" collapsed="false">
      <c r="A617" s="24" t="n">
        <v>46267.8020833333</v>
      </c>
      <c r="B617" s="10" t="n">
        <v>4.3827</v>
      </c>
      <c r="C617" s="10" t="n">
        <v>2.5157</v>
      </c>
      <c r="D617" s="10" t="n">
        <f aca="false">IF(OR(B617="",C617="",B617&lt;=0.05,C617&lt;=0.05),0,1)</f>
        <v>1</v>
      </c>
      <c r="E617" s="25" t="n">
        <f aca="false">IF(OR(A617&lt;Resumen!$B$6,A617&gt;=Resumen!$B$7),0,MAX(0,AVERAGEIFS(B569:B665,D569:D665,1)-Resumen!$B$5*AVERAGEIFS(C569:C665,D569:D665,1)))</f>
        <v>0</v>
      </c>
      <c r="F617" s="10" t="n">
        <f aca="false">IF(B617="","",(B617-E617)/Resumen!$B$5)</f>
        <v>3.48109610802224</v>
      </c>
      <c r="G617" s="10" t="n">
        <f aca="false">IF(OR(F617="",C617=""),0,(F617-C617)*0.9)</f>
        <v>0.868856497220016</v>
      </c>
      <c r="H617" s="26" t="n">
        <f aca="false">IF(A617&lt;Resumen!$B$11,"",IF(H616="",0,H616)+G617/Resumen!$B$9)</f>
        <v>0.270763207473981</v>
      </c>
      <c r="I617" s="26" t="n">
        <f aca="false">IF(H617="","",H617-AVERAGE(H569:H665))</f>
        <v>0.0145203549059331</v>
      </c>
      <c r="J617" s="27" t="n">
        <f aca="false">IF(I617="","",Resumen!$B$10-(MAX(I569:I665)-I617))</f>
        <v>1.72382514996746</v>
      </c>
    </row>
    <row r="618" customFormat="false" ht="15" hidden="false" customHeight="false" outlineLevel="0" collapsed="false">
      <c r="A618" s="24" t="n">
        <v>46267.8125</v>
      </c>
      <c r="B618" s="10" t="n">
        <v>2.6365</v>
      </c>
      <c r="C618" s="10" t="n">
        <v>2.6912</v>
      </c>
      <c r="D618" s="10" t="n">
        <f aca="false">IF(OR(B618="",C618="",B618&lt;=0.05,C618&lt;=0.05),0,1)</f>
        <v>1</v>
      </c>
      <c r="E618" s="25" t="n">
        <f aca="false">IF(OR(A618&lt;Resumen!$B$6,A618&gt;=Resumen!$B$7),0,MAX(0,AVERAGEIFS(B570:B666,D570:D666,1)-Resumen!$B$5*AVERAGEIFS(C570:C666,D570:D666,1)))</f>
        <v>0</v>
      </c>
      <c r="F618" s="10" t="n">
        <f aca="false">IF(B618="","",(B618-E618)/Resumen!$B$5)</f>
        <v>2.09412231930103</v>
      </c>
      <c r="G618" s="10" t="n">
        <f aca="false">IF(OR(F618="",C618=""),0,(F618-C618)*0.9)</f>
        <v>-0.53736991262907</v>
      </c>
      <c r="H618" s="26" t="n">
        <f aca="false">IF(A618&lt;Resumen!$B$11,"",IF(H617="",0,H617)+G618/Resumen!$B$9)</f>
        <v>0.245362328248325</v>
      </c>
      <c r="I618" s="26" t="n">
        <f aca="false">IF(H618="","",H618-AVERAGE(H570:H666))</f>
        <v>-0.0116540902867803</v>
      </c>
      <c r="J618" s="27" t="n">
        <f aca="false">IF(I618="","",Resumen!$B$10-(MAX(I570:I666)-I618))</f>
        <v>1.69765070477475</v>
      </c>
    </row>
    <row r="619" customFormat="false" ht="15" hidden="false" customHeight="false" outlineLevel="0" collapsed="false">
      <c r="A619" s="24" t="n">
        <v>46267.8229166667</v>
      </c>
      <c r="B619" s="10" t="n">
        <v>2.3277</v>
      </c>
      <c r="C619" s="10" t="n">
        <v>2.6384</v>
      </c>
      <c r="D619" s="10" t="n">
        <f aca="false">IF(OR(B619="",C619="",B619&lt;=0.05,C619&lt;=0.05),0,1)</f>
        <v>1</v>
      </c>
      <c r="E619" s="25" t="n">
        <f aca="false">IF(OR(A619&lt;Resumen!$B$6,A619&gt;=Resumen!$B$7),0,MAX(0,AVERAGEIFS(B571:B667,D571:D667,1)-Resumen!$B$5*AVERAGEIFS(C571:C667,D571:D667,1)))</f>
        <v>0</v>
      </c>
      <c r="F619" s="10" t="n">
        <f aca="false">IF(B619="","",(B619-E619)/Resumen!$B$5)</f>
        <v>1.84884829229547</v>
      </c>
      <c r="G619" s="10" t="n">
        <f aca="false">IF(OR(F619="",C619=""),0,(F619-C619)*0.9)</f>
        <v>-0.710596536934074</v>
      </c>
      <c r="H619" s="26" t="n">
        <f aca="false">IF(A619&lt;Resumen!$B$11,"",IF(H618="",0,H618)+G619/Resumen!$B$9)</f>
        <v>0.211773218793863</v>
      </c>
      <c r="I619" s="26" t="n">
        <f aca="false">IF(H619="","",H619-AVERAGE(H571:H667))</f>
        <v>-0.0464729751346217</v>
      </c>
      <c r="J619" s="27" t="n">
        <f aca="false">IF(I619="","",Resumen!$B$10-(MAX(I571:I667)-I619))</f>
        <v>1.66283181992691</v>
      </c>
    </row>
    <row r="620" customFormat="false" ht="15" hidden="false" customHeight="false" outlineLevel="0" collapsed="false">
      <c r="A620" s="24" t="n">
        <v>46267.8333333333</v>
      </c>
      <c r="B620" s="10" t="n">
        <v>1.7662</v>
      </c>
      <c r="C620" s="10" t="n">
        <v>2.9789</v>
      </c>
      <c r="D620" s="10" t="n">
        <f aca="false">IF(OR(B620="",C620="",B620&lt;=0.05,C620&lt;=0.05),0,1)</f>
        <v>1</v>
      </c>
      <c r="E620" s="25" t="n">
        <f aca="false">IF(OR(A620&lt;Resumen!$B$6,A620&gt;=Resumen!$B$7),0,MAX(0,AVERAGEIFS(B572:B668,D572:D668,1)-Resumen!$B$5*AVERAGEIFS(C572:C668,D572:D668,1)))</f>
        <v>0</v>
      </c>
      <c r="F620" s="10" t="n">
        <f aca="false">IF(B620="","",(B620-E620)/Resumen!$B$5)</f>
        <v>1.40285941223193</v>
      </c>
      <c r="G620" s="10" t="n">
        <f aca="false">IF(OR(F620="",C620=""),0,(F620-C620)*0.9)</f>
        <v>-1.41843652899126</v>
      </c>
      <c r="H620" s="26" t="n">
        <f aca="false">IF(A620&lt;Resumen!$B$11,"",IF(H619="",0,H619)+G620/Resumen!$B$9)</f>
        <v>0.144725298701179</v>
      </c>
      <c r="I620" s="26" t="n">
        <f aca="false">IF(H620="","",H620-AVERAGE(H572:H668))</f>
        <v>-0.114114107850656</v>
      </c>
      <c r="J620" s="27" t="n">
        <f aca="false">IF(I620="","",Resumen!$B$10-(MAX(I572:I668)-I620))</f>
        <v>1.59519068721087</v>
      </c>
    </row>
    <row r="621" customFormat="false" ht="15" hidden="false" customHeight="false" outlineLevel="0" collapsed="false">
      <c r="A621" s="24" t="n">
        <v>46267.84375</v>
      </c>
      <c r="B621" s="10" t="n">
        <v>2.8313</v>
      </c>
      <c r="C621" s="10" t="n">
        <v>2.5982</v>
      </c>
      <c r="D621" s="10" t="n">
        <f aca="false">IF(OR(B621="",C621="",B621&lt;=0.05,C621&lt;=0.05),0,1)</f>
        <v>1</v>
      </c>
      <c r="E621" s="25" t="n">
        <f aca="false">IF(OR(A621&lt;Resumen!$B$6,A621&gt;=Resumen!$B$7),0,MAX(0,AVERAGEIFS(B573:B669,D573:D669,1)-Resumen!$B$5*AVERAGEIFS(C573:C669,D573:D669,1)))</f>
        <v>0</v>
      </c>
      <c r="F621" s="10" t="n">
        <f aca="false">IF(B621="","",(B621-E621)/Resumen!$B$5)</f>
        <v>2.24884829229547</v>
      </c>
      <c r="G621" s="10" t="n">
        <f aca="false">IF(OR(F621="",C621=""),0,(F621-C621)*0.9)</f>
        <v>-0.314416536934074</v>
      </c>
      <c r="H621" s="26" t="n">
        <f aca="false">IF(A621&lt;Resumen!$B$11,"",IF(H620="",0,H620)+G621/Resumen!$B$9)</f>
        <v>0.129863178039942</v>
      </c>
      <c r="I621" s="26" t="n">
        <f aca="false">IF(H621="","",H621-AVERAGE(H573:H669))</f>
        <v>-0.129996029801224</v>
      </c>
      <c r="J621" s="27" t="n">
        <f aca="false">IF(I621="","",Resumen!$B$10-(MAX(I573:I669)-I621))</f>
        <v>1.5793087652603</v>
      </c>
    </row>
    <row r="622" customFormat="false" ht="15" hidden="false" customHeight="false" outlineLevel="0" collapsed="false">
      <c r="A622" s="24" t="n">
        <v>46267.8541666667</v>
      </c>
      <c r="B622" s="10" t="n">
        <v>2.5808</v>
      </c>
      <c r="C622" s="10" t="n">
        <v>3.4943</v>
      </c>
      <c r="D622" s="10" t="n">
        <f aca="false">IF(OR(B622="",C622="",B622&lt;=0.05,C622&lt;=0.05),0,1)</f>
        <v>1</v>
      </c>
      <c r="E622" s="25" t="n">
        <f aca="false">IF(OR(A622&lt;Resumen!$B$6,A622&gt;=Resumen!$B$7),0,MAX(0,AVERAGEIFS(B574:B670,D574:D670,1)-Resumen!$B$5*AVERAGEIFS(C574:C670,D574:D670,1)))</f>
        <v>0</v>
      </c>
      <c r="F622" s="10" t="n">
        <f aca="false">IF(B622="","",(B622-E622)/Resumen!$B$5)</f>
        <v>2.04988085782367</v>
      </c>
      <c r="G622" s="10" t="n">
        <f aca="false">IF(OR(F622="",C622=""),0,(F622-C622)*0.9)</f>
        <v>-1.2999772279587</v>
      </c>
      <c r="H622" s="26" t="n">
        <f aca="false">IF(A622&lt;Resumen!$B$11,"",IF(H621="",0,H621)+G622/Resumen!$B$9)</f>
        <v>0.0684146976031964</v>
      </c>
      <c r="I622" s="26" t="n">
        <f aca="false">IF(H622="","",H622-AVERAGE(H574:H670))</f>
        <v>-0.192184189017378</v>
      </c>
      <c r="J622" s="27" t="n">
        <f aca="false">IF(I622="","",Resumen!$B$10-(MAX(I574:I670)-I622))</f>
        <v>1.51712060604415</v>
      </c>
    </row>
    <row r="623" customFormat="false" ht="15" hidden="false" customHeight="false" outlineLevel="0" collapsed="false">
      <c r="A623" s="24" t="n">
        <v>46267.8645833333</v>
      </c>
      <c r="B623" s="10" t="n">
        <v>3.155</v>
      </c>
      <c r="C623" s="10" t="n">
        <v>2.5133</v>
      </c>
      <c r="D623" s="10" t="n">
        <f aca="false">IF(OR(B623="",C623="",B623&lt;=0.05,C623&lt;=0.05),0,1)</f>
        <v>1</v>
      </c>
      <c r="E623" s="25" t="n">
        <f aca="false">IF(OR(A623&lt;Resumen!$B$6,A623&gt;=Resumen!$B$7),0,MAX(0,AVERAGEIFS(B575:B671,D575:D671,1)-Resumen!$B$5*AVERAGEIFS(C575:C671,D575:D671,1)))</f>
        <v>0</v>
      </c>
      <c r="F623" s="10" t="n">
        <f aca="false">IF(B623="","",(B623-E623)/Resumen!$B$5)</f>
        <v>2.50595710881652</v>
      </c>
      <c r="G623" s="10" t="n">
        <f aca="false">IF(OR(F623="",C623=""),0,(F623-C623)*0.9)</f>
        <v>-0.00660860206513108</v>
      </c>
      <c r="H623" s="26" t="n">
        <f aca="false">IF(A623&lt;Resumen!$B$11,"",IF(H622="",0,H622)+G623/Resumen!$B$9)</f>
        <v>0.0681023163199095</v>
      </c>
      <c r="I623" s="26" t="n">
        <f aca="false">IF(H623="","",H623-AVERAGE(H575:H671))</f>
        <v>-0.193599282839982</v>
      </c>
      <c r="J623" s="27" t="n">
        <f aca="false">IF(I623="","",Resumen!$B$10-(MAX(I575:I671)-I623))</f>
        <v>1.51570551222155</v>
      </c>
    </row>
    <row r="624" customFormat="false" ht="15" hidden="false" customHeight="false" outlineLevel="0" collapsed="false">
      <c r="A624" s="24" t="n">
        <v>46267.875</v>
      </c>
      <c r="B624" s="10" t="n">
        <v>2.7701</v>
      </c>
      <c r="C624" s="10" t="n">
        <v>2.3476</v>
      </c>
      <c r="D624" s="10" t="n">
        <f aca="false">IF(OR(B624="",C624="",B624&lt;=0.05,C624&lt;=0.05),0,1)</f>
        <v>1</v>
      </c>
      <c r="E624" s="25" t="n">
        <f aca="false">IF(OR(A624&lt;Resumen!$B$6,A624&gt;=Resumen!$B$7),0,MAX(0,AVERAGEIFS(B576:B672,D576:D672,1)-Resumen!$B$5*AVERAGEIFS(C576:C672,D576:D672,1)))</f>
        <v>0</v>
      </c>
      <c r="F624" s="10" t="n">
        <f aca="false">IF(B624="","",(B624-E624)/Resumen!$B$5)</f>
        <v>2.20023828435266</v>
      </c>
      <c r="G624" s="10" t="n">
        <f aca="false">IF(OR(F624="",C624=""),0,(F624-C624)*0.9)</f>
        <v>-0.132625544082605</v>
      </c>
      <c r="H624" s="26" t="n">
        <f aca="false">IF(A624&lt;Resumen!$B$11,"",IF(H623="",0,H623)+G624/Resumen!$B$9)</f>
        <v>0.0618332540812042</v>
      </c>
      <c r="I624" s="26" t="n">
        <f aca="false">IF(H624="","",H624-AVERAGE(H576:H672))</f>
        <v>-0.201379164621416</v>
      </c>
      <c r="J624" s="27" t="n">
        <f aca="false">IF(I624="","",Resumen!$B$10-(MAX(I576:I672)-I624))</f>
        <v>1.50792563044011</v>
      </c>
    </row>
    <row r="625" customFormat="false" ht="15" hidden="false" customHeight="false" outlineLevel="0" collapsed="false">
      <c r="A625" s="24" t="n">
        <v>46267.8854166667</v>
      </c>
      <c r="B625" s="10" t="n">
        <v>2.6984</v>
      </c>
      <c r="C625" s="10" t="n">
        <v>2.1477</v>
      </c>
      <c r="D625" s="10" t="n">
        <f aca="false">IF(OR(B625="",C625="",B625&lt;=0.05,C625&lt;=0.05),0,1)</f>
        <v>1</v>
      </c>
      <c r="E625" s="25" t="n">
        <f aca="false">IF(OR(A625&lt;Resumen!$B$6,A625&gt;=Resumen!$B$7),0,MAX(0,AVERAGEIFS(B577:B673,D577:D673,1)-Resumen!$B$5*AVERAGEIFS(C577:C673,D577:D673,1)))</f>
        <v>0</v>
      </c>
      <c r="F625" s="10" t="n">
        <f aca="false">IF(B625="","",(B625-E625)/Resumen!$B$5)</f>
        <v>2.14328832406672</v>
      </c>
      <c r="G625" s="10" t="n">
        <f aca="false">IF(OR(F625="",C625=""),0,(F625-C625)*0.9)</f>
        <v>-0.00397050833995216</v>
      </c>
      <c r="H625" s="26" t="n">
        <f aca="false">IF(A625&lt;Resumen!$B$11,"",IF(H624="",0,H624)+G625/Resumen!$B$9)</f>
        <v>0.0616455725597097</v>
      </c>
      <c r="I625" s="26" t="n">
        <f aca="false">IF(H625="","",H625-AVERAGE(H577:H673))</f>
        <v>-0.202828205269824</v>
      </c>
      <c r="J625" s="27" t="n">
        <f aca="false">IF(I625="","",Resumen!$B$10-(MAX(I577:I673)-I625))</f>
        <v>1.5064765897917</v>
      </c>
    </row>
    <row r="626" customFormat="false" ht="15" hidden="false" customHeight="false" outlineLevel="0" collapsed="false">
      <c r="A626" s="24" t="n">
        <v>46267.8958333333</v>
      </c>
      <c r="B626" s="10" t="n">
        <v>4.8644</v>
      </c>
      <c r="C626" s="10" t="n">
        <v>3.0098</v>
      </c>
      <c r="D626" s="10" t="n">
        <f aca="false">IF(OR(B626="",C626="",B626&lt;=0.05,C626&lt;=0.05),0,1)</f>
        <v>1</v>
      </c>
      <c r="E626" s="25" t="n">
        <f aca="false">IF(OR(A626&lt;Resumen!$B$6,A626&gt;=Resumen!$B$7),0,MAX(0,AVERAGEIFS(B578:B674,D578:D674,1)-Resumen!$B$5*AVERAGEIFS(C578:C674,D578:D674,1)))</f>
        <v>0</v>
      </c>
      <c r="F626" s="10" t="n">
        <f aca="false">IF(B626="","",(B626-E626)/Resumen!$B$5)</f>
        <v>3.863701350278</v>
      </c>
      <c r="G626" s="10" t="n">
        <f aca="false">IF(OR(F626="",C626=""),0,(F626-C626)*0.9)</f>
        <v>0.768511215250199</v>
      </c>
      <c r="H626" s="26" t="n">
        <f aca="false">IF(A626&lt;Resumen!$B$11,"",IF(H625="",0,H625)+G626/Resumen!$B$9)</f>
        <v>0.0979722445660147</v>
      </c>
      <c r="I626" s="26" t="n">
        <f aca="false">IF(H626="","",H626-AVERAGE(H578:H674))</f>
        <v>-0.167769365603695</v>
      </c>
      <c r="J626" s="27" t="n">
        <f aca="false">IF(I626="","",Resumen!$B$10-(MAX(I578:I674)-I626))</f>
        <v>1.54153542945783</v>
      </c>
    </row>
    <row r="627" customFormat="false" ht="15" hidden="false" customHeight="false" outlineLevel="0" collapsed="false">
      <c r="A627" s="24" t="n">
        <v>46267.90625</v>
      </c>
      <c r="B627" s="10" t="n">
        <v>3.6723</v>
      </c>
      <c r="C627" s="10" t="n">
        <v>2.5328</v>
      </c>
      <c r="D627" s="10" t="n">
        <f aca="false">IF(OR(B627="",C627="",B627&lt;=0.05,C627&lt;=0.05),0,1)</f>
        <v>1</v>
      </c>
      <c r="E627" s="25" t="n">
        <f aca="false">IF(OR(A627&lt;Resumen!$B$6,A627&gt;=Resumen!$B$7),0,MAX(0,AVERAGEIFS(B579:B675,D579:D675,1)-Resumen!$B$5*AVERAGEIFS(C579:C675,D579:D675,1)))</f>
        <v>0</v>
      </c>
      <c r="F627" s="10" t="n">
        <f aca="false">IF(B627="","",(B627-E627)/Resumen!$B$5)</f>
        <v>2.91683876092137</v>
      </c>
      <c r="G627" s="10" t="n">
        <f aca="false">IF(OR(F627="",C627=""),0,(F627-C627)*0.9)</f>
        <v>0.34563488482923</v>
      </c>
      <c r="H627" s="26" t="n">
        <f aca="false">IF(A627&lt;Resumen!$B$11,"",IF(H626="",0,H626)+G627/Resumen!$B$9)</f>
        <v>0.114310021876188</v>
      </c>
      <c r="I627" s="26" t="n">
        <f aca="false">IF(H627="","",H627-AVERAGE(H579:H675))</f>
        <v>-0.153426677049914</v>
      </c>
      <c r="J627" s="27" t="n">
        <f aca="false">IF(I627="","",Resumen!$B$10-(MAX(I579:I675)-I627))</f>
        <v>1.55587811801161</v>
      </c>
    </row>
    <row r="628" customFormat="false" ht="15" hidden="false" customHeight="false" outlineLevel="0" collapsed="false">
      <c r="A628" s="24" t="n">
        <v>46267.9166666667</v>
      </c>
      <c r="B628" s="10" t="n">
        <v>3.0326</v>
      </c>
      <c r="C628" s="10" t="n">
        <v>2.2259</v>
      </c>
      <c r="D628" s="10" t="n">
        <f aca="false">IF(OR(B628="",C628="",B628&lt;=0.05,C628&lt;=0.05),0,1)</f>
        <v>1</v>
      </c>
      <c r="E628" s="25" t="n">
        <f aca="false">IF(OR(A628&lt;Resumen!$B$6,A628&gt;=Resumen!$B$7),0,MAX(0,AVERAGEIFS(B580:B676,D580:D676,1)-Resumen!$B$5*AVERAGEIFS(C580:C676,D580:D676,1)))</f>
        <v>0</v>
      </c>
      <c r="F628" s="10" t="n">
        <f aca="false">IF(B628="","",(B628-E628)/Resumen!$B$5)</f>
        <v>2.4087370929309</v>
      </c>
      <c r="G628" s="10" t="n">
        <f aca="false">IF(OR(F628="",C628=""),0,(F628-C628)*0.9)</f>
        <v>0.164553383637808</v>
      </c>
      <c r="H628" s="26" t="n">
        <f aca="false">IF(A628&lt;Resumen!$B$11,"",IF(H627="",0,H627)+G628/Resumen!$B$9)</f>
        <v>0.12208827764698</v>
      </c>
      <c r="I628" s="26" t="n">
        <f aca="false">IF(H628="","",H628-AVERAGE(H580:H676))</f>
        <v>-0.147504808648955</v>
      </c>
      <c r="J628" s="27" t="n">
        <f aca="false">IF(I628="","",Resumen!$B$10-(MAX(I580:I676)-I628))</f>
        <v>1.56179998641257</v>
      </c>
    </row>
    <row r="629" customFormat="false" ht="15" hidden="false" customHeight="false" outlineLevel="0" collapsed="false">
      <c r="A629" s="24" t="n">
        <v>46267.9270833333</v>
      </c>
      <c r="B629" s="10" t="n">
        <v>2.6777</v>
      </c>
      <c r="C629" s="10" t="n">
        <v>2.3374</v>
      </c>
      <c r="D629" s="10" t="n">
        <f aca="false">IF(OR(B629="",C629="",B629&lt;=0.05,C629&lt;=0.05),0,1)</f>
        <v>1</v>
      </c>
      <c r="E629" s="25" t="n">
        <f aca="false">IF(OR(A629&lt;Resumen!$B$6,A629&gt;=Resumen!$B$7),0,MAX(0,AVERAGEIFS(B581:B677,D581:D677,1)-Resumen!$B$5*AVERAGEIFS(C581:C677,D581:D677,1)))</f>
        <v>0</v>
      </c>
      <c r="F629" s="10" t="n">
        <f aca="false">IF(B629="","",(B629-E629)/Resumen!$B$5)</f>
        <v>2.12684670373312</v>
      </c>
      <c r="G629" s="10" t="n">
        <f aca="false">IF(OR(F629="",C629=""),0,(F629-C629)*0.9)</f>
        <v>-0.18949796664019</v>
      </c>
      <c r="H629" s="26" t="n">
        <f aca="false">IF(A629&lt;Resumen!$B$11,"",IF(H628="",0,H628)+G629/Resumen!$B$9)</f>
        <v>0.11313091912911</v>
      </c>
      <c r="I629" s="26" t="n">
        <f aca="false">IF(H629="","",H629-AVERAGE(H581:H677))</f>
        <v>-0.158813124430371</v>
      </c>
      <c r="J629" s="27" t="n">
        <f aca="false">IF(I629="","",Resumen!$B$10-(MAX(I581:I677)-I629))</f>
        <v>1.55049167063116</v>
      </c>
    </row>
    <row r="630" customFormat="false" ht="15" hidden="false" customHeight="false" outlineLevel="0" collapsed="false">
      <c r="A630" s="24" t="n">
        <v>46267.9375</v>
      </c>
      <c r="B630" s="10" t="n">
        <v>3.9197</v>
      </c>
      <c r="C630" s="10" t="n">
        <v>2.3218</v>
      </c>
      <c r="D630" s="10" t="n">
        <f aca="false">IF(OR(B630="",C630="",B630&lt;=0.05,C630&lt;=0.05),0,1)</f>
        <v>1</v>
      </c>
      <c r="E630" s="25" t="n">
        <f aca="false">IF(OR(A630&lt;Resumen!$B$6,A630&gt;=Resumen!$B$7),0,MAX(0,AVERAGEIFS(B582:B678,D582:D678,1)-Resumen!$B$5*AVERAGEIFS(C582:C678,D582:D678,1)))</f>
        <v>0</v>
      </c>
      <c r="F630" s="10" t="n">
        <f aca="false">IF(B630="","",(B630-E630)/Resumen!$B$5)</f>
        <v>3.11334392374901</v>
      </c>
      <c r="G630" s="10" t="n">
        <f aca="false">IF(OR(F630="",C630=""),0,(F630-C630)*0.9)</f>
        <v>0.712389531374107</v>
      </c>
      <c r="H630" s="26" t="n">
        <f aca="false">IF(A630&lt;Resumen!$B$11,"",IF(H629="",0,H629)+G630/Resumen!$B$9)</f>
        <v>0.146804781440316</v>
      </c>
      <c r="I630" s="26" t="n">
        <f aca="false">IF(H630="","",H630-AVERAGE(H582:H678))</f>
        <v>-0.128846741081131</v>
      </c>
      <c r="J630" s="27" t="n">
        <f aca="false">IF(I630="","",Resumen!$B$10-(MAX(I582:I678)-I630))</f>
        <v>1.5804580539804</v>
      </c>
    </row>
    <row r="631" customFormat="false" ht="15" hidden="false" customHeight="false" outlineLevel="0" collapsed="false">
      <c r="A631" s="24" t="n">
        <v>46267.9479166667</v>
      </c>
      <c r="B631" s="10" t="n">
        <v>2.6275</v>
      </c>
      <c r="C631" s="10" t="n">
        <v>2.2497</v>
      </c>
      <c r="D631" s="10" t="n">
        <f aca="false">IF(OR(B631="",C631="",B631&lt;=0.05,C631&lt;=0.05),0,1)</f>
        <v>1</v>
      </c>
      <c r="E631" s="25" t="n">
        <f aca="false">IF(OR(A631&lt;Resumen!$B$6,A631&gt;=Resumen!$B$7),0,MAX(0,AVERAGEIFS(B583:B679,D583:D679,1)-Resumen!$B$5*AVERAGEIFS(C583:C679,D583:D679,1)))</f>
        <v>0</v>
      </c>
      <c r="F631" s="10" t="n">
        <f aca="false">IF(B631="","",(B631-E631)/Resumen!$B$5)</f>
        <v>2.08697378872121</v>
      </c>
      <c r="G631" s="10" t="n">
        <f aca="false">IF(OR(F631="",C631=""),0,(F631-C631)*0.9)</f>
        <v>-0.146453590150913</v>
      </c>
      <c r="H631" s="26" t="n">
        <f aca="false">IF(A631&lt;Resumen!$B$11,"",IF(H630="",0,H630)+G631/Resumen!$B$9)</f>
        <v>0.139882082814732</v>
      </c>
      <c r="I631" s="26" t="n">
        <f aca="false">IF(H631="","",H631-AVERAGE(H583:H679))</f>
        <v>-0.138871459983952</v>
      </c>
      <c r="J631" s="27" t="n">
        <f aca="false">IF(I631="","",Resumen!$B$10-(MAX(I583:I679)-I631))</f>
        <v>1.57043333507758</v>
      </c>
    </row>
    <row r="632" customFormat="false" ht="15" hidden="false" customHeight="false" outlineLevel="0" collapsed="false">
      <c r="A632" s="24" t="n">
        <v>46267.9583333333</v>
      </c>
      <c r="B632" s="10" t="n">
        <v>1.4772</v>
      </c>
      <c r="C632" s="10" t="n">
        <v>2.046</v>
      </c>
      <c r="D632" s="10" t="n">
        <f aca="false">IF(OR(B632="",C632="",B632&lt;=0.05,C632&lt;=0.05),0,1)</f>
        <v>1</v>
      </c>
      <c r="E632" s="25" t="n">
        <f aca="false">IF(OR(A632&lt;Resumen!$B$6,A632&gt;=Resumen!$B$7),0,MAX(0,AVERAGEIFS(B584:B680,D584:D680,1)-Resumen!$B$5*AVERAGEIFS(C584:C680,D584:D680,1)))</f>
        <v>0</v>
      </c>
      <c r="F632" s="10" t="n">
        <f aca="false">IF(B632="","",(B632-E632)/Resumen!$B$5)</f>
        <v>1.17331215250199</v>
      </c>
      <c r="G632" s="10" t="n">
        <f aca="false">IF(OR(F632="",C632=""),0,(F632-C632)*0.9)</f>
        <v>-0.785419062748213</v>
      </c>
      <c r="H632" s="26" t="n">
        <f aca="false">IF(A632&lt;Resumen!$B$11,"",IF(H631="",0,H631)+G632/Resumen!$B$9)</f>
        <v>0.102756195626912</v>
      </c>
      <c r="I632" s="26" t="n">
        <f aca="false">IF(H632="","",H632-AVERAGE(H584:H680))</f>
        <v>-0.177567580600606</v>
      </c>
      <c r="J632" s="27" t="n">
        <f aca="false">IF(I632="","",Resumen!$B$10-(MAX(I584:I680)-I632))</f>
        <v>1.53173721446092</v>
      </c>
    </row>
    <row r="633" customFormat="false" ht="15" hidden="false" customHeight="false" outlineLevel="0" collapsed="false">
      <c r="A633" s="24" t="n">
        <v>46267.96875</v>
      </c>
      <c r="B633" s="10" t="n">
        <v>3.075</v>
      </c>
      <c r="C633" s="10" t="n">
        <v>1.8388</v>
      </c>
      <c r="D633" s="10" t="n">
        <f aca="false">IF(OR(B633="",C633="",B633&lt;=0.05,C633&lt;=0.05),0,1)</f>
        <v>1</v>
      </c>
      <c r="E633" s="25" t="n">
        <f aca="false">IF(OR(A633&lt;Resumen!$B$6,A633&gt;=Resumen!$B$7),0,MAX(0,AVERAGEIFS(B585:B681,D585:D681,1)-Resumen!$B$5*AVERAGEIFS(C585:C681,D585:D681,1)))</f>
        <v>0</v>
      </c>
      <c r="F633" s="10" t="n">
        <f aca="false">IF(B633="","",(B633-E633)/Resumen!$B$5)</f>
        <v>2.44241461477363</v>
      </c>
      <c r="G633" s="10" t="n">
        <f aca="false">IF(OR(F633="",C633=""),0,(F633-C633)*0.9)</f>
        <v>0.543253153296267</v>
      </c>
      <c r="H633" s="26" t="n">
        <f aca="false">IF(A633&lt;Resumen!$B$11,"",IF(H632="",0,H632)+G633/Resumen!$B$9)</f>
        <v>0.128435169107812</v>
      </c>
      <c r="I633" s="26" t="n">
        <f aca="false">IF(H633="","",H633-AVERAGE(H585:H681))</f>
        <v>-0.152978363130241</v>
      </c>
      <c r="J633" s="27" t="n">
        <f aca="false">IF(I633="","",Resumen!$B$10-(MAX(I585:I681)-I633))</f>
        <v>1.55632643193129</v>
      </c>
    </row>
    <row r="634" customFormat="false" ht="15" hidden="false" customHeight="false" outlineLevel="0" collapsed="false">
      <c r="A634" s="24" t="n">
        <v>46267.9791666667</v>
      </c>
      <c r="B634" s="10" t="n">
        <v>2.345</v>
      </c>
      <c r="C634" s="10" t="n">
        <v>1.7676</v>
      </c>
      <c r="D634" s="10" t="n">
        <f aca="false">IF(OR(B634="",C634="",B634&lt;=0.05,C634&lt;=0.05),0,1)</f>
        <v>1</v>
      </c>
      <c r="E634" s="25" t="n">
        <f aca="false">IF(OR(A634&lt;Resumen!$B$6,A634&gt;=Resumen!$B$7),0,MAX(0,AVERAGEIFS(B586:B682,D586:D682,1)-Resumen!$B$5*AVERAGEIFS(C586:C682,D586:D682,1)))</f>
        <v>0</v>
      </c>
      <c r="F634" s="10" t="n">
        <f aca="false">IF(B634="","",(B634-E634)/Resumen!$B$5)</f>
        <v>1.86258935663225</v>
      </c>
      <c r="G634" s="10" t="n">
        <f aca="false">IF(OR(F634="",C634=""),0,(F634-C634)*0.9)</f>
        <v>0.0854904209690234</v>
      </c>
      <c r="H634" s="26" t="n">
        <f aca="false">IF(A634&lt;Resumen!$B$11,"",IF(H633="",0,H633)+G634/Resumen!$B$9)</f>
        <v>0.132476206402514</v>
      </c>
      <c r="I634" s="26" t="n">
        <f aca="false">IF(H634="","",H634-AVERAGE(H586:H682))</f>
        <v>-0.149934094778363</v>
      </c>
      <c r="J634" s="27" t="n">
        <f aca="false">IF(I634="","",Resumen!$B$10-(MAX(I586:I682)-I634))</f>
        <v>1.55937070028317</v>
      </c>
    </row>
    <row r="635" customFormat="false" ht="15" hidden="false" customHeight="false" outlineLevel="0" collapsed="false">
      <c r="A635" s="24" t="n">
        <v>46267.9895833333</v>
      </c>
      <c r="B635" s="10" t="n">
        <v>2.453</v>
      </c>
      <c r="C635" s="10" t="n">
        <v>1.6154</v>
      </c>
      <c r="D635" s="10" t="n">
        <f aca="false">IF(OR(B635="",C635="",B635&lt;=0.05,C635&lt;=0.05),0,1)</f>
        <v>1</v>
      </c>
      <c r="E635" s="25" t="n">
        <f aca="false">IF(OR(A635&lt;Resumen!$B$6,A635&gt;=Resumen!$B$7),0,MAX(0,AVERAGEIFS(B587:B683,D587:D683,1)-Resumen!$B$5*AVERAGEIFS(C587:C683,D587:D683,1)))</f>
        <v>0</v>
      </c>
      <c r="F635" s="10" t="n">
        <f aca="false">IF(B635="","",(B635-E635)/Resumen!$B$5)</f>
        <v>1.94837172359015</v>
      </c>
      <c r="G635" s="10" t="n">
        <f aca="false">IF(OR(F635="",C635=""),0,(F635-C635)*0.9)</f>
        <v>0.299674551231136</v>
      </c>
      <c r="H635" s="26" t="n">
        <f aca="false">IF(A635&lt;Resumen!$B$11,"",IF(H634="",0,H634)+G635/Resumen!$B$9)</f>
        <v>0.146641489764925</v>
      </c>
      <c r="I635" s="26" t="n">
        <f aca="false">IF(H635="","",H635-AVERAGE(H587:H683))</f>
        <v>-0.137232862765336</v>
      </c>
      <c r="J635" s="27" t="n">
        <f aca="false">IF(I635="","",Resumen!$B$10-(MAX(I587:I683)-I635))</f>
        <v>1.57207193229619</v>
      </c>
    </row>
    <row r="636" customFormat="false" ht="15" hidden="false" customHeight="false" outlineLevel="0" collapsed="false">
      <c r="A636" s="24" t="n">
        <v>46268</v>
      </c>
      <c r="B636" s="10" t="n">
        <v>2.4792</v>
      </c>
      <c r="C636" s="10" t="n">
        <v>1.7933</v>
      </c>
      <c r="D636" s="10" t="n">
        <f aca="false">IF(OR(B636="",C636="",B636&lt;=0.05,C636&lt;=0.05),0,1)</f>
        <v>1</v>
      </c>
      <c r="E636" s="25" t="n">
        <f aca="false">IF(OR(A636&lt;Resumen!$B$6,A636&gt;=Resumen!$B$7),0,MAX(0,AVERAGEIFS(B588:B684,D588:D684,1)-Resumen!$B$5*AVERAGEIFS(C588:C684,D588:D684,1)))</f>
        <v>0</v>
      </c>
      <c r="F636" s="10" t="n">
        <f aca="false">IF(B636="","",(B636-E636)/Resumen!$B$5)</f>
        <v>1.9691818903892</v>
      </c>
      <c r="G636" s="10" t="n">
        <f aca="false">IF(OR(F636="",C636=""),0,(F636-C636)*0.9)</f>
        <v>0.158293701350278</v>
      </c>
      <c r="H636" s="26" t="n">
        <f aca="false">IF(A636&lt;Resumen!$B$11,"",IF(H635="",0,H635)+G636/Resumen!$B$9)</f>
        <v>0.154123857302975</v>
      </c>
      <c r="I636" s="26" t="n">
        <f aca="false">IF(H636="","",H636-AVERAGE(H588:H684))</f>
        <v>-0.130945232611681</v>
      </c>
      <c r="J636" s="27" t="n">
        <f aca="false">IF(I636="","",Resumen!$B$10-(MAX(I588:I684)-I636))</f>
        <v>1.57835956244985</v>
      </c>
    </row>
    <row r="637" customFormat="false" ht="15" hidden="false" customHeight="false" outlineLevel="0" collapsed="false">
      <c r="A637" s="24" t="n">
        <v>46268.0104166667</v>
      </c>
      <c r="B637" s="10" t="n">
        <v>2.2832</v>
      </c>
      <c r="C637" s="10" t="n">
        <v>1.6116</v>
      </c>
      <c r="D637" s="10" t="n">
        <f aca="false">IF(OR(B637="",C637="",B637&lt;=0.05,C637&lt;=0.05),0,1)</f>
        <v>1</v>
      </c>
      <c r="E637" s="25" t="n">
        <f aca="false">IF(OR(A637&lt;Resumen!$B$6,A637&gt;=Resumen!$B$7),0,MAX(0,AVERAGEIFS(B589:B685,D589:D685,1)-Resumen!$B$5*AVERAGEIFS(C589:C685,D589:D685,1)))</f>
        <v>0</v>
      </c>
      <c r="F637" s="10" t="n">
        <f aca="false">IF(B637="","",(B637-E637)/Resumen!$B$5)</f>
        <v>1.81350277998411</v>
      </c>
      <c r="G637" s="10" t="n">
        <f aca="false">IF(OR(F637="",C637=""),0,(F637-C637)*0.9)</f>
        <v>0.181712501985703</v>
      </c>
      <c r="H637" s="26" t="n">
        <f aca="false">IF(A637&lt;Resumen!$B$11,"",IF(H636="",0,H636)+G637/Resumen!$B$9)</f>
        <v>0.162713205549416</v>
      </c>
      <c r="I637" s="26" t="n">
        <f aca="false">IF(H637="","",H637-AVERAGE(H589:H685))</f>
        <v>-0.123427694550892</v>
      </c>
      <c r="J637" s="27" t="n">
        <f aca="false">IF(I637="","",Resumen!$B$10-(MAX(I589:I685)-I637))</f>
        <v>1.58587710051064</v>
      </c>
    </row>
    <row r="638" customFormat="false" ht="15" hidden="false" customHeight="false" outlineLevel="0" collapsed="false">
      <c r="A638" s="24" t="n">
        <v>46268.0208333333</v>
      </c>
      <c r="B638" s="10" t="n">
        <v>2.4503</v>
      </c>
      <c r="C638" s="10" t="n">
        <v>1.5007</v>
      </c>
      <c r="D638" s="10" t="n">
        <f aca="false">IF(OR(B638="",C638="",B638&lt;=0.05,C638&lt;=0.05),0,1)</f>
        <v>1</v>
      </c>
      <c r="E638" s="25" t="n">
        <f aca="false">IF(OR(A638&lt;Resumen!$B$6,A638&gt;=Resumen!$B$7),0,MAX(0,AVERAGEIFS(B590:B686,D590:D686,1)-Resumen!$B$5*AVERAGEIFS(C590:C686,D590:D686,1)))</f>
        <v>0</v>
      </c>
      <c r="F638" s="10" t="n">
        <f aca="false">IF(B638="","",(B638-E638)/Resumen!$B$5)</f>
        <v>1.9462271644162</v>
      </c>
      <c r="G638" s="10" t="n">
        <f aca="false">IF(OR(F638="",C638=""),0,(F638-C638)*0.9)</f>
        <v>0.400974447974583</v>
      </c>
      <c r="H638" s="26" t="n">
        <f aca="false">IF(A638&lt;Resumen!$B$11,"",IF(H637="",0,H637)+G638/Resumen!$B$9)</f>
        <v>0.181666822575994</v>
      </c>
      <c r="I638" s="26" t="n">
        <f aca="false">IF(H638="","",H638-AVERAGE(H590:H686))</f>
        <v>-0.10598002248382</v>
      </c>
      <c r="J638" s="27" t="n">
        <f aca="false">IF(I638="","",Resumen!$B$10-(MAX(I590:I686)-I638))</f>
        <v>1.60332477257771</v>
      </c>
    </row>
    <row r="639" customFormat="false" ht="15" hidden="false" customHeight="false" outlineLevel="0" collapsed="false">
      <c r="A639" s="24" t="n">
        <v>46268.03125</v>
      </c>
      <c r="B639" s="10" t="n">
        <v>3.226</v>
      </c>
      <c r="C639" s="10" t="n">
        <v>1.688</v>
      </c>
      <c r="D639" s="10" t="n">
        <f aca="false">IF(OR(B639="",C639="",B639&lt;=0.05,C639&lt;=0.05),0,1)</f>
        <v>1</v>
      </c>
      <c r="E639" s="25" t="n">
        <f aca="false">IF(OR(A639&lt;Resumen!$B$6,A639&gt;=Resumen!$B$7),0,MAX(0,AVERAGEIFS(B591:B687,D591:D687,1)-Resumen!$B$5*AVERAGEIFS(C591:C687,D591:D687,1)))</f>
        <v>0</v>
      </c>
      <c r="F639" s="10" t="n">
        <f aca="false">IF(B639="","",(B639-E639)/Resumen!$B$5)</f>
        <v>2.56235107227959</v>
      </c>
      <c r="G639" s="10" t="n">
        <f aca="false">IF(OR(F639="",C639=""),0,(F639-C639)*0.9)</f>
        <v>0.786915965051629</v>
      </c>
      <c r="H639" s="26" t="n">
        <f aca="false">IF(A639&lt;Resumen!$B$11,"",IF(H638="",0,H638)+G639/Resumen!$B$9)</f>
        <v>0.218863466673958</v>
      </c>
      <c r="I639" s="26" t="n">
        <f aca="false">IF(H639="","",H639-AVERAGE(H591:H687))</f>
        <v>-0.0714778761275492</v>
      </c>
      <c r="J639" s="27" t="n">
        <f aca="false">IF(I639="","",Resumen!$B$10-(MAX(I591:I687)-I639))</f>
        <v>1.63782691893398</v>
      </c>
    </row>
    <row r="640" customFormat="false" ht="15" hidden="false" customHeight="false" outlineLevel="0" collapsed="false">
      <c r="A640" s="24" t="n">
        <v>46268.0416666667</v>
      </c>
      <c r="B640" s="10" t="n">
        <v>3.466</v>
      </c>
      <c r="C640" s="10" t="n">
        <v>1.5643</v>
      </c>
      <c r="D640" s="10" t="n">
        <f aca="false">IF(OR(B640="",C640="",B640&lt;=0.05,C640&lt;=0.05),0,1)</f>
        <v>1</v>
      </c>
      <c r="E640" s="25" t="n">
        <f aca="false">IF(OR(A640&lt;Resumen!$B$6,A640&gt;=Resumen!$B$7),0,MAX(0,AVERAGEIFS(B592:B688,D592:D688,1)-Resumen!$B$5*AVERAGEIFS(C592:C688,D592:D688,1)))</f>
        <v>0</v>
      </c>
      <c r="F640" s="10" t="n">
        <f aca="false">IF(B640="","",(B640-E640)/Resumen!$B$5)</f>
        <v>2.75297855440826</v>
      </c>
      <c r="G640" s="10" t="n">
        <f aca="false">IF(OR(F640="",C640=""),0,(F640-C640)*0.9)</f>
        <v>1.06981069896743</v>
      </c>
      <c r="H640" s="26" t="n">
        <f aca="false">IF(A640&lt;Resumen!$B$11,"",IF(H639="",0,H639)+G640/Resumen!$B$9)</f>
        <v>0.269432230797424</v>
      </c>
      <c r="I640" s="26" t="n">
        <f aca="false">IF(H640="","",H640-AVERAGE(H592:H688))</f>
        <v>-0.0245594835647346</v>
      </c>
      <c r="J640" s="27" t="n">
        <f aca="false">IF(I640="","",Resumen!$B$10-(MAX(I592:I688)-I640))</f>
        <v>1.68474531149679</v>
      </c>
    </row>
    <row r="641" customFormat="false" ht="15" hidden="false" customHeight="false" outlineLevel="0" collapsed="false">
      <c r="A641" s="24" t="n">
        <v>46268.0520833333</v>
      </c>
      <c r="B641" s="10" t="n">
        <v>3.9483</v>
      </c>
      <c r="C641" s="10" t="n">
        <v>1.6483</v>
      </c>
      <c r="D641" s="10" t="n">
        <f aca="false">IF(OR(B641="",C641="",B641&lt;=0.05,C641&lt;=0.05),0,1)</f>
        <v>1</v>
      </c>
      <c r="E641" s="25" t="n">
        <f aca="false">IF(OR(A641&lt;Resumen!$B$6,A641&gt;=Resumen!$B$7),0,MAX(0,AVERAGEIFS(B593:B689,D593:D689,1)-Resumen!$B$5*AVERAGEIFS(C593:C689,D593:D689,1)))</f>
        <v>0</v>
      </c>
      <c r="F641" s="10" t="n">
        <f aca="false">IF(B641="","",(B641-E641)/Resumen!$B$5)</f>
        <v>3.13606036536934</v>
      </c>
      <c r="G641" s="10" t="n">
        <f aca="false">IF(OR(F641="",C641=""),0,(F641-C641)*0.9)</f>
        <v>1.33898432883241</v>
      </c>
      <c r="H641" s="26" t="n">
        <f aca="false">IF(A641&lt;Resumen!$B$11,"",IF(H640="",0,H640)+G641/Resumen!$B$9)</f>
        <v>0.332724533589962</v>
      </c>
      <c r="I641" s="26" t="n">
        <f aca="false">IF(H641="","",H641-AVERAGE(H593:H689))</f>
        <v>0.0351271633603995</v>
      </c>
      <c r="J641" s="27" t="n">
        <f aca="false">IF(I641="","",Resumen!$B$10-(MAX(I593:I689)-I641))</f>
        <v>1.74443195842193</v>
      </c>
    </row>
    <row r="642" customFormat="false" ht="15" hidden="false" customHeight="false" outlineLevel="0" collapsed="false">
      <c r="A642" s="24" t="n">
        <v>46268.0625</v>
      </c>
      <c r="B642" s="10" t="n">
        <v>3.2006</v>
      </c>
      <c r="C642" s="10" t="n">
        <v>1.4724</v>
      </c>
      <c r="D642" s="10" t="n">
        <f aca="false">IF(OR(B642="",C642="",B642&lt;=0.05,C642&lt;=0.05),0,1)</f>
        <v>1</v>
      </c>
      <c r="E642" s="25" t="n">
        <f aca="false">IF(OR(A642&lt;Resumen!$B$6,A642&gt;=Resumen!$B$7),0,MAX(0,AVERAGEIFS(B594:B690,D594:D690,1)-Resumen!$B$5*AVERAGEIFS(C594:C690,D594:D690,1)))</f>
        <v>0</v>
      </c>
      <c r="F642" s="10" t="n">
        <f aca="false">IF(B642="","",(B642-E642)/Resumen!$B$5)</f>
        <v>2.54217633042097</v>
      </c>
      <c r="G642" s="10" t="n">
        <f aca="false">IF(OR(F642="",C642=""),0,(F642-C642)*0.9)</f>
        <v>0.962798697378872</v>
      </c>
      <c r="H642" s="26" t="n">
        <f aca="false">IF(A642&lt;Resumen!$B$11,"",IF(H641="",0,H641)+G642/Resumen!$B$9)</f>
        <v>0.378234959194348</v>
      </c>
      <c r="I642" s="26" t="n">
        <f aca="false">IF(H642="","",H642-AVERAGE(H594:H690))</f>
        <v>0.077234664230961</v>
      </c>
      <c r="J642" s="27" t="n">
        <f aca="false">IF(I642="","",Resumen!$B$10-(MAX(I594:I690)-I642))</f>
        <v>1.78653945929249</v>
      </c>
    </row>
    <row r="643" customFormat="false" ht="15" hidden="false" customHeight="false" outlineLevel="0" collapsed="false">
      <c r="A643" s="24" t="n">
        <v>46268.0729166667</v>
      </c>
      <c r="B643" s="10" t="n">
        <v>3.2944</v>
      </c>
      <c r="C643" s="10" t="n">
        <v>1.5385</v>
      </c>
      <c r="D643" s="10" t="n">
        <f aca="false">IF(OR(B643="",C643="",B643&lt;=0.05,C643&lt;=0.05),0,1)</f>
        <v>1</v>
      </c>
      <c r="E643" s="25" t="n">
        <f aca="false">IF(OR(A643&lt;Resumen!$B$6,A643&gt;=Resumen!$B$7),0,MAX(0,AVERAGEIFS(B595:B691,D595:D691,1)-Resumen!$B$5*AVERAGEIFS(C595:C691,D595:D691,1)))</f>
        <v>0</v>
      </c>
      <c r="F643" s="10" t="n">
        <f aca="false">IF(B643="","",(B643-E643)/Resumen!$B$5)</f>
        <v>2.61667990468626</v>
      </c>
      <c r="G643" s="10" t="n">
        <f aca="false">IF(OR(F643="",C643=""),0,(F643-C643)*0.9)</f>
        <v>0.970361914217633</v>
      </c>
      <c r="H643" s="26" t="n">
        <f aca="false">IF(A643&lt;Resumen!$B$11,"",IF(H642="",0,H642)+G643/Resumen!$B$9)</f>
        <v>0.424102889662634</v>
      </c>
      <c r="I643" s="26" t="n">
        <f aca="false">IF(H643="","",H643-AVERAGE(H595:H691))</f>
        <v>0.120500022068963</v>
      </c>
      <c r="J643" s="27" t="n">
        <f aca="false">IF(I643="","",Resumen!$B$10-(MAX(I595:I691)-I643))</f>
        <v>1.82980481713049</v>
      </c>
    </row>
    <row r="644" customFormat="false" ht="15" hidden="false" customHeight="false" outlineLevel="0" collapsed="false">
      <c r="A644" s="24" t="n">
        <v>46268.0833333333</v>
      </c>
      <c r="B644" s="10" t="n">
        <v>1.7196</v>
      </c>
      <c r="C644" s="10" t="n">
        <v>1.5188</v>
      </c>
      <c r="D644" s="10" t="n">
        <f aca="false">IF(OR(B644="",C644="",B644&lt;=0.05,C644&lt;=0.05),0,1)</f>
        <v>1</v>
      </c>
      <c r="E644" s="25" t="n">
        <f aca="false">IF(OR(A644&lt;Resumen!$B$6,A644&gt;=Resumen!$B$7),0,MAX(0,AVERAGEIFS(B596:B692,D596:D692,1)-Resumen!$B$5*AVERAGEIFS(C596:C692,D596:D692,1)))</f>
        <v>0</v>
      </c>
      <c r="F644" s="10" t="n">
        <f aca="false">IF(B644="","",(B644-E644)/Resumen!$B$5)</f>
        <v>1.36584590945195</v>
      </c>
      <c r="G644" s="10" t="n">
        <f aca="false">IF(OR(F644="",C644=""),0,(F644-C644)*0.9)</f>
        <v>-0.137658681493248</v>
      </c>
      <c r="H644" s="26" t="n">
        <f aca="false">IF(A644&lt;Resumen!$B$11,"",IF(H643="",0,H643)+G644/Resumen!$B$9)</f>
        <v>0.417595916605907</v>
      </c>
      <c r="I644" s="26" t="n">
        <f aca="false">IF(H644="","",H644-AVERAGE(H596:H692))</f>
        <v>0.111841084872718</v>
      </c>
      <c r="J644" s="27" t="n">
        <f aca="false">IF(I644="","",Resumen!$B$10-(MAX(I596:I692)-I644))</f>
        <v>1.82114587993425</v>
      </c>
    </row>
    <row r="645" customFormat="false" ht="15" hidden="false" customHeight="false" outlineLevel="0" collapsed="false">
      <c r="A645" s="24" t="n">
        <v>46268.09375</v>
      </c>
      <c r="B645" s="10" t="n">
        <v>1.9791</v>
      </c>
      <c r="C645" s="10" t="n">
        <v>1.4656</v>
      </c>
      <c r="D645" s="10" t="n">
        <f aca="false">IF(OR(B645="",C645="",B645&lt;=0.05,C645&lt;=0.05),0,1)</f>
        <v>1</v>
      </c>
      <c r="E645" s="25" t="n">
        <f aca="false">IF(OR(A645&lt;Resumen!$B$6,A645&gt;=Resumen!$B$7),0,MAX(0,AVERAGEIFS(B597:B693,D597:D693,1)-Resumen!$B$5*AVERAGEIFS(C597:C693,D597:D693,1)))</f>
        <v>0</v>
      </c>
      <c r="F645" s="10" t="n">
        <f aca="false">IF(B645="","",(B645-E645)/Resumen!$B$5)</f>
        <v>1.57196187450357</v>
      </c>
      <c r="G645" s="10" t="n">
        <f aca="false">IF(OR(F645="",C645=""),0,(F645-C645)*0.9)</f>
        <v>0.0957256870532169</v>
      </c>
      <c r="H645" s="26" t="n">
        <f aca="false">IF(A645&lt;Resumen!$B$11,"",IF(H644="",0,H644)+G645/Resumen!$B$9)</f>
        <v>0.422120763566049</v>
      </c>
      <c r="I645" s="26" t="n">
        <f aca="false">IF(H645="","",H645-AVERAGE(H597:H693))</f>
        <v>0.113892945496124</v>
      </c>
      <c r="J645" s="27" t="n">
        <f aca="false">IF(I645="","",Resumen!$B$10-(MAX(I597:I693)-I645))</f>
        <v>1.82319774055765</v>
      </c>
    </row>
    <row r="646" customFormat="false" ht="15" hidden="false" customHeight="false" outlineLevel="0" collapsed="false">
      <c r="A646" s="24" t="n">
        <v>46268.1041666667</v>
      </c>
      <c r="B646" s="10" t="n">
        <v>0.9128</v>
      </c>
      <c r="C646" s="10" t="n">
        <v>1.4535</v>
      </c>
      <c r="D646" s="10" t="n">
        <f aca="false">IF(OR(B646="",C646="",B646&lt;=0.05,C646&lt;=0.05),0,1)</f>
        <v>1</v>
      </c>
      <c r="E646" s="25" t="n">
        <f aca="false">IF(OR(A646&lt;Resumen!$B$6,A646&gt;=Resumen!$B$7),0,MAX(0,AVERAGEIFS(B598:B694,D598:D694,1)-Resumen!$B$5*AVERAGEIFS(C598:C694,D598:D694,1)))</f>
        <v>0</v>
      </c>
      <c r="F646" s="10" t="n">
        <f aca="false">IF(B646="","",(B646-E646)/Resumen!$B$5)</f>
        <v>0.725019857029388</v>
      </c>
      <c r="G646" s="10" t="n">
        <f aca="false">IF(OR(F646="",C646=""),0,(F646-C646)*0.9)</f>
        <v>-0.655632128673551</v>
      </c>
      <c r="H646" s="26" t="n">
        <f aca="false">IF(A646&lt;Resumen!$B$11,"",IF(H645="",0,H645)+G646/Resumen!$B$9)</f>
        <v>0.391129760673052</v>
      </c>
      <c r="I646" s="26" t="n">
        <f aca="false">IF(H646="","",H646-AVERAGE(H598:H694))</f>
        <v>0.080216771091633</v>
      </c>
      <c r="J646" s="27" t="n">
        <f aca="false">IF(I646="","",Resumen!$B$10-(MAX(I598:I694)-I646))</f>
        <v>1.78952156615316</v>
      </c>
    </row>
    <row r="647" customFormat="false" ht="15" hidden="false" customHeight="false" outlineLevel="0" collapsed="false">
      <c r="A647" s="24" t="n">
        <v>46268.1145833333</v>
      </c>
      <c r="B647" s="10" t="n">
        <v>2.8003</v>
      </c>
      <c r="C647" s="10" t="n">
        <v>1.4993</v>
      </c>
      <c r="D647" s="10" t="n">
        <f aca="false">IF(OR(B647="",C647="",B647&lt;=0.05,C647&lt;=0.05),0,1)</f>
        <v>1</v>
      </c>
      <c r="E647" s="25" t="n">
        <f aca="false">IF(OR(A647&lt;Resumen!$B$6,A647&gt;=Resumen!$B$7),0,MAX(0,AVERAGEIFS(B599:B695,D599:D695,1)-Resumen!$B$5*AVERAGEIFS(C599:C695,D599:D695,1)))</f>
        <v>0</v>
      </c>
      <c r="F647" s="10" t="n">
        <f aca="false">IF(B647="","",(B647-E647)/Resumen!$B$5)</f>
        <v>2.22422557585385</v>
      </c>
      <c r="G647" s="10" t="n">
        <f aca="false">IF(OR(F647="",C647=""),0,(F647-C647)*0.9)</f>
        <v>0.652433018268467</v>
      </c>
      <c r="H647" s="26" t="n">
        <f aca="false">IF(A647&lt;Resumen!$B$11,"",IF(H646="",0,H646)+G647/Resumen!$B$9)</f>
        <v>0.421969545168593</v>
      </c>
      <c r="I647" s="26" t="n">
        <f aca="false">IF(H647="","",H647-AVERAGE(H599:H695))</f>
        <v>0.108298898320877</v>
      </c>
      <c r="J647" s="27" t="n">
        <f aca="false">IF(I647="","",Resumen!$B$10-(MAX(I599:I695)-I647))</f>
        <v>1.81760369338241</v>
      </c>
    </row>
    <row r="648" customFormat="false" ht="15" hidden="false" customHeight="false" outlineLevel="0" collapsed="false">
      <c r="A648" s="24" t="n">
        <v>46268.125</v>
      </c>
      <c r="B648" s="10" t="n">
        <v>2.043</v>
      </c>
      <c r="C648" s="10" t="n">
        <v>1.4997</v>
      </c>
      <c r="D648" s="10" t="n">
        <f aca="false">IF(OR(B648="",C648="",B648&lt;=0.05,C648&lt;=0.05),0,1)</f>
        <v>1</v>
      </c>
      <c r="E648" s="25" t="n">
        <f aca="false">IF(OR(A648&lt;Resumen!$B$6,A648&gt;=Resumen!$B$7),0,MAX(0,AVERAGEIFS(B600:B696,D600:D696,1)-Resumen!$B$5*AVERAGEIFS(C600:C696,D600:D696,1)))</f>
        <v>0</v>
      </c>
      <c r="F648" s="10" t="n">
        <f aca="false">IF(B648="","",(B648-E648)/Resumen!$B$5)</f>
        <v>1.62271644162033</v>
      </c>
      <c r="G648" s="10" t="n">
        <f aca="false">IF(OR(F648="",C648=""),0,(F648-C648)*0.9)</f>
        <v>0.1107147974583</v>
      </c>
      <c r="H648" s="26" t="n">
        <f aca="false">IF(A648&lt;Resumen!$B$11,"",IF(H647="",0,H647)+G648/Resumen!$B$9)</f>
        <v>0.427202910737894</v>
      </c>
      <c r="I648" s="26" t="n">
        <f aca="false">IF(H648="","",H648-AVERAGE(H600:H696))</f>
        <v>0.110865236591009</v>
      </c>
      <c r="J648" s="27" t="n">
        <f aca="false">IF(I648="","",Resumen!$B$10-(MAX(I600:I696)-I648))</f>
        <v>1.82017003165254</v>
      </c>
    </row>
    <row r="649" customFormat="false" ht="15" hidden="false" customHeight="false" outlineLevel="0" collapsed="false">
      <c r="A649" s="24" t="n">
        <v>46268.1354166667</v>
      </c>
      <c r="B649" s="10" t="n">
        <v>1.8684</v>
      </c>
      <c r="C649" s="10" t="n">
        <v>2.0704</v>
      </c>
      <c r="D649" s="10" t="n">
        <f aca="false">IF(OR(B649="",C649="",B649&lt;=0.05,C649&lt;=0.05),0,1)</f>
        <v>1</v>
      </c>
      <c r="E649" s="25" t="n">
        <f aca="false">IF(OR(A649&lt;Resumen!$B$6,A649&gt;=Resumen!$B$7),0,MAX(0,AVERAGEIFS(B601:B697,D601:D697,1)-Resumen!$B$5*AVERAGEIFS(C601:C697,D601:D697,1)))</f>
        <v>0</v>
      </c>
      <c r="F649" s="10" t="n">
        <f aca="false">IF(B649="","",(B649-E649)/Resumen!$B$5)</f>
        <v>1.48403494837172</v>
      </c>
      <c r="G649" s="10" t="n">
        <f aca="false">IF(OR(F649="",C649=""),0,(F649-C649)*0.9)</f>
        <v>-0.527728546465449</v>
      </c>
      <c r="H649" s="26" t="n">
        <f aca="false">IF(A649&lt;Resumen!$B$11,"",IF(H648="",0,H648)+G649/Resumen!$B$9)</f>
        <v>0.402257768187732</v>
      </c>
      <c r="I649" s="26" t="n">
        <f aca="false">IF(H649="","",H649-AVERAGE(H601:H697))</f>
        <v>0.0831103578242963</v>
      </c>
      <c r="J649" s="27" t="n">
        <f aca="false">IF(I649="","",Resumen!$B$10-(MAX(I601:I697)-I649))</f>
        <v>1.79241515288582</v>
      </c>
    </row>
    <row r="650" customFormat="false" ht="15" hidden="false" customHeight="false" outlineLevel="0" collapsed="false">
      <c r="A650" s="24" t="n">
        <v>46268.1458333333</v>
      </c>
      <c r="B650" s="10" t="n">
        <v>2.2683</v>
      </c>
      <c r="C650" s="10" t="n">
        <v>1.3909</v>
      </c>
      <c r="D650" s="10" t="n">
        <f aca="false">IF(OR(B650="",C650="",B650&lt;=0.05,C650&lt;=0.05),0,1)</f>
        <v>1</v>
      </c>
      <c r="E650" s="25" t="n">
        <f aca="false">IF(OR(A650&lt;Resumen!$B$6,A650&gt;=Resumen!$B$7),0,MAX(0,AVERAGEIFS(B602:B698,D602:D698,1)-Resumen!$B$5*AVERAGEIFS(C602:C698,D602:D698,1)))</f>
        <v>0</v>
      </c>
      <c r="F650" s="10" t="n">
        <f aca="false">IF(B650="","",(B650-E650)/Resumen!$B$5)</f>
        <v>1.80166799046863</v>
      </c>
      <c r="G650" s="10" t="n">
        <f aca="false">IF(OR(F650="",C650=""),0,(F650-C650)*0.9)</f>
        <v>0.369691191421764</v>
      </c>
      <c r="H650" s="26" t="n">
        <f aca="false">IF(A650&lt;Resumen!$B$11,"",IF(H649="",0,H649)+G650/Resumen!$B$9)</f>
        <v>0.419732660405182</v>
      </c>
      <c r="I650" s="26" t="n">
        <f aca="false">IF(H650="","",H650-AVERAGE(H602:H698))</f>
        <v>0.0968038873466798</v>
      </c>
      <c r="J650" s="27" t="n">
        <f aca="false">IF(I650="","",Resumen!$B$10-(MAX(I602:I698)-I650))</f>
        <v>1.80610868240821</v>
      </c>
    </row>
    <row r="651" customFormat="false" ht="15" hidden="false" customHeight="false" outlineLevel="0" collapsed="false">
      <c r="A651" s="24" t="n">
        <v>46268.15625</v>
      </c>
      <c r="B651" s="10" t="n">
        <v>2.3575</v>
      </c>
      <c r="C651" s="10" t="n">
        <v>1.4715</v>
      </c>
      <c r="D651" s="10" t="n">
        <f aca="false">IF(OR(B651="",C651="",B651&lt;=0.05,C651&lt;=0.05),0,1)</f>
        <v>1</v>
      </c>
      <c r="E651" s="25" t="n">
        <f aca="false">IF(OR(A651&lt;Resumen!$B$6,A651&gt;=Resumen!$B$7),0,MAX(0,AVERAGEIFS(B603:B699,D603:D699,1)-Resumen!$B$5*AVERAGEIFS(C603:C699,D603:D699,1)))</f>
        <v>0</v>
      </c>
      <c r="F651" s="10" t="n">
        <f aca="false">IF(B651="","",(B651-E651)/Resumen!$B$5)</f>
        <v>1.87251787132645</v>
      </c>
      <c r="G651" s="10" t="n">
        <f aca="false">IF(OR(F651="",C651=""),0,(F651-C651)*0.9)</f>
        <v>0.360916084193805</v>
      </c>
      <c r="H651" s="26" t="n">
        <f aca="false">IF(A651&lt;Resumen!$B$11,"",IF(H650="",0,H650)+G651/Resumen!$B$9)</f>
        <v>0.436792763045375</v>
      </c>
      <c r="I651" s="26" t="n">
        <f aca="false">IF(H651="","",H651-AVERAGE(H603:H699))</f>
        <v>0.110112137345339</v>
      </c>
      <c r="J651" s="27" t="n">
        <f aca="false">IF(I651="","",Resumen!$B$10-(MAX(I603:I699)-I651))</f>
        <v>1.81941693240687</v>
      </c>
    </row>
    <row r="652" customFormat="false" ht="15" hidden="false" customHeight="false" outlineLevel="0" collapsed="false">
      <c r="A652" s="24" t="n">
        <v>46268.1666666667</v>
      </c>
      <c r="B652" s="10" t="n">
        <v>2.1903</v>
      </c>
      <c r="C652" s="10" t="n">
        <v>1.6184</v>
      </c>
      <c r="D652" s="10" t="n">
        <f aca="false">IF(OR(B652="",C652="",B652&lt;=0.05,C652&lt;=0.05),0,1)</f>
        <v>1</v>
      </c>
      <c r="E652" s="25" t="n">
        <f aca="false">IF(OR(A652&lt;Resumen!$B$6,A652&gt;=Resumen!$B$7),0,MAX(0,AVERAGEIFS(B604:B700,D604:D700,1)-Resumen!$B$5*AVERAGEIFS(C604:C700,D604:D700,1)))</f>
        <v>0</v>
      </c>
      <c r="F652" s="10" t="n">
        <f aca="false">IF(B652="","",(B652-E652)/Resumen!$B$5)</f>
        <v>1.73971405877681</v>
      </c>
      <c r="G652" s="10" t="n">
        <f aca="false">IF(OR(F652="",C652=""),0,(F652-C652)*0.9)</f>
        <v>0.109182652899126</v>
      </c>
      <c r="H652" s="26" t="n">
        <f aca="false">IF(A652&lt;Resumen!$B$11,"",IF(H651="",0,H651)+G652/Resumen!$B$9)</f>
        <v>0.441953705842226</v>
      </c>
      <c r="I652" s="26" t="n">
        <f aca="false">IF(H652="","",H652-AVERAGE(H604:H700))</f>
        <v>0.111647512306692</v>
      </c>
      <c r="J652" s="27" t="n">
        <f aca="false">IF(I652="","",Resumen!$B$10-(MAX(I604:I700)-I652))</f>
        <v>1.82095230736822</v>
      </c>
    </row>
    <row r="653" customFormat="false" ht="15" hidden="false" customHeight="false" outlineLevel="0" collapsed="false">
      <c r="A653" s="24" t="n">
        <v>46268.1770833333</v>
      </c>
      <c r="B653" s="10" t="n">
        <v>2.004</v>
      </c>
      <c r="C653" s="10" t="n">
        <v>1.5785</v>
      </c>
      <c r="D653" s="10" t="n">
        <f aca="false">IF(OR(B653="",C653="",B653&lt;=0.05,C653&lt;=0.05),0,1)</f>
        <v>1</v>
      </c>
      <c r="E653" s="25" t="n">
        <f aca="false">IF(OR(A653&lt;Resumen!$B$6,A653&gt;=Resumen!$B$7),0,MAX(0,AVERAGEIFS(B605:B701,D605:D701,1)-Resumen!$B$5*AVERAGEIFS(C605:C701,D605:D701,1)))</f>
        <v>0</v>
      </c>
      <c r="F653" s="10" t="n">
        <f aca="false">IF(B653="","",(B653-E653)/Resumen!$B$5)</f>
        <v>1.59173947577442</v>
      </c>
      <c r="G653" s="10" t="n">
        <f aca="false">IF(OR(F653="",C653=""),0,(F653-C653)*0.9)</f>
        <v>0.0119155281969819</v>
      </c>
      <c r="H653" s="26" t="n">
        <f aca="false">IF(A653&lt;Resumen!$B$11,"",IF(H652="",0,H652)+G653/Resumen!$B$9)</f>
        <v>0.442516939632449</v>
      </c>
      <c r="I653" s="26" t="n">
        <f aca="false">IF(H653="","",H653-AVERAGE(H605:H701))</f>
        <v>0.108890391957979</v>
      </c>
      <c r="J653" s="27" t="n">
        <f aca="false">IF(I653="","",Resumen!$B$10-(MAX(I605:I701)-I653))</f>
        <v>1.81819518701951</v>
      </c>
    </row>
    <row r="654" customFormat="false" ht="15" hidden="false" customHeight="false" outlineLevel="0" collapsed="false">
      <c r="A654" s="24" t="n">
        <v>46268.1875</v>
      </c>
      <c r="B654" s="10" t="n">
        <v>3.1136</v>
      </c>
      <c r="C654" s="10" t="n">
        <v>1.623</v>
      </c>
      <c r="D654" s="10" t="n">
        <f aca="false">IF(OR(B654="",C654="",B654&lt;=0.05,C654&lt;=0.05),0,1)</f>
        <v>1</v>
      </c>
      <c r="E654" s="25" t="n">
        <f aca="false">IF(OR(A654&lt;Resumen!$B$6,A654&gt;=Resumen!$B$7),0,MAX(0,AVERAGEIFS(B606:B702,D606:D702,1)-Resumen!$B$5*AVERAGEIFS(C606:C702,D606:D702,1)))</f>
        <v>0</v>
      </c>
      <c r="F654" s="10" t="n">
        <f aca="false">IF(B654="","",(B654-E654)/Resumen!$B$5)</f>
        <v>2.47307386814933</v>
      </c>
      <c r="G654" s="10" t="n">
        <f aca="false">IF(OR(F654="",C654=""),0,(F654-C654)*0.9)</f>
        <v>0.765066481334393</v>
      </c>
      <c r="H654" s="26" t="n">
        <f aca="false">IF(A654&lt;Resumen!$B$11,"",IF(H653="",0,H653)+G654/Resumen!$B$9)</f>
        <v>0.478680782890616</v>
      </c>
      <c r="I654" s="26" t="n">
        <f aca="false">IF(H654="","",H654-AVERAGE(H606:H702))</f>
        <v>0.140695204938472</v>
      </c>
      <c r="J654" s="27" t="n">
        <f aca="false">IF(I654="","",Resumen!$B$10-(MAX(I606:I702)-I654))</f>
        <v>1.85</v>
      </c>
    </row>
    <row r="655" customFormat="false" ht="15" hidden="false" customHeight="false" outlineLevel="0" collapsed="false">
      <c r="A655" s="24" t="n">
        <v>46268.1979166667</v>
      </c>
      <c r="B655" s="10" t="n">
        <v>1.0832</v>
      </c>
      <c r="C655" s="10" t="n">
        <v>1.6662</v>
      </c>
      <c r="D655" s="10" t="n">
        <f aca="false">IF(OR(B655="",C655="",B655&lt;=0.05,C655&lt;=0.05),0,1)</f>
        <v>1</v>
      </c>
      <c r="E655" s="25" t="n">
        <f aca="false">IF(OR(A655&lt;Resumen!$B$6,A655&gt;=Resumen!$B$7),0,MAX(0,AVERAGEIFS(B607:B703,D607:D703,1)-Resumen!$B$5*AVERAGEIFS(C607:C703,D607:D703,1)))</f>
        <v>0</v>
      </c>
      <c r="F655" s="10" t="n">
        <f aca="false">IF(B655="","",(B655-E655)/Resumen!$B$5)</f>
        <v>0.860365369340747</v>
      </c>
      <c r="G655" s="10" t="n">
        <f aca="false">IF(OR(F655="",C655=""),0,(F655-C655)*0.9)</f>
        <v>-0.725251167593328</v>
      </c>
      <c r="H655" s="26" t="n">
        <f aca="false">IF(A655&lt;Resumen!$B$11,"",IF(H654="",0,H654)+G655/Resumen!$B$9)</f>
        <v>0.44439896531327</v>
      </c>
      <c r="I655" s="26" t="n">
        <f aca="false">IF(H655="","",H655-AVERAGE(H607:H703))</f>
        <v>0.101808933216323</v>
      </c>
      <c r="J655" s="27" t="n">
        <f aca="false">IF(I655="","",Resumen!$B$10-(MAX(I607:I703)-I655))</f>
        <v>1.81111372827785</v>
      </c>
    </row>
    <row r="656" customFormat="false" ht="15" hidden="false" customHeight="false" outlineLevel="0" collapsed="false">
      <c r="A656" s="24" t="n">
        <v>46268.2083333333</v>
      </c>
      <c r="B656" s="10" t="n">
        <v>1.1513</v>
      </c>
      <c r="C656" s="10" t="n">
        <v>2.2743</v>
      </c>
      <c r="D656" s="10" t="n">
        <f aca="false">IF(OR(B656="",C656="",B656&lt;=0.05,C656&lt;=0.05),0,1)</f>
        <v>1</v>
      </c>
      <c r="E656" s="25" t="n">
        <f aca="false">IF(OR(A656&lt;Resumen!$B$6,A656&gt;=Resumen!$B$7),0,MAX(0,AVERAGEIFS(B608:B704,D608:D704,1)-Resumen!$B$5*AVERAGEIFS(C608:C704,D608:D704,1)))</f>
        <v>0</v>
      </c>
      <c r="F656" s="10" t="n">
        <f aca="false">IF(B656="","",(B656-E656)/Resumen!$B$5)</f>
        <v>0.914455917394758</v>
      </c>
      <c r="G656" s="10" t="n">
        <f aca="false">IF(OR(F656="",C656=""),0,(F656-C656)*0.9)</f>
        <v>-1.22385967434472</v>
      </c>
      <c r="H656" s="26" t="n">
        <f aca="false">IF(A656&lt;Resumen!$B$11,"",IF(H655="",0,H655)+G656/Resumen!$B$9)</f>
        <v>0.386548477136347</v>
      </c>
      <c r="I656" s="26" t="n">
        <f aca="false">IF(H656="","",H656-AVERAGE(H608:H704))</f>
        <v>0.0393757866550841</v>
      </c>
      <c r="J656" s="27" t="n">
        <f aca="false">IF(I656="","",Resumen!$B$10-(MAX(I608:I704)-I656))</f>
        <v>1.74868058171661</v>
      </c>
    </row>
    <row r="657" customFormat="false" ht="15" hidden="false" customHeight="false" outlineLevel="0" collapsed="false">
      <c r="A657" s="24" t="n">
        <v>46268.21875</v>
      </c>
      <c r="B657" s="10" t="n">
        <v>1.22</v>
      </c>
      <c r="C657" s="10" t="n">
        <v>2.729</v>
      </c>
      <c r="D657" s="10" t="n">
        <f aca="false">IF(OR(B657="",C657="",B657&lt;=0.05,C657&lt;=0.05),0,1)</f>
        <v>1</v>
      </c>
      <c r="E657" s="25" t="n">
        <f aca="false">IF(OR(A657&lt;Resumen!$B$6,A657&gt;=Resumen!$B$7),0,MAX(0,AVERAGEIFS(B609:B705,D609:D705,1)-Resumen!$B$5*AVERAGEIFS(C609:C705,D609:D705,1)))</f>
        <v>0</v>
      </c>
      <c r="F657" s="10" t="n">
        <f aca="false">IF(B657="","",(B657-E657)/Resumen!$B$5)</f>
        <v>0.969023034154091</v>
      </c>
      <c r="G657" s="10" t="n">
        <f aca="false">IF(OR(F657="",C657=""),0,(F657-C657)*0.9)</f>
        <v>-1.58397926926132</v>
      </c>
      <c r="H657" s="26" t="n">
        <f aca="false">IF(A657&lt;Resumen!$B$11,"",IF(H656="",0,H656)+G657/Resumen!$B$9)</f>
        <v>0.311675535483168</v>
      </c>
      <c r="I657" s="26" t="n">
        <f aca="false">IF(H657="","",H657-AVERAGE(H609:H705))</f>
        <v>-0.0403510295328699</v>
      </c>
      <c r="J657" s="27" t="n">
        <f aca="false">IF(I657="","",Resumen!$B$10-(MAX(I609:I705)-I657))</f>
        <v>1.66895376552866</v>
      </c>
    </row>
    <row r="658" customFormat="false" ht="15" hidden="false" customHeight="false" outlineLevel="0" collapsed="false">
      <c r="A658" s="24" t="n">
        <v>46268.2291666667</v>
      </c>
      <c r="B658" s="10" t="n">
        <v>4.526</v>
      </c>
      <c r="C658" s="10" t="n">
        <v>2.7628</v>
      </c>
      <c r="D658" s="10" t="n">
        <f aca="false">IF(OR(B658="",C658="",B658&lt;=0.05,C658&lt;=0.05),0,1)</f>
        <v>1</v>
      </c>
      <c r="E658" s="25" t="n">
        <f aca="false">IF(OR(A658&lt;Resumen!$B$6,A658&gt;=Resumen!$B$7),0,MAX(0,AVERAGEIFS(B610:B706,D610:D706,1)-Resumen!$B$5*AVERAGEIFS(C610:C706,D610:D706,1)))</f>
        <v>0</v>
      </c>
      <c r="F658" s="10" t="n">
        <f aca="false">IF(B658="","",(B658-E658)/Resumen!$B$5)</f>
        <v>3.59491660047657</v>
      </c>
      <c r="G658" s="10" t="n">
        <f aca="false">IF(OR(F658="",C658=""),0,(F658-C658)*0.9)</f>
        <v>0.748904940428912</v>
      </c>
      <c r="H658" s="26" t="n">
        <f aca="false">IF(A658&lt;Resumen!$B$11,"",IF(H657="",0,H657)+G658/Resumen!$B$9)</f>
        <v>0.34707544064396</v>
      </c>
      <c r="I658" s="26" t="n">
        <f aca="false">IF(H658="","",H658-AVERAGE(H610:H706))</f>
        <v>-0.00960772995954234</v>
      </c>
      <c r="J658" s="27" t="n">
        <f aca="false">IF(I658="","",Resumen!$B$10-(MAX(I610:I706)-I658))</f>
        <v>1.69969706510199</v>
      </c>
    </row>
    <row r="659" customFormat="false" ht="15" hidden="false" customHeight="false" outlineLevel="0" collapsed="false">
      <c r="A659" s="24" t="n">
        <v>46268.2395833333</v>
      </c>
      <c r="B659" s="10" t="n">
        <v>4.2282</v>
      </c>
      <c r="C659" s="10" t="n">
        <v>2.918</v>
      </c>
      <c r="D659" s="10" t="n">
        <f aca="false">IF(OR(B659="",C659="",B659&lt;=0.05,C659&lt;=0.05),0,1)</f>
        <v>1</v>
      </c>
      <c r="E659" s="25" t="n">
        <f aca="false">IF(OR(A659&lt;Resumen!$B$6,A659&gt;=Resumen!$B$7),0,MAX(0,AVERAGEIFS(B611:B707,D611:D707,1)-Resumen!$B$5*AVERAGEIFS(C611:C707,D611:D707,1)))</f>
        <v>0</v>
      </c>
      <c r="F659" s="10" t="n">
        <f aca="false">IF(B659="","",(B659-E659)/Resumen!$B$5)</f>
        <v>3.35837966640191</v>
      </c>
      <c r="G659" s="10" t="n">
        <f aca="false">IF(OR(F659="",C659=""),0,(F659-C659)*0.9)</f>
        <v>0.396341699761716</v>
      </c>
      <c r="H659" s="26" t="n">
        <f aca="false">IF(A659&lt;Resumen!$B$11,"",IF(H658="",0,H658)+G659/Resumen!$B$9)</f>
        <v>0.365810072805415</v>
      </c>
      <c r="I659" s="26" t="n">
        <f aca="false">IF(H659="","",H659-AVERAGE(H611:H707))</f>
        <v>0.00470830838537656</v>
      </c>
      <c r="J659" s="27" t="n">
        <f aca="false">IF(I659="","",Resumen!$B$10-(MAX(I611:I707)-I659))</f>
        <v>1.7140131034469</v>
      </c>
    </row>
    <row r="660" customFormat="false" ht="15" hidden="false" customHeight="false" outlineLevel="0" collapsed="false">
      <c r="A660" s="24" t="n">
        <v>46268.25</v>
      </c>
      <c r="B660" s="10" t="n">
        <v>2.2209</v>
      </c>
      <c r="C660" s="10" t="n">
        <v>3.1874</v>
      </c>
      <c r="D660" s="10" t="n">
        <f aca="false">IF(OR(B660="",C660="",B660&lt;=0.05,C660&lt;=0.05),0,1)</f>
        <v>1</v>
      </c>
      <c r="E660" s="25" t="n">
        <f aca="false">IF(OR(A660&lt;Resumen!$B$6,A660&gt;=Resumen!$B$7),0,MAX(0,AVERAGEIFS(B612:B708,D612:D708,1)-Resumen!$B$5*AVERAGEIFS(C612:C708,D612:D708,1)))</f>
        <v>0</v>
      </c>
      <c r="F660" s="10" t="n">
        <f aca="false">IF(B660="","",(B660-E660)/Resumen!$B$5)</f>
        <v>1.76401906274821</v>
      </c>
      <c r="G660" s="10" t="n">
        <f aca="false">IF(OR(F660="",C660=""),0,(F660-C660)*0.9)</f>
        <v>-1.28104284352661</v>
      </c>
      <c r="H660" s="26" t="n">
        <f aca="false">IF(A660&lt;Resumen!$B$11,"",IF(H659="",0,H659)+G660/Resumen!$B$9)</f>
        <v>0.305256599701363</v>
      </c>
      <c r="I660" s="26" t="n">
        <f aca="false">IF(H660="","",H660-AVERAGE(H612:H708))</f>
        <v>-0.0609381031222724</v>
      </c>
      <c r="J660" s="27" t="n">
        <f aca="false">IF(I660="","",Resumen!$B$10-(MAX(I612:I708)-I660))</f>
        <v>1.64836669193926</v>
      </c>
    </row>
    <row r="661" customFormat="false" ht="15" hidden="false" customHeight="false" outlineLevel="0" collapsed="false">
      <c r="A661" s="24" t="n">
        <v>46268.2604166667</v>
      </c>
      <c r="B661" s="10" t="n">
        <v>4.9028</v>
      </c>
      <c r="C661" s="10" t="n">
        <v>3.5848</v>
      </c>
      <c r="D661" s="10" t="n">
        <f aca="false">IF(OR(B661="",C661="",B661&lt;=0.05,C661&lt;=0.05),0,1)</f>
        <v>1</v>
      </c>
      <c r="E661" s="25" t="n">
        <f aca="false">IF(OR(A661&lt;Resumen!$B$6,A661&gt;=Resumen!$B$7),0,MAX(0,AVERAGEIFS(B613:B709,D613:D709,1)-Resumen!$B$5*AVERAGEIFS(C613:C709,D613:D709,1)))</f>
        <v>0</v>
      </c>
      <c r="F661" s="10" t="n">
        <f aca="false">IF(B661="","",(B661-E661)/Resumen!$B$5)</f>
        <v>3.89420174741859</v>
      </c>
      <c r="G661" s="10" t="n">
        <f aca="false">IF(OR(F661="",C661=""),0,(F661-C661)*0.9)</f>
        <v>0.278461572676728</v>
      </c>
      <c r="H661" s="26" t="n">
        <f aca="false">IF(A661&lt;Resumen!$B$11,"",IF(H660="",0,H660)+G661/Resumen!$B$9)</f>
        <v>0.318419169116429</v>
      </c>
      <c r="I661" s="26" t="n">
        <f aca="false">IF(H661="","",H661-AVERAGE(H613:H709))</f>
        <v>-0.0522239414113859</v>
      </c>
      <c r="J661" s="27" t="n">
        <f aca="false">IF(I661="","",Resumen!$B$10-(MAX(I613:I709)-I661))</f>
        <v>1.65708085365014</v>
      </c>
    </row>
    <row r="662" customFormat="false" ht="15" hidden="false" customHeight="false" outlineLevel="0" collapsed="false">
      <c r="A662" s="24" t="n">
        <v>46268.2708333333</v>
      </c>
      <c r="B662" s="10" t="n">
        <v>5.7323</v>
      </c>
      <c r="C662" s="10" t="n">
        <v>3.9107</v>
      </c>
      <c r="D662" s="10" t="n">
        <f aca="false">IF(OR(B662="",C662="",B662&lt;=0.05,C662&lt;=0.05),0,1)</f>
        <v>1</v>
      </c>
      <c r="E662" s="25" t="n">
        <f aca="false">IF(OR(A662&lt;Resumen!$B$6,A662&gt;=Resumen!$B$7),0,MAX(0,AVERAGEIFS(B614:B710,D614:D710,1)-Resumen!$B$5*AVERAGEIFS(C614:C710,D614:D710,1)))</f>
        <v>0</v>
      </c>
      <c r="F662" s="10" t="n">
        <f aca="false">IF(B662="","",(B662-E662)/Resumen!$B$5)</f>
        <v>4.55305798252581</v>
      </c>
      <c r="G662" s="10" t="n">
        <f aca="false">IF(OR(F662="",C662=""),0,(F662-C662)*0.9)</f>
        <v>0.578122184273233</v>
      </c>
      <c r="H662" s="26" t="n">
        <f aca="false">IF(A662&lt;Resumen!$B$11,"",IF(H661="",0,H661)+G662/Resumen!$B$9)</f>
        <v>0.345746362982852</v>
      </c>
      <c r="I662" s="26" t="n">
        <f aca="false">IF(H662="","",H662-AVERAGE(H614:H710))</f>
        <v>-0.0297879672005497</v>
      </c>
      <c r="J662" s="27" t="n">
        <f aca="false">IF(I662="","",Resumen!$B$10-(MAX(I614:I710)-I662))</f>
        <v>1.67951682786098</v>
      </c>
    </row>
    <row r="663" customFormat="false" ht="15" hidden="false" customHeight="false" outlineLevel="0" collapsed="false">
      <c r="A663" s="24" t="n">
        <v>46268.28125</v>
      </c>
      <c r="B663" s="10" t="n">
        <v>5.6521</v>
      </c>
      <c r="C663" s="10" t="n">
        <v>3.9227</v>
      </c>
      <c r="D663" s="10" t="n">
        <f aca="false">IF(OR(B663="",C663="",B663&lt;=0.05,C663&lt;=0.05),0,1)</f>
        <v>1</v>
      </c>
      <c r="E663" s="25" t="n">
        <f aca="false">IF(OR(A663&lt;Resumen!$B$6,A663&gt;=Resumen!$B$7),0,MAX(0,AVERAGEIFS(B615:B711,D615:D711,1)-Resumen!$B$5*AVERAGEIFS(C615:C711,D615:D711,1)))</f>
        <v>0</v>
      </c>
      <c r="F663" s="10" t="n">
        <f aca="false">IF(B663="","",(B663-E663)/Resumen!$B$5)</f>
        <v>4.48935663224782</v>
      </c>
      <c r="G663" s="10" t="n">
        <f aca="false">IF(OR(F663="",C663=""),0,(F663-C663)*0.9)</f>
        <v>0.509990969023034</v>
      </c>
      <c r="H663" s="26" t="n">
        <f aca="false">IF(A663&lt;Resumen!$B$11,"",IF(H662="",0,H662)+G663/Resumen!$B$9)</f>
        <v>0.369853069938125</v>
      </c>
      <c r="I663" s="26" t="n">
        <f aca="false">IF(H663="","",H663-AVERAGE(H615:H711))</f>
        <v>-0.010402511085945</v>
      </c>
      <c r="J663" s="27" t="n">
        <f aca="false">IF(I663="","",Resumen!$B$10-(MAX(I615:I711)-I663))</f>
        <v>1.69890228397558</v>
      </c>
    </row>
    <row r="664" customFormat="false" ht="15" hidden="false" customHeight="false" outlineLevel="0" collapsed="false">
      <c r="A664" s="24" t="n">
        <v>46268.2916666667</v>
      </c>
      <c r="B664" s="10" t="n">
        <v>3.9446</v>
      </c>
      <c r="C664" s="10" t="n">
        <v>2.7659</v>
      </c>
      <c r="D664" s="10" t="n">
        <f aca="false">IF(OR(B664="",C664="",B664&lt;=0.05,C664&lt;=0.05),0,1)</f>
        <v>1</v>
      </c>
      <c r="E664" s="25" t="n">
        <f aca="false">IF(OR(A664&lt;Resumen!$B$6,A664&gt;=Resumen!$B$7),0,MAX(0,AVERAGEIFS(B616:B712,D616:D712,1)-Resumen!$B$5*AVERAGEIFS(C616:C712,D616:D712,1)))</f>
        <v>0</v>
      </c>
      <c r="F664" s="10" t="n">
        <f aca="false">IF(B664="","",(B664-E664)/Resumen!$B$5)</f>
        <v>3.13312152501986</v>
      </c>
      <c r="G664" s="10" t="n">
        <f aca="false">IF(OR(F664="",C664=""),0,(F664-C664)*0.9)</f>
        <v>0.330499372517872</v>
      </c>
      <c r="H664" s="26" t="n">
        <f aca="false">IF(A664&lt;Resumen!$B$11,"",IF(H663="",0,H663)+G664/Resumen!$B$9)</f>
        <v>0.385475408383553</v>
      </c>
      <c r="I664" s="26" t="n">
        <f aca="false">IF(H664="","",H664-AVERAGE(H616:H712))</f>
        <v>-5.45746607842901E-005</v>
      </c>
      <c r="J664" s="27" t="n">
        <f aca="false">IF(I664="","",Resumen!$B$10-(MAX(I616:I712)-I664))</f>
        <v>1.70925022040074</v>
      </c>
    </row>
    <row r="665" customFormat="false" ht="15" hidden="false" customHeight="false" outlineLevel="0" collapsed="false">
      <c r="A665" s="24" t="n">
        <v>46268.3020833333</v>
      </c>
      <c r="B665" s="10" t="n">
        <v>3.4013</v>
      </c>
      <c r="C665" s="10" t="n">
        <v>2.8795</v>
      </c>
      <c r="D665" s="10" t="n">
        <f aca="false">IF(OR(B665="",C665="",B665&lt;=0.05,C665&lt;=0.05),0,1)</f>
        <v>1</v>
      </c>
      <c r="E665" s="25" t="n">
        <f aca="false">IF(OR(A665&lt;Resumen!$B$6,A665&gt;=Resumen!$B$7),0,MAX(0,AVERAGEIFS(B617:B713,D617:D713,1)-Resumen!$B$5*AVERAGEIFS(C617:C713,D617:D713,1)))</f>
        <v>0</v>
      </c>
      <c r="F665" s="10" t="n">
        <f aca="false">IF(B665="","",(B665-E665)/Resumen!$B$5)</f>
        <v>2.70158856235107</v>
      </c>
      <c r="G665" s="10" t="n">
        <f aca="false">IF(OR(F665="",C665=""),0,(F665-C665)*0.9)</f>
        <v>-0.160120293884035</v>
      </c>
      <c r="H665" s="26" t="n">
        <f aca="false">IF(A665&lt;Resumen!$B$11,"",IF(H664="",0,H664)+G665/Resumen!$B$9)</f>
        <v>0.377906699844167</v>
      </c>
      <c r="I665" s="26" t="n">
        <f aca="false">IF(H665="","",H665-AVERAGE(H617:H713))</f>
        <v>-0.0131752287632924</v>
      </c>
      <c r="J665" s="27" t="n">
        <f aca="false">IF(I665="","",Resumen!$B$10-(MAX(I617:I713)-I665))</f>
        <v>1.69612956629824</v>
      </c>
    </row>
    <row r="666" customFormat="false" ht="15" hidden="false" customHeight="false" outlineLevel="0" collapsed="false">
      <c r="A666" s="24" t="n">
        <v>46268.3125</v>
      </c>
      <c r="B666" s="10" t="n">
        <v>5.9569</v>
      </c>
      <c r="C666" s="10" t="n">
        <v>4.4085</v>
      </c>
      <c r="D666" s="10" t="n">
        <f aca="false">IF(OR(B666="",C666="",B666&lt;=0.05,C666&lt;=0.05),0,1)</f>
        <v>1</v>
      </c>
      <c r="E666" s="25" t="n">
        <f aca="false">IF(OR(A666&lt;Resumen!$B$6,A666&gt;=Resumen!$B$7),0,MAX(0,AVERAGEIFS(B618:B714,D618:D714,1)-Resumen!$B$5*AVERAGEIFS(C618:C714,D618:D714,1)))</f>
        <v>0</v>
      </c>
      <c r="F666" s="10" t="n">
        <f aca="false">IF(B666="","",(B666-E666)/Resumen!$B$5)</f>
        <v>4.73145353455123</v>
      </c>
      <c r="G666" s="10" t="n">
        <f aca="false">IF(OR(F666="",C666=""),0,(F666-C666)*0.9)</f>
        <v>0.290658181096109</v>
      </c>
      <c r="H666" s="26" t="n">
        <f aca="false">IF(A666&lt;Resumen!$B$11,"",IF(H665="",0,H665)+G666/Resumen!$B$9)</f>
        <v>0.391645789399535</v>
      </c>
      <c r="I666" s="26" t="n">
        <f aca="false">IF(H666="","",H666-AVERAGE(H618:H714))</f>
        <v>-0.00469651082940892</v>
      </c>
      <c r="J666" s="27" t="n">
        <f aca="false">IF(I666="","",Resumen!$B$10-(MAX(I618:I714)-I666))</f>
        <v>1.70460828423212</v>
      </c>
    </row>
    <row r="667" customFormat="false" ht="15" hidden="false" customHeight="false" outlineLevel="0" collapsed="false">
      <c r="A667" s="24" t="n">
        <v>46268.3229166667</v>
      </c>
      <c r="B667" s="10" t="n">
        <v>5.5967</v>
      </c>
      <c r="C667" s="10" t="n">
        <v>3.9219</v>
      </c>
      <c r="D667" s="10" t="n">
        <f aca="false">IF(OR(B667="",C667="",B667&lt;=0.05,C667&lt;=0.05),0,1)</f>
        <v>1</v>
      </c>
      <c r="E667" s="25" t="n">
        <f aca="false">IF(OR(A667&lt;Resumen!$B$6,A667&gt;=Resumen!$B$7),0,MAX(0,AVERAGEIFS(B619:B715,D619:D715,1)-Resumen!$B$5*AVERAGEIFS(C619:C715,D619:D715,1)))</f>
        <v>0</v>
      </c>
      <c r="F667" s="10" t="n">
        <f aca="false">IF(B667="","",(B667-E667)/Resumen!$B$5)</f>
        <v>4.44535345512311</v>
      </c>
      <c r="G667" s="10" t="n">
        <f aca="false">IF(OR(F667="",C667=""),0,(F667-C667)*0.9)</f>
        <v>0.471108109610803</v>
      </c>
      <c r="H667" s="26" t="n">
        <f aca="false">IF(A667&lt;Resumen!$B$11,"",IF(H666="",0,H666)+G667/Resumen!$B$9)</f>
        <v>0.413914546754977</v>
      </c>
      <c r="I667" s="26" t="n">
        <f aca="false">IF(H667="","",H667-AVERAGE(H619:H715))</f>
        <v>0.0115162758784543</v>
      </c>
      <c r="J667" s="27" t="n">
        <f aca="false">IF(I667="","",Resumen!$B$10-(MAX(I619:I715)-I667))</f>
        <v>1.72082107093998</v>
      </c>
    </row>
    <row r="668" customFormat="false" ht="15" hidden="false" customHeight="false" outlineLevel="0" collapsed="false">
      <c r="A668" s="24" t="n">
        <v>46268.3333333333</v>
      </c>
      <c r="B668" s="10" t="n">
        <v>3.0284</v>
      </c>
      <c r="C668" s="10" t="n">
        <v>2.4319</v>
      </c>
      <c r="D668" s="10" t="n">
        <f aca="false">IF(OR(B668="",C668="",B668&lt;=0.05,C668&lt;=0.05),0,1)</f>
        <v>1</v>
      </c>
      <c r="E668" s="25" t="n">
        <f aca="false">IF(OR(A668&lt;Resumen!$B$6,A668&gt;=Resumen!$B$7),0,MAX(0,AVERAGEIFS(B620:B716,D620:D716,1)-Resumen!$B$5*AVERAGEIFS(C620:C716,D620:D716,1)))</f>
        <v>0</v>
      </c>
      <c r="F668" s="10" t="n">
        <f aca="false">IF(B668="","",(B668-E668)/Resumen!$B$5)</f>
        <v>2.40540111199365</v>
      </c>
      <c r="G668" s="10" t="n">
        <f aca="false">IF(OR(F668="",C668=""),0,(F668-C668)*0.9)</f>
        <v>-0.0238489992057189</v>
      </c>
      <c r="H668" s="26" t="n">
        <f aca="false">IF(A668&lt;Resumen!$B$11,"",IF(H667="",0,H667)+G668/Resumen!$B$9)</f>
        <v>0.412787231037739</v>
      </c>
      <c r="I668" s="26" t="n">
        <f aca="false">IF(H668="","",H668-AVERAGE(H620:H716))</f>
        <v>0.00372910190417169</v>
      </c>
      <c r="J668" s="27" t="n">
        <f aca="false">IF(I668="","",Resumen!$B$10-(MAX(I620:I716)-I668))</f>
        <v>1.7130338969657</v>
      </c>
    </row>
    <row r="669" customFormat="false" ht="15" hidden="false" customHeight="false" outlineLevel="0" collapsed="false">
      <c r="A669" s="24" t="n">
        <v>46268.34375</v>
      </c>
      <c r="B669" s="10" t="n">
        <v>4.5097</v>
      </c>
      <c r="C669" s="10" t="n">
        <v>3.2517</v>
      </c>
      <c r="D669" s="10" t="n">
        <f aca="false">IF(OR(B669="",C669="",B669&lt;=0.05,C669&lt;=0.05),0,1)</f>
        <v>1</v>
      </c>
      <c r="E669" s="25" t="n">
        <f aca="false">IF(OR(A669&lt;Resumen!$B$6,A669&gt;=Resumen!$B$7),0,MAX(0,AVERAGEIFS(B621:B717,D621:D717,1)-Resumen!$B$5*AVERAGEIFS(C621:C717,D621:D717,1)))</f>
        <v>0</v>
      </c>
      <c r="F669" s="10" t="n">
        <f aca="false">IF(B669="","",(B669-E669)/Resumen!$B$5)</f>
        <v>3.58196981731533</v>
      </c>
      <c r="G669" s="10" t="n">
        <f aca="false">IF(OR(F669="",C669=""),0,(F669-C669)*0.9)</f>
        <v>0.297242835583797</v>
      </c>
      <c r="H669" s="26" t="n">
        <f aca="false">IF(A669&lt;Resumen!$B$11,"",IF(H668="",0,H668)+G669/Resumen!$B$9)</f>
        <v>0.426837569900993</v>
      </c>
      <c r="I669" s="26" t="n">
        <f aca="false">IF(H669="","",H669-AVERAGE(H621:H717))</f>
        <v>0.0103364728010653</v>
      </c>
      <c r="J669" s="27" t="n">
        <f aca="false">IF(I669="","",Resumen!$B$10-(MAX(I621:I717)-I669))</f>
        <v>1.71964126786259</v>
      </c>
    </row>
    <row r="670" customFormat="false" ht="15" hidden="false" customHeight="false" outlineLevel="0" collapsed="false">
      <c r="A670" s="24" t="n">
        <v>46268.3541666667</v>
      </c>
      <c r="B670" s="10" t="n">
        <v>3.9531</v>
      </c>
      <c r="C670" s="10" t="n">
        <v>3.5373</v>
      </c>
      <c r="D670" s="10" t="n">
        <f aca="false">IF(OR(B670="",C670="",B670&lt;=0.05,C670&lt;=0.05),0,1)</f>
        <v>1</v>
      </c>
      <c r="E670" s="25" t="n">
        <f aca="false">IF(OR(A670&lt;Resumen!$B$6,A670&gt;=Resumen!$B$7),0,MAX(0,AVERAGEIFS(B622:B718,D622:D718,1)-Resumen!$B$5*AVERAGEIFS(C622:C718,D622:D718,1)))</f>
        <v>0</v>
      </c>
      <c r="F670" s="10" t="n">
        <f aca="false">IF(B670="","",(B670-E670)/Resumen!$B$5)</f>
        <v>3.13987291501191</v>
      </c>
      <c r="G670" s="10" t="n">
        <f aca="false">IF(OR(F670="",C670=""),0,(F670-C670)*0.9)</f>
        <v>-0.357684376489277</v>
      </c>
      <c r="H670" s="26" t="n">
        <f aca="false">IF(A670&lt;Resumen!$B$11,"",IF(H669="",0,H669)+G670/Resumen!$B$9)</f>
        <v>0.409930226496414</v>
      </c>
      <c r="I670" s="26" t="n">
        <f aca="false">IF(H670="","",H670-AVERAGE(H622:H718))</f>
        <v>-0.0147543799079206</v>
      </c>
      <c r="J670" s="27" t="n">
        <f aca="false">IF(I670="","",Resumen!$B$10-(MAX(I622:I718)-I670))</f>
        <v>1.69455041515361</v>
      </c>
    </row>
    <row r="671" customFormat="false" ht="15" hidden="false" customHeight="false" outlineLevel="0" collapsed="false">
      <c r="A671" s="24" t="n">
        <v>46268.3645833333</v>
      </c>
      <c r="B671" s="10" t="n">
        <v>5.1093</v>
      </c>
      <c r="C671" s="10" t="n">
        <v>4.0241</v>
      </c>
      <c r="D671" s="10" t="n">
        <f aca="false">IF(OR(B671="",C671="",B671&lt;=0.05,C671&lt;=0.05),0,1)</f>
        <v>1</v>
      </c>
      <c r="E671" s="25" t="n">
        <f aca="false">IF(OR(A671&lt;Resumen!$B$6,A671&gt;=Resumen!$B$7),0,MAX(0,AVERAGEIFS(B623:B719,D623:D719,1)-Resumen!$B$5*AVERAGEIFS(C623:C719,D623:D719,1)))</f>
        <v>0</v>
      </c>
      <c r="F671" s="10" t="n">
        <f aca="false">IF(B671="","",(B671-E671)/Resumen!$B$5)</f>
        <v>4.0582208101668</v>
      </c>
      <c r="G671" s="10" t="n">
        <f aca="false">IF(OR(F671="",C671=""),0,(F671-C671)*0.9)</f>
        <v>0.03070872915012</v>
      </c>
      <c r="H671" s="26" t="n">
        <f aca="false">IF(A671&lt;Resumen!$B$11,"",IF(H670="",0,H670)+G671/Resumen!$B$9)</f>
        <v>0.41138179403301</v>
      </c>
      <c r="I671" s="26" t="n">
        <f aca="false">IF(H671="","",H671-AVERAGE(H623:H719))</f>
        <v>-0.0217945945449592</v>
      </c>
      <c r="J671" s="27" t="n">
        <f aca="false">IF(I671="","",Resumen!$B$10-(MAX(I623:I719)-I671))</f>
        <v>1.68751020051657</v>
      </c>
    </row>
    <row r="672" customFormat="false" ht="15" hidden="false" customHeight="false" outlineLevel="0" collapsed="false">
      <c r="A672" s="24" t="n">
        <v>46268.375</v>
      </c>
      <c r="B672" s="10" t="n">
        <v>3.988</v>
      </c>
      <c r="C672" s="10" t="n">
        <v>3.7994</v>
      </c>
      <c r="D672" s="10" t="n">
        <f aca="false">IF(OR(B672="",C672="",B672&lt;=0.05,C672&lt;=0.05),0,1)</f>
        <v>1</v>
      </c>
      <c r="E672" s="25" t="n">
        <f aca="false">IF(OR(A672&lt;Resumen!$B$6,A672&gt;=Resumen!$B$7),0,MAX(0,AVERAGEIFS(B624:B720,D624:D720,1)-Resumen!$B$5*AVERAGEIFS(C624:C720,D624:D720,1)))</f>
        <v>0</v>
      </c>
      <c r="F672" s="10" t="n">
        <f aca="false">IF(B672="","",(B672-E672)/Resumen!$B$5)</f>
        <v>3.16759332803813</v>
      </c>
      <c r="G672" s="10" t="n">
        <f aca="false">IF(OR(F672="",C672=""),0,(F672-C672)*0.9)</f>
        <v>-0.568626004765687</v>
      </c>
      <c r="H672" s="26" t="n">
        <f aca="false">IF(A672&lt;Resumen!$B$11,"",IF(H671="",0,H671)+G672/Resumen!$B$9)</f>
        <v>0.384503474030024</v>
      </c>
      <c r="I672" s="26" t="n">
        <f aca="false">IF(H672="","",H672-AVERAGE(H624:H720))</f>
        <v>-0.0568772651584896</v>
      </c>
      <c r="J672" s="27" t="n">
        <f aca="false">IF(I672="","",Resumen!$B$10-(MAX(I624:I720)-I672))</f>
        <v>1.65242752990304</v>
      </c>
    </row>
    <row r="673" customFormat="false" ht="15" hidden="false" customHeight="false" outlineLevel="0" collapsed="false">
      <c r="A673" s="24" t="n">
        <v>46268.3854166667</v>
      </c>
      <c r="B673" s="10" t="n">
        <v>3.0425</v>
      </c>
      <c r="C673" s="10" t="n">
        <v>3.4954</v>
      </c>
      <c r="D673" s="10" t="n">
        <f aca="false">IF(OR(B673="",C673="",B673&lt;=0.05,C673&lt;=0.05),0,1)</f>
        <v>1</v>
      </c>
      <c r="E673" s="25" t="n">
        <f aca="false">IF(OR(A673&lt;Resumen!$B$6,A673&gt;=Resumen!$B$7),0,MAX(0,AVERAGEIFS(B625:B721,D625:D721,1)-Resumen!$B$5*AVERAGEIFS(C625:C721,D625:D721,1)))</f>
        <v>0</v>
      </c>
      <c r="F673" s="10" t="n">
        <f aca="false">IF(B673="","",(B673-E673)/Resumen!$B$5)</f>
        <v>2.41660047656871</v>
      </c>
      <c r="G673" s="10" t="n">
        <f aca="false">IF(OR(F673="",C673=""),0,(F673-C673)*0.9)</f>
        <v>-0.970919571088165</v>
      </c>
      <c r="H673" s="26" t="n">
        <f aca="false">IF(A673&lt;Resumen!$B$11,"",IF(H672="",0,H672)+G673/Resumen!$B$9)</f>
        <v>0.338609183740533</v>
      </c>
      <c r="I673" s="26" t="n">
        <f aca="false">IF(H673="","",H673-AVERAGE(H625:H721))</f>
        <v>-0.111075441932256</v>
      </c>
      <c r="J673" s="27" t="n">
        <f aca="false">IF(I673="","",Resumen!$B$10-(MAX(I625:I721)-I673))</f>
        <v>1.59822935312927</v>
      </c>
    </row>
    <row r="674" customFormat="false" ht="15" hidden="false" customHeight="false" outlineLevel="0" collapsed="false">
      <c r="A674" s="24" t="n">
        <v>46268.3958333333</v>
      </c>
      <c r="B674" s="10" t="n">
        <v>5.779</v>
      </c>
      <c r="C674" s="10" t="n">
        <v>3.102</v>
      </c>
      <c r="D674" s="10" t="n">
        <f aca="false">IF(OR(B674="",C674="",B674&lt;=0.05,C674&lt;=0.05),0,1)</f>
        <v>1</v>
      </c>
      <c r="E674" s="25" t="n">
        <f aca="false">IF(OR(A674&lt;Resumen!$B$6,A674&gt;=Resumen!$B$7),0,MAX(0,AVERAGEIFS(B626:B722,D626:D722,1)-Resumen!$B$5*AVERAGEIFS(C626:C722,D626:D722,1)))</f>
        <v>0</v>
      </c>
      <c r="F674" s="10" t="n">
        <f aca="false">IF(B674="","",(B674-E674)/Resumen!$B$5)</f>
        <v>4.59015091342335</v>
      </c>
      <c r="G674" s="10" t="n">
        <f aca="false">IF(OR(F674="",C674=""),0,(F674-C674)*0.9)</f>
        <v>1.33933582208102</v>
      </c>
      <c r="H674" s="26" t="n">
        <f aca="false">IF(A674&lt;Resumen!$B$11,"",IF(H673="",0,H673)+G674/Resumen!$B$9)</f>
        <v>0.401918101228734</v>
      </c>
      <c r="I674" s="26" t="n">
        <f aca="false">IF(H674="","",H674-AVERAGE(H626:H722))</f>
        <v>-0.0560683440760603</v>
      </c>
      <c r="J674" s="27" t="n">
        <f aca="false">IF(I674="","",Resumen!$B$10-(MAX(I626:I722)-I674))</f>
        <v>1.65323645098547</v>
      </c>
    </row>
    <row r="675" customFormat="false" ht="15" hidden="false" customHeight="false" outlineLevel="0" collapsed="false">
      <c r="A675" s="24" t="n">
        <v>46268.40625</v>
      </c>
      <c r="B675" s="10" t="n">
        <v>5.0027</v>
      </c>
      <c r="C675" s="10" t="n">
        <v>3.3249</v>
      </c>
      <c r="D675" s="10" t="n">
        <f aca="false">IF(OR(B675="",C675="",B675&lt;=0.05,C675&lt;=0.05),0,1)</f>
        <v>1</v>
      </c>
      <c r="E675" s="25" t="n">
        <f aca="false">IF(OR(A675&lt;Resumen!$B$6,A675&gt;=Resumen!$B$7),0,MAX(0,AVERAGEIFS(B627:B723,D627:D723,1)-Resumen!$B$5*AVERAGEIFS(C627:C723,D627:D723,1)))</f>
        <v>0</v>
      </c>
      <c r="F675" s="10" t="n">
        <f aca="false">IF(B675="","",(B675-E675)/Resumen!$B$5)</f>
        <v>3.97355043685465</v>
      </c>
      <c r="G675" s="10" t="n">
        <f aca="false">IF(OR(F675="",C675=""),0,(F675-C675)*0.9)</f>
        <v>0.583785393169182</v>
      </c>
      <c r="H675" s="26" t="n">
        <f aca="false">IF(A675&lt;Resumen!$B$11,"",IF(H674="",0,H674)+G675/Resumen!$B$9)</f>
        <v>0.429512988692834</v>
      </c>
      <c r="I675" s="26" t="n">
        <f aca="false">IF(H675="","",H675-AVERAGE(H627:H723))</f>
        <v>-0.0359991895545819</v>
      </c>
      <c r="J675" s="27" t="n">
        <f aca="false">IF(I675="","",Resumen!$B$10-(MAX(I627:I723)-I675))</f>
        <v>1.67330560550695</v>
      </c>
    </row>
    <row r="676" customFormat="false" ht="15" hidden="false" customHeight="false" outlineLevel="0" collapsed="false">
      <c r="A676" s="24" t="n">
        <v>46268.4166666667</v>
      </c>
      <c r="B676" s="10" t="n">
        <v>5.8946</v>
      </c>
      <c r="C676" s="10" t="n">
        <v>4.9116</v>
      </c>
      <c r="D676" s="10" t="n">
        <f aca="false">IF(OR(B676="",C676="",B676&lt;=0.05,C676&lt;=0.05),0,1)</f>
        <v>1</v>
      </c>
      <c r="E676" s="25" t="n">
        <f aca="false">IF(OR(A676&lt;Resumen!$B$6,A676&gt;=Resumen!$B$7),0,MAX(0,AVERAGEIFS(B628:B724,D628:D724,1)-Resumen!$B$5*AVERAGEIFS(C628:C724,D628:D724,1)))</f>
        <v>0</v>
      </c>
      <c r="F676" s="10" t="n">
        <f aca="false">IF(B676="","",(B676-E676)/Resumen!$B$5)</f>
        <v>4.68196981731533</v>
      </c>
      <c r="G676" s="10" t="n">
        <f aca="false">IF(OR(F676="",C676=""),0,(F676-C676)*0.9)</f>
        <v>-0.206667164416203</v>
      </c>
      <c r="H676" s="26" t="n">
        <f aca="false">IF(A676&lt;Resumen!$B$11,"",IF(H675="",0,H675)+G676/Resumen!$B$9)</f>
        <v>0.419744061255938</v>
      </c>
      <c r="I676" s="26" t="n">
        <f aca="false">IF(H676="","",H676-AVERAGE(H628:H724))</f>
        <v>-0.053149510825834</v>
      </c>
      <c r="J676" s="27" t="n">
        <f aca="false">IF(I676="","",Resumen!$B$10-(MAX(I628:I724)-I676))</f>
        <v>1.65615528423569</v>
      </c>
    </row>
    <row r="677" customFormat="false" ht="15" hidden="false" customHeight="false" outlineLevel="0" collapsed="false">
      <c r="A677" s="24" t="n">
        <v>46268.4270833333</v>
      </c>
      <c r="B677" s="10" t="n">
        <v>5.4686</v>
      </c>
      <c r="C677" s="10" t="n">
        <v>4.7996</v>
      </c>
      <c r="D677" s="10" t="n">
        <f aca="false">IF(OR(B677="",C677="",B677&lt;=0.05,C677&lt;=0.05),0,1)</f>
        <v>1</v>
      </c>
      <c r="E677" s="25" t="n">
        <f aca="false">IF(OR(A677&lt;Resumen!$B$6,A677&gt;=Resumen!$B$7),0,MAX(0,AVERAGEIFS(B629:B725,D629:D725,1)-Resumen!$B$5*AVERAGEIFS(C629:C725,D629:D725,1)))</f>
        <v>0</v>
      </c>
      <c r="F677" s="10" t="n">
        <f aca="false">IF(B677="","",(B677-E677)/Resumen!$B$5)</f>
        <v>4.34360603653694</v>
      </c>
      <c r="G677" s="10" t="n">
        <f aca="false">IF(OR(F677="",C677=""),0,(F677-C677)*0.9)</f>
        <v>-0.410394567116759</v>
      </c>
      <c r="H677" s="26" t="n">
        <f aca="false">IF(A677&lt;Resumen!$B$11,"",IF(H676="",0,H676)+G677/Resumen!$B$9)</f>
        <v>0.400345165654959</v>
      </c>
      <c r="I677" s="26" t="n">
        <f aca="false">IF(H677="","",H677-AVERAGE(H629:H725))</f>
        <v>-0.0796153147820933</v>
      </c>
      <c r="J677" s="27" t="n">
        <f aca="false">IF(I677="","",Resumen!$B$10-(MAX(I629:I725)-I677))</f>
        <v>1.62968948027943</v>
      </c>
    </row>
    <row r="678" customFormat="false" ht="15" hidden="false" customHeight="false" outlineLevel="0" collapsed="false">
      <c r="A678" s="24" t="n">
        <v>46268.4375</v>
      </c>
      <c r="B678" s="10" t="n">
        <v>6.7094</v>
      </c>
      <c r="C678" s="10" t="n">
        <v>3.9322</v>
      </c>
      <c r="D678" s="10" t="n">
        <f aca="false">IF(OR(B678="",C678="",B678&lt;=0.05,C678&lt;=0.05),0,1)</f>
        <v>1</v>
      </c>
      <c r="E678" s="25" t="n">
        <f aca="false">IF(OR(A678&lt;Resumen!$B$6,A678&gt;=Resumen!$B$7),0,MAX(0,AVERAGEIFS(B630:B726,D630:D726,1)-Resumen!$B$5*AVERAGEIFS(C630:C726,D630:D726,1)))</f>
        <v>0</v>
      </c>
      <c r="F678" s="10" t="n">
        <f aca="false">IF(B678="","",(B678-E678)/Resumen!$B$5)</f>
        <v>5.32915011914218</v>
      </c>
      <c r="G678" s="10" t="n">
        <f aca="false">IF(OR(F678="",C678=""),0,(F678-C678)*0.9)</f>
        <v>1.25725510722796</v>
      </c>
      <c r="H678" s="26" t="n">
        <f aca="false">IF(A678&lt;Resumen!$B$11,"",IF(H677="",0,H677)+G678/Resumen!$B$9)</f>
        <v>0.459774218871382</v>
      </c>
      <c r="I678" s="26" t="n">
        <f aca="false">IF(H678="","",H678-AVERAGE(H630:H726))</f>
        <v>-0.026956717459695</v>
      </c>
      <c r="J678" s="27" t="n">
        <f aca="false">IF(I678="","",Resumen!$B$10-(MAX(I630:I726)-I678))</f>
        <v>1.68234807760183</v>
      </c>
    </row>
    <row r="679" customFormat="false" ht="15" hidden="false" customHeight="false" outlineLevel="0" collapsed="false">
      <c r="A679" s="24" t="n">
        <v>46268.4479166667</v>
      </c>
      <c r="B679" s="10" t="n">
        <v>4.6356</v>
      </c>
      <c r="C679" s="10" t="n">
        <v>3.6853</v>
      </c>
      <c r="D679" s="10" t="n">
        <f aca="false">IF(OR(B679="",C679="",B679&lt;=0.05,C679&lt;=0.05),0,1)</f>
        <v>1</v>
      </c>
      <c r="E679" s="25" t="n">
        <f aca="false">IF(OR(A679&lt;Resumen!$B$6,A679&gt;=Resumen!$B$7),0,MAX(0,AVERAGEIFS(B631:B727,D631:D727,1)-Resumen!$B$5*AVERAGEIFS(C631:C727,D631:D727,1)))</f>
        <v>0</v>
      </c>
      <c r="F679" s="10" t="n">
        <f aca="false">IF(B679="","",(B679-E679)/Resumen!$B$5)</f>
        <v>3.68196981731533</v>
      </c>
      <c r="G679" s="10" t="n">
        <f aca="false">IF(OR(F679="",C679=""),0,(F679-C679)*0.9)</f>
        <v>-0.0029971644162027</v>
      </c>
      <c r="H679" s="26" t="n">
        <f aca="false">IF(A679&lt;Resumen!$B$11,"",IF(H678="",0,H678)+G679/Resumen!$B$9)</f>
        <v>0.459632546236636</v>
      </c>
      <c r="I679" s="26" t="n">
        <f aca="false">IF(H679="","",H679-AVERAGE(H631:H727))</f>
        <v>-0.0335413830445505</v>
      </c>
      <c r="J679" s="27" t="n">
        <f aca="false">IF(I679="","",Resumen!$B$10-(MAX(I631:I727)-I679))</f>
        <v>1.67576341201698</v>
      </c>
    </row>
    <row r="680" customFormat="false" ht="15" hidden="false" customHeight="false" outlineLevel="0" collapsed="false">
      <c r="A680" s="24" t="n">
        <v>46268.4583333333</v>
      </c>
      <c r="B680" s="10" t="n">
        <v>3.8203</v>
      </c>
      <c r="C680" s="10" t="n">
        <v>3.256</v>
      </c>
      <c r="D680" s="10" t="n">
        <f aca="false">IF(OR(B680="",C680="",B680&lt;=0.05,C680&lt;=0.05),0,1)</f>
        <v>1</v>
      </c>
      <c r="E680" s="25" t="n">
        <f aca="false">IF(OR(A680&lt;Resumen!$B$6,A680&gt;=Resumen!$B$7),0,MAX(0,AVERAGEIFS(B632:B728,D632:D728,1)-Resumen!$B$5*AVERAGEIFS(C632:C728,D632:D728,1)))</f>
        <v>0</v>
      </c>
      <c r="F680" s="10" t="n">
        <f aca="false">IF(B680="","",(B680-E680)/Resumen!$B$5)</f>
        <v>3.03439237490072</v>
      </c>
      <c r="G680" s="10" t="n">
        <f aca="false">IF(OR(F680="",C680=""),0,(F680-C680)*0.9)</f>
        <v>-0.199446862589356</v>
      </c>
      <c r="H680" s="26" t="n">
        <f aca="false">IF(A680&lt;Resumen!$B$11,"",IF(H679="",0,H679)+G680/Resumen!$B$9)</f>
        <v>0.450204914451703</v>
      </c>
      <c r="I680" s="26" t="n">
        <f aca="false">IF(H680="","",H680-AVERAGE(H632:H728))</f>
        <v>-0.0495600250850795</v>
      </c>
      <c r="J680" s="27" t="n">
        <f aca="false">IF(I680="","",Resumen!$B$10-(MAX(I632:I728)-I680))</f>
        <v>1.65974476997645</v>
      </c>
    </row>
    <row r="681" customFormat="false" ht="15" hidden="false" customHeight="false" outlineLevel="0" collapsed="false">
      <c r="A681" s="24" t="n">
        <v>46268.46875</v>
      </c>
      <c r="B681" s="10" t="n">
        <v>3.0004</v>
      </c>
      <c r="C681" s="10" t="n">
        <v>3.7207</v>
      </c>
      <c r="D681" s="10" t="n">
        <f aca="false">IF(OR(B681="",C681="",B681&lt;=0.05,C681&lt;=0.05),0,1)</f>
        <v>1</v>
      </c>
      <c r="E681" s="25" t="n">
        <f aca="false">IF(OR(A681&lt;Resumen!$B$6,A681&gt;=Resumen!$B$7),0,MAX(0,AVERAGEIFS(B633:B729,D633:D729,1)-Resumen!$B$5*AVERAGEIFS(C633:C729,D633:D729,1)))</f>
        <v>0</v>
      </c>
      <c r="F681" s="10" t="n">
        <f aca="false">IF(B681="","",(B681-E681)/Resumen!$B$5)</f>
        <v>2.38316123907863</v>
      </c>
      <c r="G681" s="10" t="n">
        <f aca="false">IF(OR(F681="",C681=""),0,(F681-C681)*0.9)</f>
        <v>-1.20378488482923</v>
      </c>
      <c r="H681" s="26" t="n">
        <f aca="false">IF(A681&lt;Resumen!$B$11,"",IF(H680="",0,H680)+G681/Resumen!$B$9)</f>
        <v>0.393303339289781</v>
      </c>
      <c r="I681" s="26" t="n">
        <f aca="false">IF(H681="","",H681-AVERAGE(H633:H729))</f>
        <v>-0.114202957347104</v>
      </c>
      <c r="J681" s="27" t="n">
        <f aca="false">IF(I681="","",Resumen!$B$10-(MAX(I633:I729)-I681))</f>
        <v>1.59510183771442</v>
      </c>
    </row>
    <row r="682" customFormat="false" ht="15" hidden="false" customHeight="false" outlineLevel="0" collapsed="false">
      <c r="A682" s="24" t="n">
        <v>46268.4791666667</v>
      </c>
      <c r="B682" s="10" t="n">
        <v>3.847</v>
      </c>
      <c r="C682" s="10" t="n">
        <v>4.7015</v>
      </c>
      <c r="D682" s="10" t="n">
        <f aca="false">IF(OR(B682="",C682="",B682&lt;=0.05,C682&lt;=0.05),0,1)</f>
        <v>1</v>
      </c>
      <c r="E682" s="25" t="n">
        <f aca="false">IF(OR(A682&lt;Resumen!$B$6,A682&gt;=Resumen!$B$7),0,MAX(0,AVERAGEIFS(B634:B730,D634:D730,1)-Resumen!$B$5*AVERAGEIFS(C634:C730,D634:D730,1)))</f>
        <v>0</v>
      </c>
      <c r="F682" s="10" t="n">
        <f aca="false">IF(B682="","",(B682-E682)/Resumen!$B$5)</f>
        <v>3.05559968228753</v>
      </c>
      <c r="G682" s="10" t="n">
        <f aca="false">IF(OR(F682="",C682=""),0,(F682-C682)*0.9)</f>
        <v>-1.48131028594122</v>
      </c>
      <c r="H682" s="26" t="n">
        <f aca="false">IF(A682&lt;Resumen!$B$11,"",IF(H681="",0,H681)+G682/Resumen!$B$9)</f>
        <v>0.323283446503397</v>
      </c>
      <c r="I682" s="26" t="n">
        <f aca="false">IF(H682="","",H682-AVERAGE(H634:H730))</f>
        <v>-0.191941287231157</v>
      </c>
      <c r="J682" s="27" t="n">
        <f aca="false">IF(I682="","",Resumen!$B$10-(MAX(I634:I730)-I682))</f>
        <v>1.51736350783037</v>
      </c>
    </row>
    <row r="683" customFormat="false" ht="15" hidden="false" customHeight="false" outlineLevel="0" collapsed="false">
      <c r="A683" s="24" t="n">
        <v>46268.4895833333</v>
      </c>
      <c r="B683" s="10" t="n">
        <v>4.6898</v>
      </c>
      <c r="C683" s="10" t="n">
        <v>3.7283</v>
      </c>
      <c r="D683" s="10" t="n">
        <f aca="false">IF(OR(B683="",C683="",B683&lt;=0.05,C683&lt;=0.05),0,1)</f>
        <v>1</v>
      </c>
      <c r="E683" s="25" t="n">
        <f aca="false">IF(OR(A683&lt;Resumen!$B$6,A683&gt;=Resumen!$B$7),0,MAX(0,AVERAGEIFS(B635:B731,D635:D731,1)-Resumen!$B$5*AVERAGEIFS(C635:C731,D635:D731,1)))</f>
        <v>0</v>
      </c>
      <c r="F683" s="10" t="n">
        <f aca="false">IF(B683="","",(B683-E683)/Resumen!$B$5)</f>
        <v>3.72501985702939</v>
      </c>
      <c r="G683" s="10" t="n">
        <f aca="false">IF(OR(F683="",C683=""),0,(F683-C683)*0.9)</f>
        <v>-0.00295212867354997</v>
      </c>
      <c r="H683" s="26" t="n">
        <f aca="false">IF(A683&lt;Resumen!$B$11,"",IF(H682="",0,H682)+G683/Resumen!$B$9)</f>
        <v>0.323143902658211</v>
      </c>
      <c r="I683" s="26" t="n">
        <f aca="false">IF(H683="","",H683-AVERAGE(H635:H731))</f>
        <v>-0.200091379242244</v>
      </c>
      <c r="J683" s="27" t="n">
        <f aca="false">IF(I683="","",Resumen!$B$10-(MAX(I635:I731)-I683))</f>
        <v>1.50921341581928</v>
      </c>
    </row>
    <row r="684" customFormat="false" ht="15" hidden="false" customHeight="false" outlineLevel="0" collapsed="false">
      <c r="A684" s="24" t="n">
        <v>46268.5</v>
      </c>
      <c r="B684" s="10" t="n">
        <v>5.2681</v>
      </c>
      <c r="C684" s="10" t="n">
        <v>3.5993</v>
      </c>
      <c r="D684" s="10" t="n">
        <f aca="false">IF(OR(B684="",C684="",B684&lt;=0.05,C684&lt;=0.05),0,1)</f>
        <v>1</v>
      </c>
      <c r="E684" s="25" t="n">
        <f aca="false">IF(OR(A684&lt;Resumen!$B$6,A684&gt;=Resumen!$B$7),0,MAX(0,AVERAGEIFS(B636:B732,D636:D732,1)-Resumen!$B$5*AVERAGEIFS(C636:C732,D636:D732,1)))</f>
        <v>0</v>
      </c>
      <c r="F684" s="10" t="n">
        <f aca="false">IF(B684="","",(B684-E684)/Resumen!$B$5)</f>
        <v>4.18435266084194</v>
      </c>
      <c r="G684" s="10" t="n">
        <f aca="false">IF(OR(F684="",C684=""),0,(F684-C684)*0.9)</f>
        <v>0.526547394757744</v>
      </c>
      <c r="H684" s="26" t="n">
        <f aca="false">IF(A684&lt;Resumen!$B$11,"",IF(H683="",0,H683)+G684/Resumen!$B$9)</f>
        <v>0.348033213478369</v>
      </c>
      <c r="I684" s="26" t="n">
        <f aca="false">IF(H684="","",H684-AVERAGE(H636:H732))</f>
        <v>-0.183577495159507</v>
      </c>
      <c r="J684" s="27" t="n">
        <f aca="false">IF(I684="","",Resumen!$B$10-(MAX(I636:I732)-I684))</f>
        <v>1.52572729990202</v>
      </c>
    </row>
    <row r="685" customFormat="false" ht="15" hidden="false" customHeight="false" outlineLevel="0" collapsed="false">
      <c r="A685" s="24" t="n">
        <v>46268.5104166667</v>
      </c>
      <c r="B685" s="10" t="n">
        <v>4.7993</v>
      </c>
      <c r="C685" s="10" t="n">
        <v>3.4184</v>
      </c>
      <c r="D685" s="10" t="n">
        <f aca="false">IF(OR(B685="",C685="",B685&lt;=0.05,C685&lt;=0.05),0,1)</f>
        <v>1</v>
      </c>
      <c r="E685" s="25" t="n">
        <f aca="false">IF(OR(A685&lt;Resumen!$B$6,A685&gt;=Resumen!$B$7),0,MAX(0,AVERAGEIFS(B637:B733,D637:D733,1)-Resumen!$B$5*AVERAGEIFS(C637:C733,D637:D733,1)))</f>
        <v>0</v>
      </c>
      <c r="F685" s="10" t="n">
        <f aca="false">IF(B685="","",(B685-E685)/Resumen!$B$5)</f>
        <v>3.8119936457506</v>
      </c>
      <c r="G685" s="10" t="n">
        <f aca="false">IF(OR(F685="",C685=""),0,(F685-C685)*0.9)</f>
        <v>0.354234281175536</v>
      </c>
      <c r="H685" s="26" t="n">
        <f aca="false">IF(A685&lt;Resumen!$B$11,"",IF(H684="",0,H684)+G685/Resumen!$B$9)</f>
        <v>0.364777474707482</v>
      </c>
      <c r="I685" s="26" t="n">
        <f aca="false">IF(H685="","",H685-AVERAGE(H637:H733))</f>
        <v>-0.17527564919196</v>
      </c>
      <c r="J685" s="27" t="n">
        <f aca="false">IF(I685="","",Resumen!$B$10-(MAX(I637:I733)-I685))</f>
        <v>1.53402914586957</v>
      </c>
    </row>
    <row r="686" customFormat="false" ht="15" hidden="false" customHeight="false" outlineLevel="0" collapsed="false">
      <c r="A686" s="24" t="n">
        <v>46268.5208333333</v>
      </c>
      <c r="B686" s="10" t="n">
        <v>4.9481</v>
      </c>
      <c r="C686" s="10" t="n">
        <v>2.7491</v>
      </c>
      <c r="D686" s="10" t="n">
        <f aca="false">IF(OR(B686="",C686="",B686&lt;=0.05,C686&lt;=0.05),0,1)</f>
        <v>1</v>
      </c>
      <c r="E686" s="25" t="n">
        <f aca="false">IF(OR(A686&lt;Resumen!$B$6,A686&gt;=Resumen!$B$7),0,MAX(0,AVERAGEIFS(B638:B734,D638:D734,1)-Resumen!$B$5*AVERAGEIFS(C638:C734,D638:D734,1)))</f>
        <v>0</v>
      </c>
      <c r="F686" s="10" t="n">
        <f aca="false">IF(B686="","",(B686-E686)/Resumen!$B$5)</f>
        <v>3.93018268467037</v>
      </c>
      <c r="G686" s="10" t="n">
        <f aca="false">IF(OR(F686="",C686=""),0,(F686-C686)*0.9)</f>
        <v>1.06297441620334</v>
      </c>
      <c r="H686" s="26" t="n">
        <f aca="false">IF(A686&lt;Resumen!$B$11,"",IF(H685="",0,H685)+G686/Resumen!$B$9)</f>
        <v>0.415023095333774</v>
      </c>
      <c r="I686" s="26" t="n">
        <f aca="false">IF(H686="","",H686-AVERAGE(H638:H734))</f>
        <v>-0.133268339378799</v>
      </c>
      <c r="J686" s="27" t="n">
        <f aca="false">IF(I686="","",Resumen!$B$10-(MAX(I638:I734)-I686))</f>
        <v>1.57603645568273</v>
      </c>
    </row>
    <row r="687" customFormat="false" ht="15" hidden="false" customHeight="false" outlineLevel="0" collapsed="false">
      <c r="A687" s="24" t="n">
        <v>46268.53125</v>
      </c>
      <c r="B687" s="10" t="n">
        <v>6.2345</v>
      </c>
      <c r="C687" s="10" t="n">
        <v>3.6678</v>
      </c>
      <c r="D687" s="10" t="n">
        <f aca="false">IF(OR(B687="",C687="",B687&lt;=0.05,C687&lt;=0.05),0,1)</f>
        <v>1</v>
      </c>
      <c r="E687" s="25" t="n">
        <f aca="false">IF(OR(A687&lt;Resumen!$B$6,A687&gt;=Resumen!$B$7),0,MAX(0,AVERAGEIFS(B639:B735,D639:D735,1)-Resumen!$B$5*AVERAGEIFS(C639:C735,D639:D735,1)))</f>
        <v>0</v>
      </c>
      <c r="F687" s="10" t="n">
        <f aca="false">IF(B687="","",(B687-E687)/Resumen!$B$5)</f>
        <v>4.95194598888006</v>
      </c>
      <c r="G687" s="10" t="n">
        <f aca="false">IF(OR(F687="",C687=""),0,(F687-C687)*0.9)</f>
        <v>1.15573138999206</v>
      </c>
      <c r="H687" s="26" t="n">
        <f aca="false">IF(A687&lt;Resumen!$B$11,"",IF(H686="",0,H686)+G687/Resumen!$B$9)</f>
        <v>0.46965323513982</v>
      </c>
      <c r="I687" s="26" t="n">
        <f aca="false">IF(H687="","",H687-AVERAGE(H639:H735))</f>
        <v>-0.086828633069143</v>
      </c>
      <c r="J687" s="27" t="n">
        <f aca="false">IF(I687="","",Resumen!$B$10-(MAX(I639:I735)-I687))</f>
        <v>1.62247616199239</v>
      </c>
    </row>
    <row r="688" customFormat="false" ht="15" hidden="false" customHeight="false" outlineLevel="0" collapsed="false">
      <c r="A688" s="24" t="n">
        <v>46268.5416666667</v>
      </c>
      <c r="B688" s="10" t="n">
        <v>5.2619</v>
      </c>
      <c r="C688" s="10" t="n">
        <v>3.4347</v>
      </c>
      <c r="D688" s="10" t="n">
        <f aca="false">IF(OR(B688="",C688="",B688&lt;=0.05,C688&lt;=0.05),0,1)</f>
        <v>1</v>
      </c>
      <c r="E688" s="25" t="n">
        <f aca="false">IF(OR(A688&lt;Resumen!$B$6,A688&gt;=Resumen!$B$7),0,MAX(0,AVERAGEIFS(B640:B736,D640:D736,1)-Resumen!$B$5*AVERAGEIFS(C640:C736,D640:D736,1)))</f>
        <v>0</v>
      </c>
      <c r="F688" s="10" t="n">
        <f aca="false">IF(B688="","",(B688-E688)/Resumen!$B$5)</f>
        <v>4.17942811755361</v>
      </c>
      <c r="G688" s="10" t="n">
        <f aca="false">IF(OR(F688="",C688=""),0,(F688-C688)*0.9)</f>
        <v>0.670255305798253</v>
      </c>
      <c r="H688" s="26" t="n">
        <f aca="false">IF(A688&lt;Resumen!$B$11,"",IF(H687="",0,H687)+G688/Resumen!$B$9)</f>
        <v>0.501335459382041</v>
      </c>
      <c r="I688" s="26" t="n">
        <f aca="false">IF(H688="","",H688-AVERAGE(H640:H736))</f>
        <v>-0.0632001530626537</v>
      </c>
      <c r="J688" s="27" t="n">
        <f aca="false">IF(I688="","",Resumen!$B$10-(MAX(I640:I736)-I688))</f>
        <v>1.64610464199887</v>
      </c>
    </row>
    <row r="689" customFormat="false" ht="15" hidden="false" customHeight="false" outlineLevel="0" collapsed="false">
      <c r="A689" s="24" t="n">
        <v>46268.5520833333</v>
      </c>
      <c r="B689" s="10" t="n">
        <v>4.7119</v>
      </c>
      <c r="C689" s="10" t="n">
        <v>2.9651</v>
      </c>
      <c r="D689" s="10" t="n">
        <f aca="false">IF(OR(B689="",C689="",B689&lt;=0.05,C689&lt;=0.05),0,1)</f>
        <v>1</v>
      </c>
      <c r="E689" s="25" t="n">
        <f aca="false">IF(OR(A689&lt;Resumen!$B$6,A689&gt;=Resumen!$B$7),0,MAX(0,AVERAGEIFS(B641:B737,D641:D737,1)-Resumen!$B$5*AVERAGEIFS(C641:C737,D641:D737,1)))</f>
        <v>0</v>
      </c>
      <c r="F689" s="10" t="n">
        <f aca="false">IF(B689="","",(B689-E689)/Resumen!$B$5)</f>
        <v>3.74257347100874</v>
      </c>
      <c r="G689" s="10" t="n">
        <f aca="false">IF(OR(F689="",C689=""),0,(F689-C689)*0.9)</f>
        <v>0.699726123907864</v>
      </c>
      <c r="H689" s="26" t="n">
        <f aca="false">IF(A689&lt;Resumen!$B$11,"",IF(H688="",0,H688)+G689/Resumen!$B$9)</f>
        <v>0.534410736480201</v>
      </c>
      <c r="I689" s="26" t="n">
        <f aca="false">IF(H689="","",H689-AVERAGE(H641:H737))</f>
        <v>-0.0377706255757238</v>
      </c>
      <c r="J689" s="27" t="n">
        <f aca="false">IF(I689="","",Resumen!$B$10-(MAX(I641:I737)-I689))</f>
        <v>1.6715341694858</v>
      </c>
    </row>
    <row r="690" customFormat="false" ht="15" hidden="false" customHeight="false" outlineLevel="0" collapsed="false">
      <c r="A690" s="24" t="n">
        <v>46268.5625</v>
      </c>
      <c r="B690" s="10" t="n">
        <v>3.2096</v>
      </c>
      <c r="C690" s="10" t="n">
        <v>3.1772</v>
      </c>
      <c r="D690" s="10" t="n">
        <f aca="false">IF(OR(B690="",C690="",B690&lt;=0.05,C690&lt;=0.05),0,1)</f>
        <v>1</v>
      </c>
      <c r="E690" s="25" t="n">
        <f aca="false">IF(OR(A690&lt;Resumen!$B$6,A690&gt;=Resumen!$B$7),0,MAX(0,AVERAGEIFS(B642:B738,D642:D738,1)-Resumen!$B$5*AVERAGEIFS(C642:C738,D642:D738,1)))</f>
        <v>0</v>
      </c>
      <c r="F690" s="10" t="n">
        <f aca="false">IF(B690="","",(B690-E690)/Resumen!$B$5)</f>
        <v>2.54932486100079</v>
      </c>
      <c r="G690" s="10" t="n">
        <f aca="false">IF(OR(F690="",C690=""),0,(F690-C690)*0.9)</f>
        <v>-0.565087625099285</v>
      </c>
      <c r="H690" s="26" t="n">
        <f aca="false">IF(A690&lt;Resumen!$B$11,"",IF(H689="",0,H689)+G690/Resumen!$B$9)</f>
        <v>0.507699671756025</v>
      </c>
      <c r="I690" s="26" t="n">
        <f aca="false">IF(H690="","",H690-AVERAGE(H642:H738))</f>
        <v>-0.0721126305237669</v>
      </c>
      <c r="J690" s="27" t="n">
        <f aca="false">IF(I690="","",Resumen!$B$10-(MAX(I642:I738)-I690))</f>
        <v>1.63719216453776</v>
      </c>
    </row>
    <row r="691" customFormat="false" ht="15" hidden="false" customHeight="false" outlineLevel="0" collapsed="false">
      <c r="A691" s="24" t="n">
        <v>46268.5729166667</v>
      </c>
      <c r="B691" s="10" t="n">
        <v>2.3848</v>
      </c>
      <c r="C691" s="10" t="n">
        <v>3.1175</v>
      </c>
      <c r="D691" s="10" t="n">
        <f aca="false">IF(OR(B691="",C691="",B691&lt;=0.05,C691&lt;=0.05),0,1)</f>
        <v>1</v>
      </c>
      <c r="E691" s="25" t="n">
        <f aca="false">IF(OR(A691&lt;Resumen!$B$6,A691&gt;=Resumen!$B$7),0,MAX(0,AVERAGEIFS(B643:B739,D643:D739,1)-Resumen!$B$5*AVERAGEIFS(C643:C739,D643:D739,1)))</f>
        <v>0</v>
      </c>
      <c r="F691" s="10" t="n">
        <f aca="false">IF(B691="","",(B691-E691)/Resumen!$B$5)</f>
        <v>1.89420174741859</v>
      </c>
      <c r="G691" s="10" t="n">
        <f aca="false">IF(OR(F691="",C691=""),0,(F691-C691)*0.9)</f>
        <v>-1.10096842732327</v>
      </c>
      <c r="H691" s="26" t="n">
        <f aca="false">IF(A691&lt;Resumen!$B$11,"",IF(H690="",0,H690)+G691/Resumen!$B$9)</f>
        <v>0.455658116401951</v>
      </c>
      <c r="I691" s="26" t="n">
        <f aca="false">IF(H691="","",H691-AVERAGE(H643:H739))</f>
        <v>-0.132014236006935</v>
      </c>
      <c r="J691" s="27" t="n">
        <f aca="false">IF(I691="","",Resumen!$B$10-(MAX(I643:I739)-I691))</f>
        <v>1.57729055905459</v>
      </c>
    </row>
    <row r="692" customFormat="false" ht="15" hidden="false" customHeight="false" outlineLevel="0" collapsed="false">
      <c r="A692" s="24" t="n">
        <v>46268.5833333333</v>
      </c>
      <c r="B692" s="10" t="n">
        <v>3.274</v>
      </c>
      <c r="C692" s="10" t="n">
        <v>3.7155</v>
      </c>
      <c r="D692" s="10" t="n">
        <f aca="false">IF(OR(B692="",C692="",B692&lt;=0.05,C692&lt;=0.05),0,1)</f>
        <v>1</v>
      </c>
      <c r="E692" s="25" t="n">
        <f aca="false">IF(OR(A692&lt;Resumen!$B$6,A692&gt;=Resumen!$B$7),0,MAX(0,AVERAGEIFS(B644:B740,D644:D740,1)-Resumen!$B$5*AVERAGEIFS(C644:C740,D644:D740,1)))</f>
        <v>0</v>
      </c>
      <c r="F692" s="10" t="n">
        <f aca="false">IF(B692="","",(B692-E692)/Resumen!$B$5)</f>
        <v>2.60047656870532</v>
      </c>
      <c r="G692" s="10" t="n">
        <f aca="false">IF(OR(F692="",C692=""),0,(F692-C692)*0.9)</f>
        <v>-1.00352108816521</v>
      </c>
      <c r="H692" s="26" t="n">
        <f aca="false">IF(A692&lt;Resumen!$B$11,"",IF(H691="",0,H691)+G692/Resumen!$B$9)</f>
        <v>0.408222788591777</v>
      </c>
      <c r="I692" s="26" t="n">
        <f aca="false">IF(H692="","",H692-AVERAGE(H644:H740))</f>
        <v>-0.187116907317845</v>
      </c>
      <c r="J692" s="27" t="n">
        <f aca="false">IF(I692="","",Resumen!$B$10-(MAX(I644:I740)-I692))</f>
        <v>1.52218788774368</v>
      </c>
    </row>
    <row r="693" customFormat="false" ht="15" hidden="false" customHeight="false" outlineLevel="0" collapsed="false">
      <c r="A693" s="24" t="n">
        <v>46268.59375</v>
      </c>
      <c r="B693" s="10" t="n">
        <v>3.7934</v>
      </c>
      <c r="C693" s="10" t="n">
        <v>3.2382</v>
      </c>
      <c r="D693" s="10" t="n">
        <f aca="false">IF(OR(B693="",C693="",B693&lt;=0.05,C693&lt;=0.05),0,1)</f>
        <v>1</v>
      </c>
      <c r="E693" s="25" t="n">
        <f aca="false">IF(OR(A693&lt;Resumen!$B$6,A693&gt;=Resumen!$B$7),0,MAX(0,AVERAGEIFS(B645:B741,D645:D741,1)-Resumen!$B$5*AVERAGEIFS(C645:C741,D645:D741,1)))</f>
        <v>0</v>
      </c>
      <c r="F693" s="10" t="n">
        <f aca="false">IF(B693="","",(B693-E693)/Resumen!$B$5)</f>
        <v>3.01302621127879</v>
      </c>
      <c r="G693" s="10" t="n">
        <f aca="false">IF(OR(F693="",C693=""),0,(F693-C693)*0.9)</f>
        <v>-0.202656409849086</v>
      </c>
      <c r="H693" s="26" t="n">
        <f aca="false">IF(A693&lt;Resumen!$B$11,"",IF(H692="",0,H692)+G693/Resumen!$B$9)</f>
        <v>0.398643445070855</v>
      </c>
      <c r="I693" s="26" t="n">
        <f aca="false">IF(H693="","",H693-AVERAGE(H645:H741))</f>
        <v>-0.204492349774602</v>
      </c>
      <c r="J693" s="27" t="n">
        <f aca="false">IF(I693="","",Resumen!$B$10-(MAX(I645:I741)-I693))</f>
        <v>1.50481244528693</v>
      </c>
    </row>
    <row r="694" customFormat="false" ht="15" hidden="false" customHeight="false" outlineLevel="0" collapsed="false">
      <c r="A694" s="24" t="n">
        <v>46268.6041666667</v>
      </c>
      <c r="B694" s="10" t="n">
        <v>5.3168</v>
      </c>
      <c r="C694" s="10" t="n">
        <v>3.7551</v>
      </c>
      <c r="D694" s="10" t="n">
        <f aca="false">IF(OR(B694="",C694="",B694&lt;=0.05,C694&lt;=0.05),0,1)</f>
        <v>1</v>
      </c>
      <c r="E694" s="25" t="n">
        <f aca="false">IF(OR(A694&lt;Resumen!$B$6,A694&gt;=Resumen!$B$7),0,MAX(0,AVERAGEIFS(B646:B742,D646:D742,1)-Resumen!$B$5*AVERAGEIFS(C646:C742,D646:D742,1)))</f>
        <v>0</v>
      </c>
      <c r="F694" s="10" t="n">
        <f aca="false">IF(B694="","",(B694-E694)/Resumen!$B$5)</f>
        <v>4.22303415409055</v>
      </c>
      <c r="G694" s="10" t="n">
        <f aca="false">IF(OR(F694="",C694=""),0,(F694-C694)*0.9)</f>
        <v>0.421140738681494</v>
      </c>
      <c r="H694" s="26" t="n">
        <f aca="false">IF(A694&lt;Resumen!$B$11,"",IF(H693="",0,H693)+G694/Resumen!$B$9)</f>
        <v>0.418550300272174</v>
      </c>
      <c r="I694" s="26" t="n">
        <f aca="false">IF(H694="","",H694-AVERAGE(H646:H742))</f>
        <v>-0.192401234074831</v>
      </c>
      <c r="J694" s="27" t="n">
        <f aca="false">IF(I694="","",Resumen!$B$10-(MAX(I646:I742)-I694))</f>
        <v>1.5169035609867</v>
      </c>
    </row>
    <row r="695" customFormat="false" ht="15" hidden="false" customHeight="false" outlineLevel="0" collapsed="false">
      <c r="A695" s="24" t="n">
        <v>46268.6145833333</v>
      </c>
      <c r="B695" s="10" t="n">
        <v>5.5757</v>
      </c>
      <c r="C695" s="10" t="n">
        <v>3.4243</v>
      </c>
      <c r="D695" s="10" t="n">
        <f aca="false">IF(OR(B695="",C695="",B695&lt;=0.05,C695&lt;=0.05),0,1)</f>
        <v>1</v>
      </c>
      <c r="E695" s="25" t="n">
        <f aca="false">IF(OR(A695&lt;Resumen!$B$6,A695&gt;=Resumen!$B$7),0,MAX(0,AVERAGEIFS(B647:B743,D647:D743,1)-Resumen!$B$5*AVERAGEIFS(C647:C743,D647:D743,1)))</f>
        <v>0</v>
      </c>
      <c r="F695" s="10" t="n">
        <f aca="false">IF(B695="","",(B695-E695)/Resumen!$B$5)</f>
        <v>4.42867355043686</v>
      </c>
      <c r="G695" s="10" t="n">
        <f aca="false">IF(OR(F695="",C695=""),0,(F695-C695)*0.9)</f>
        <v>0.90393619539317</v>
      </c>
      <c r="H695" s="26" t="n">
        <f aca="false">IF(A695&lt;Resumen!$B$11,"",IF(H694="",0,H694)+G695/Resumen!$B$9)</f>
        <v>0.461278360752052</v>
      </c>
      <c r="I695" s="26" t="n">
        <f aca="false">IF(H695="","",H695-AVERAGE(H647:H743))</f>
        <v>-0.158336478763611</v>
      </c>
      <c r="J695" s="27" t="n">
        <f aca="false">IF(I695="","",Resumen!$B$10-(MAX(I647:I743)-I695))</f>
        <v>1.53625311036782</v>
      </c>
    </row>
    <row r="696" customFormat="false" ht="15" hidden="false" customHeight="false" outlineLevel="0" collapsed="false">
      <c r="A696" s="24" t="n">
        <v>46268.625</v>
      </c>
      <c r="B696" s="10" t="n">
        <v>5.0223</v>
      </c>
      <c r="C696" s="10" t="n">
        <v>3.3178</v>
      </c>
      <c r="D696" s="10" t="n">
        <f aca="false">IF(OR(B696="",C696="",B696&lt;=0.05,C696&lt;=0.05),0,1)</f>
        <v>1</v>
      </c>
      <c r="E696" s="25" t="n">
        <f aca="false">IF(OR(A696&lt;Resumen!$B$6,A696&gt;=Resumen!$B$7),0,MAX(0,AVERAGEIFS(B648:B744,D648:D744,1)-Resumen!$B$5*AVERAGEIFS(C648:C744,D648:D744,1)))</f>
        <v>0</v>
      </c>
      <c r="F696" s="10" t="n">
        <f aca="false">IF(B696="","",(B696-E696)/Resumen!$B$5)</f>
        <v>3.98911834789516</v>
      </c>
      <c r="G696" s="10" t="n">
        <f aca="false">IF(OR(F696="",C696=""),0,(F696-C696)*0.9)</f>
        <v>0.60418651310564</v>
      </c>
      <c r="H696" s="26" t="n">
        <f aca="false">IF(A696&lt;Resumen!$B$11,"",IF(H695="",0,H695)+G696/Resumen!$B$9)</f>
        <v>0.489837586507887</v>
      </c>
      <c r="I696" s="26" t="n">
        <f aca="false">IF(H696="","",H696-AVERAGE(H648:H744))</f>
        <v>-0.138472288497212</v>
      </c>
      <c r="J696" s="27" t="n">
        <f aca="false">IF(I696="","",Resumen!$B$10-(MAX(I648:I744)-I696))</f>
        <v>1.52330810763506</v>
      </c>
    </row>
    <row r="697" customFormat="false" ht="15" hidden="false" customHeight="false" outlineLevel="0" collapsed="false">
      <c r="A697" s="24" t="n">
        <v>46268.6354166667</v>
      </c>
      <c r="B697" s="10" t="n">
        <v>4.522</v>
      </c>
      <c r="C697" s="10" t="n">
        <v>3.0155</v>
      </c>
      <c r="D697" s="10" t="n">
        <f aca="false">IF(OR(B697="",C697="",B697&lt;=0.05,C697&lt;=0.05),0,1)</f>
        <v>1</v>
      </c>
      <c r="E697" s="25" t="n">
        <f aca="false">IF(OR(A697&lt;Resumen!$B$6,A697&gt;=Resumen!$B$7),0,MAX(0,AVERAGEIFS(B649:B745,D649:D745,1)-Resumen!$B$5*AVERAGEIFS(C649:C745,D649:D745,1)))</f>
        <v>0</v>
      </c>
      <c r="F697" s="10" t="n">
        <f aca="false">IF(B697="","",(B697-E697)/Resumen!$B$5)</f>
        <v>3.59173947577442</v>
      </c>
      <c r="G697" s="10" t="n">
        <f aca="false">IF(OR(F697="",C697=""),0,(F697-C697)*0.9)</f>
        <v>0.518615528196982</v>
      </c>
      <c r="H697" s="26" t="n">
        <f aca="false">IF(A697&lt;Resumen!$B$11,"",IF(H696="",0,H696)+G697/Resumen!$B$9)</f>
        <v>0.51435196680103</v>
      </c>
      <c r="I697" s="26" t="n">
        <f aca="false">IF(H697="","",H697-AVERAGE(H649:H745))</f>
        <v>-0.12259537831156</v>
      </c>
      <c r="J697" s="27" t="n">
        <f aca="false">IF(I697="","",Resumen!$B$10-(MAX(I649:I745)-I697))</f>
        <v>1.53918501782071</v>
      </c>
    </row>
    <row r="698" customFormat="false" ht="15" hidden="false" customHeight="false" outlineLevel="0" collapsed="false">
      <c r="A698" s="24" t="n">
        <v>46268.6458333333</v>
      </c>
      <c r="B698" s="10" t="n">
        <v>5.8183</v>
      </c>
      <c r="C698" s="10" t="n">
        <v>2.9276</v>
      </c>
      <c r="D698" s="10" t="n">
        <f aca="false">IF(OR(B698="",C698="",B698&lt;=0.05,C698&lt;=0.05),0,1)</f>
        <v>1</v>
      </c>
      <c r="E698" s="25" t="n">
        <f aca="false">IF(OR(A698&lt;Resumen!$B$6,A698&gt;=Resumen!$B$7),0,MAX(0,AVERAGEIFS(B650:B746,D650:D746,1)-Resumen!$B$5*AVERAGEIFS(C650:C746,D650:D746,1)))</f>
        <v>0</v>
      </c>
      <c r="F698" s="10" t="n">
        <f aca="false">IF(B698="","",(B698-E698)/Resumen!$B$5)</f>
        <v>4.62136616362192</v>
      </c>
      <c r="G698" s="10" t="n">
        <f aca="false">IF(OR(F698="",C698=""),0,(F698-C698)*0.9)</f>
        <v>1.52438954725973</v>
      </c>
      <c r="H698" s="26" t="n">
        <f aca="false">IF(A698&lt;Resumen!$B$11,"",IF(H697="",0,H697)+G698/Resumen!$B$9)</f>
        <v>0.586408168446851</v>
      </c>
      <c r="I698" s="26" t="n">
        <f aca="false">IF(H698="","",H698-AVERAGE(H650:H746))</f>
        <v>-0.0596249529246148</v>
      </c>
      <c r="J698" s="27" t="n">
        <f aca="false">IF(I698="","",Resumen!$B$10-(MAX(I650:I746)-I698))</f>
        <v>1.58392826866884</v>
      </c>
    </row>
    <row r="699" customFormat="false" ht="15" hidden="false" customHeight="false" outlineLevel="0" collapsed="false">
      <c r="A699" s="24" t="n">
        <v>46268.65625</v>
      </c>
      <c r="B699" s="10" t="n">
        <v>3.5321</v>
      </c>
      <c r="C699" s="10" t="n">
        <v>2.5617</v>
      </c>
      <c r="D699" s="10" t="n">
        <f aca="false">IF(OR(B699="",C699="",B699&lt;=0.05,C699&lt;=0.05),0,1)</f>
        <v>1</v>
      </c>
      <c r="E699" s="25" t="n">
        <f aca="false">IF(OR(A699&lt;Resumen!$B$6,A699&gt;=Resumen!$B$7),0,MAX(0,AVERAGEIFS(B651:B747,D651:D747,1)-Resumen!$B$5*AVERAGEIFS(C651:C747,D651:D747,1)))</f>
        <v>0</v>
      </c>
      <c r="F699" s="10" t="n">
        <f aca="false">IF(B699="","",(B699-E699)/Resumen!$B$5)</f>
        <v>2.8054805401112</v>
      </c>
      <c r="G699" s="10" t="n">
        <f aca="false">IF(OR(F699="",C699=""),0,(F699-C699)*0.9)</f>
        <v>0.219402486100079</v>
      </c>
      <c r="H699" s="26" t="n">
        <f aca="false">IF(A699&lt;Resumen!$B$11,"",IF(H698="",0,H698)+G699/Resumen!$B$9)</f>
        <v>0.596779080402028</v>
      </c>
      <c r="I699" s="26" t="n">
        <f aca="false">IF(H699="","",H699-AVERAGE(H651:H747))</f>
        <v>-0.0587465792380264</v>
      </c>
      <c r="J699" s="27" t="n">
        <f aca="false">IF(I699="","",Resumen!$B$10-(MAX(I651:I747)-I699))</f>
        <v>1.52635279160776</v>
      </c>
    </row>
    <row r="700" customFormat="false" ht="15" hidden="false" customHeight="false" outlineLevel="0" collapsed="false">
      <c r="A700" s="24" t="n">
        <v>46268.6666666667</v>
      </c>
      <c r="B700" s="10" t="n">
        <v>5.335</v>
      </c>
      <c r="C700" s="10" t="n">
        <v>3.7508</v>
      </c>
      <c r="D700" s="10" t="n">
        <f aca="false">IF(OR(B700="",C700="",B700&lt;=0.05,C700&lt;=0.05),0,1)</f>
        <v>1</v>
      </c>
      <c r="E700" s="25" t="n">
        <f aca="false">IF(OR(A700&lt;Resumen!$B$6,A700&gt;=Resumen!$B$7),0,MAX(0,AVERAGEIFS(B652:B748,D652:D748,1)-Resumen!$B$5*AVERAGEIFS(C652:C748,D652:D748,1)))</f>
        <v>0</v>
      </c>
      <c r="F700" s="10" t="n">
        <f aca="false">IF(B700="","",(B700-E700)/Resumen!$B$5)</f>
        <v>4.23749007148531</v>
      </c>
      <c r="G700" s="10" t="n">
        <f aca="false">IF(OR(F700="",C700=""),0,(F700-C700)*0.9)</f>
        <v>0.438021064336775</v>
      </c>
      <c r="H700" s="26" t="n">
        <f aca="false">IF(A700&lt;Resumen!$B$11,"",IF(H699="",0,H699)+G700/Resumen!$B$9)</f>
        <v>0.617483849857909</v>
      </c>
      <c r="I700" s="26" t="n">
        <f aca="false">IF(H700="","",H700-AVERAGE(H652:H748))</f>
        <v>-0.0470130289111966</v>
      </c>
      <c r="J700" s="27" t="n">
        <f aca="false">IF(I700="","",Resumen!$B$10-(MAX(I652:I748)-I700))</f>
        <v>1.53808634193459</v>
      </c>
    </row>
    <row r="701" customFormat="false" ht="15" hidden="false" customHeight="false" outlineLevel="0" collapsed="false">
      <c r="A701" s="24" t="n">
        <v>46268.6770833333</v>
      </c>
      <c r="B701" s="10" t="n">
        <v>4.5482</v>
      </c>
      <c r="C701" s="10" t="n">
        <v>2.9871</v>
      </c>
      <c r="D701" s="10" t="n">
        <f aca="false">IF(OR(B701="",C701="",B701&lt;=0.05,C701&lt;=0.05),0,1)</f>
        <v>1</v>
      </c>
      <c r="E701" s="25" t="n">
        <f aca="false">IF(OR(A701&lt;Resumen!$B$6,A701&gt;=Resumen!$B$7),0,MAX(0,AVERAGEIFS(B653:B749,D653:D749,1)-Resumen!$B$5*AVERAGEIFS(C653:C749,D653:D749,1)))</f>
        <v>0</v>
      </c>
      <c r="F701" s="10" t="n">
        <f aca="false">IF(B701="","",(B701-E701)/Resumen!$B$5)</f>
        <v>3.61254964257347</v>
      </c>
      <c r="G701" s="10" t="n">
        <f aca="false">IF(OR(F701="",C701=""),0,(F701-C701)*0.9)</f>
        <v>0.562904678316124</v>
      </c>
      <c r="H701" s="26" t="n">
        <f aca="false">IF(A701&lt;Resumen!$B$11,"",IF(H700="",0,H700)+G701/Resumen!$B$9)</f>
        <v>0.644091729110975</v>
      </c>
      <c r="I701" s="26" t="n">
        <f aca="false">IF(H701="","",H701-AVERAGE(H653:H749))</f>
        <v>-0.0294496418562181</v>
      </c>
      <c r="J701" s="27" t="n">
        <f aca="false">IF(I701="","",Resumen!$B$10-(MAX(I653:I749)-I701))</f>
        <v>1.55564972898957</v>
      </c>
    </row>
    <row r="702" customFormat="false" ht="15" hidden="false" customHeight="false" outlineLevel="0" collapsed="false">
      <c r="A702" s="24" t="n">
        <v>46268.6875</v>
      </c>
      <c r="B702" s="10" t="n">
        <v>4.9482</v>
      </c>
      <c r="C702" s="10" t="n">
        <v>2.7754</v>
      </c>
      <c r="D702" s="10" t="n">
        <f aca="false">IF(OR(B702="",C702="",B702&lt;=0.05,C702&lt;=0.05),0,1)</f>
        <v>1</v>
      </c>
      <c r="E702" s="25" t="n">
        <f aca="false">IF(OR(A702&lt;Resumen!$B$6,A702&gt;=Resumen!$B$7),0,MAX(0,AVERAGEIFS(B654:B750,D654:D750,1)-Resumen!$B$5*AVERAGEIFS(C654:C750,D654:D750,1)))</f>
        <v>0</v>
      </c>
      <c r="F702" s="10" t="n">
        <f aca="false">IF(B702="","",(B702-E702)/Resumen!$B$5)</f>
        <v>3.93026211278793</v>
      </c>
      <c r="G702" s="10" t="n">
        <f aca="false">IF(OR(F702="",C702=""),0,(F702-C702)*0.9)</f>
        <v>1.03937590150913</v>
      </c>
      <c r="H702" s="26" t="n">
        <f aca="false">IF(A702&lt;Resumen!$B$11,"",IF(H701="",0,H701)+G702/Resumen!$B$9)</f>
        <v>0.693221874144822</v>
      </c>
      <c r="I702" s="26" t="n">
        <f aca="false">IF(H702="","",H702-AVERAGE(H654:H750))</f>
        <v>0.0101151906825256</v>
      </c>
      <c r="J702" s="27" t="n">
        <f aca="false">IF(I702="","",Resumen!$B$10-(MAX(I654:I750)-I702))</f>
        <v>1.55868069197125</v>
      </c>
    </row>
    <row r="703" customFormat="false" ht="15" hidden="false" customHeight="false" outlineLevel="0" collapsed="false">
      <c r="A703" s="24" t="n">
        <v>46268.6979166667</v>
      </c>
      <c r="B703" s="10" t="n">
        <v>2.8082</v>
      </c>
      <c r="C703" s="10" t="n">
        <v>2.8354</v>
      </c>
      <c r="D703" s="10" t="n">
        <f aca="false">IF(OR(B703="",C703="",B703&lt;=0.05,C703&lt;=0.05),0,1)</f>
        <v>1</v>
      </c>
      <c r="E703" s="25" t="n">
        <f aca="false">IF(OR(A703&lt;Resumen!$B$6,A703&gt;=Resumen!$B$7),0,MAX(0,AVERAGEIFS(B655:B751,D655:D751,1)-Resumen!$B$5*AVERAGEIFS(C655:C751,D655:D751,1)))</f>
        <v>0</v>
      </c>
      <c r="F703" s="10" t="n">
        <f aca="false">IF(B703="","",(B703-E703)/Resumen!$B$5)</f>
        <v>2.23050039714059</v>
      </c>
      <c r="G703" s="10" t="n">
        <f aca="false">IF(OR(F703="",C703=""),0,(F703-C703)*0.9)</f>
        <v>-0.544409642573471</v>
      </c>
      <c r="H703" s="26" t="n">
        <f aca="false">IF(A703&lt;Resumen!$B$11,"",IF(H702="",0,H702)+G703/Resumen!$B$9)</f>
        <v>0.667488234699628</v>
      </c>
      <c r="I703" s="26" t="n">
        <f aca="false">IF(H703="","",H703-AVERAGE(H655:H751))</f>
        <v>-0.0249591144603558</v>
      </c>
      <c r="J703" s="27" t="n">
        <f aca="false">IF(I703="","",Resumen!$B$10-(MAX(I655:I751)-I703))</f>
        <v>1.50571455209314</v>
      </c>
    </row>
    <row r="704" customFormat="false" ht="15" hidden="false" customHeight="false" outlineLevel="0" collapsed="false">
      <c r="A704" s="24" t="n">
        <v>46268.7083333333</v>
      </c>
      <c r="B704" s="10" t="n">
        <v>5.0179</v>
      </c>
      <c r="C704" s="10" t="n">
        <v>2.6386</v>
      </c>
      <c r="D704" s="10" t="n">
        <f aca="false">IF(OR(B704="",C704="",B704&lt;=0.05,C704&lt;=0.05),0,1)</f>
        <v>1</v>
      </c>
      <c r="E704" s="25" t="n">
        <f aca="false">IF(OR(A704&lt;Resumen!$B$6,A704&gt;=Resumen!$B$7),0,MAX(0,AVERAGEIFS(B656:B752,D656:D752,1)-Resumen!$B$5*AVERAGEIFS(C656:C752,D656:D752,1)))</f>
        <v>0</v>
      </c>
      <c r="F704" s="10" t="n">
        <f aca="false">IF(B704="","",(B704-E704)/Resumen!$B$5)</f>
        <v>3.9856235107228</v>
      </c>
      <c r="G704" s="10" t="n">
        <f aca="false">IF(OR(F704="",C704=""),0,(F704-C704)*0.9)</f>
        <v>1.21232115965052</v>
      </c>
      <c r="H704" s="26" t="n">
        <f aca="false">IF(A704&lt;Resumen!$B$11,"",IF(H703="",0,H703)+G704/Resumen!$B$9)</f>
        <v>0.724793310096075</v>
      </c>
      <c r="I704" s="26" t="n">
        <f aca="false">IF(H704="","",H704-AVERAGE(H656:H752))</f>
        <v>0.0221345502195182</v>
      </c>
      <c r="J704" s="27" t="n">
        <f aca="false">IF(I704="","",Resumen!$B$10-(MAX(I656:I752)-I704))</f>
        <v>1.4997130843918</v>
      </c>
    </row>
    <row r="705" customFormat="false" ht="15" hidden="false" customHeight="false" outlineLevel="0" collapsed="false">
      <c r="A705" s="24" t="n">
        <v>46268.71875</v>
      </c>
      <c r="B705" s="10" t="n">
        <v>5.3877</v>
      </c>
      <c r="C705" s="10" t="n">
        <v>3.4888</v>
      </c>
      <c r="D705" s="10" t="n">
        <f aca="false">IF(OR(B705="",C705="",B705&lt;=0.05,C705&lt;=0.05),0,1)</f>
        <v>1</v>
      </c>
      <c r="E705" s="25" t="n">
        <f aca="false">IF(OR(A705&lt;Resumen!$B$6,A705&gt;=Resumen!$B$7),0,MAX(0,AVERAGEIFS(B657:B753,D657:D753,1)-Resumen!$B$5*AVERAGEIFS(C657:C753,D657:D753,1)))</f>
        <v>0</v>
      </c>
      <c r="F705" s="10" t="n">
        <f aca="false">IF(B705="","",(B705-E705)/Resumen!$B$5)</f>
        <v>4.27934868943606</v>
      </c>
      <c r="G705" s="10" t="n">
        <f aca="false">IF(OR(F705="",C705=""),0,(F705-C705)*0.9)</f>
        <v>0.711493820492455</v>
      </c>
      <c r="H705" s="26" t="n">
        <f aca="false">IF(A705&lt;Resumen!$B$11,"",IF(H704="",0,H704)+G705/Resumen!$B$9)</f>
        <v>0.75842483314825</v>
      </c>
      <c r="I705" s="26" t="n">
        <f aca="false">IF(H705="","",H705-AVERAGE(H657:H753))</f>
        <v>0.0441830915581329</v>
      </c>
      <c r="J705" s="27" t="n">
        <f aca="false">IF(I705="","",Resumen!$B$10-(MAX(I657:I753)-I705))</f>
        <v>1.44340536708332</v>
      </c>
    </row>
    <row r="706" customFormat="false" ht="15" hidden="false" customHeight="false" outlineLevel="0" collapsed="false">
      <c r="A706" s="24" t="n">
        <v>46268.7291666667</v>
      </c>
      <c r="B706" s="10" t="n">
        <v>4.72</v>
      </c>
      <c r="C706" s="10" t="n">
        <v>3.7676</v>
      </c>
      <c r="D706" s="10" t="n">
        <f aca="false">IF(OR(B706="",C706="",B706&lt;=0.05,C706&lt;=0.05),0,1)</f>
        <v>1</v>
      </c>
      <c r="E706" s="25" t="n">
        <f aca="false">IF(OR(A706&lt;Resumen!$B$6,A706&gt;=Resumen!$B$7),0,MAX(0,AVERAGEIFS(B658:B754,D658:D754,1)-Resumen!$B$5*AVERAGEIFS(C658:C754,D658:D754,1)))</f>
        <v>0</v>
      </c>
      <c r="F706" s="10" t="n">
        <f aca="false">IF(B706="","",(B706-E706)/Resumen!$B$5)</f>
        <v>3.74900714853058</v>
      </c>
      <c r="G706" s="10" t="n">
        <f aca="false">IF(OR(F706="",C706=""),0,(F706-C706)*0.9)</f>
        <v>-0.0167335663224778</v>
      </c>
      <c r="H706" s="26" t="n">
        <f aca="false">IF(A706&lt;Resumen!$B$11,"",IF(H705="",0,H705)+G706/Resumen!$B$9)</f>
        <v>0.757633856044429</v>
      </c>
      <c r="I706" s="26" t="n">
        <f aca="false">IF(H706="","",H706-AVERAGE(H658:H754))</f>
        <v>0.0311588964951567</v>
      </c>
      <c r="J706" s="27" t="n">
        <f aca="false">IF(I706="","",Resumen!$B$10-(MAX(I658:I754)-I706))</f>
        <v>1.43038117202035</v>
      </c>
    </row>
    <row r="707" customFormat="false" ht="15" hidden="false" customHeight="false" outlineLevel="0" collapsed="false">
      <c r="A707" s="24" t="n">
        <v>46268.7395833333</v>
      </c>
      <c r="B707" s="10" t="n">
        <v>3.9348</v>
      </c>
      <c r="C707" s="10" t="n">
        <v>4.0871</v>
      </c>
      <c r="D707" s="10" t="n">
        <f aca="false">IF(OR(B707="",C707="",B707&lt;=0.05,C707&lt;=0.05),0,1)</f>
        <v>1</v>
      </c>
      <c r="E707" s="25" t="n">
        <f aca="false">IF(OR(A707&lt;Resumen!$B$6,A707&gt;=Resumen!$B$7),0,MAX(0,AVERAGEIFS(B659:B755,D659:D755,1)-Resumen!$B$5*AVERAGEIFS(C659:C755,D659:D755,1)))</f>
        <v>0</v>
      </c>
      <c r="F707" s="10" t="n">
        <f aca="false">IF(B707="","",(B707-E707)/Resumen!$B$5)</f>
        <v>3.1253375694996</v>
      </c>
      <c r="G707" s="10" t="n">
        <f aca="false">IF(OR(F707="",C707=""),0,(F707-C707)*0.9)</f>
        <v>-0.865586187450358</v>
      </c>
      <c r="H707" s="26" t="n">
        <f aca="false">IF(A707&lt;Resumen!$B$11,"",IF(H706="",0,H706)+G707/Resumen!$B$9)</f>
        <v>0.716718557866952</v>
      </c>
      <c r="I707" s="26" t="n">
        <f aca="false">IF(H707="","",H707-AVERAGE(H659:H755))</f>
        <v>-0.0217092690295411</v>
      </c>
      <c r="J707" s="27" t="n">
        <f aca="false">IF(I707="","",Resumen!$B$10-(MAX(I659:I755)-I707))</f>
        <v>1.37632325873129</v>
      </c>
    </row>
    <row r="708" customFormat="false" ht="15" hidden="false" customHeight="false" outlineLevel="0" collapsed="false">
      <c r="A708" s="24" t="n">
        <v>46268.75</v>
      </c>
      <c r="B708" s="10" t="n">
        <v>4.0755</v>
      </c>
      <c r="C708" s="10" t="n">
        <v>2.8814</v>
      </c>
      <c r="D708" s="10" t="n">
        <f aca="false">IF(OR(B708="",C708="",B708&lt;=0.05,C708&lt;=0.05),0,1)</f>
        <v>1</v>
      </c>
      <c r="E708" s="25" t="n">
        <f aca="false">IF(OR(A708&lt;Resumen!$B$6,A708&gt;=Resumen!$B$7),0,MAX(0,AVERAGEIFS(B660:B756,D660:D756,1)-Resumen!$B$5*AVERAGEIFS(C660:C756,D660:D756,1)))</f>
        <v>0</v>
      </c>
      <c r="F708" s="10" t="n">
        <f aca="false">IF(B708="","",(B708-E708)/Resumen!$B$5)</f>
        <v>3.23709293089754</v>
      </c>
      <c r="G708" s="10" t="n">
        <f aca="false">IF(OR(F708="",C708=""),0,(F708-C708)*0.9)</f>
        <v>0.320123637807784</v>
      </c>
      <c r="H708" s="26" t="n">
        <f aca="false">IF(A708&lt;Resumen!$B$11,"",IF(H707="",0,H707)+G708/Resumen!$B$9)</f>
        <v>0.731850446850931</v>
      </c>
      <c r="I708" s="26" t="n">
        <f aca="false">IF(H708="","",H708-AVERAGE(H660:H756))</f>
        <v>-0.0180566851092725</v>
      </c>
      <c r="J708" s="27" t="n">
        <f aca="false">IF(I708="","",Resumen!$B$10-(MAX(I660:I756)-I708))</f>
        <v>1.37997584265156</v>
      </c>
    </row>
    <row r="709" customFormat="false" ht="15" hidden="false" customHeight="false" outlineLevel="0" collapsed="false">
      <c r="A709" s="24" t="n">
        <v>46268.7604166667</v>
      </c>
      <c r="B709" s="10" t="n">
        <v>2.5963</v>
      </c>
      <c r="C709" s="10" t="n">
        <v>3.063</v>
      </c>
      <c r="D709" s="10" t="n">
        <f aca="false">IF(OR(B709="",C709="",B709&lt;=0.05,C709&lt;=0.05),0,1)</f>
        <v>1</v>
      </c>
      <c r="E709" s="25" t="n">
        <f aca="false">IF(OR(A709&lt;Resumen!$B$6,A709&gt;=Resumen!$B$7),0,MAX(0,AVERAGEIFS(B661:B757,D661:D757,1)-Resumen!$B$5*AVERAGEIFS(C661:C757,D661:D757,1)))</f>
        <v>0</v>
      </c>
      <c r="F709" s="10" t="n">
        <f aca="false">IF(B709="","",(B709-E709)/Resumen!$B$5)</f>
        <v>2.06219221604448</v>
      </c>
      <c r="G709" s="10" t="n">
        <f aca="false">IF(OR(F709="",C709=""),0,(F709-C709)*0.9)</f>
        <v>-0.900727005559968</v>
      </c>
      <c r="H709" s="26" t="n">
        <f aca="false">IF(A709&lt;Resumen!$B$11,"",IF(H708="",0,H708)+G709/Resumen!$B$9)</f>
        <v>0.689274081211887</v>
      </c>
      <c r="I709" s="26" t="n">
        <f aca="false">IF(H709="","",H709-AVERAGE(H661:H757))</f>
        <v>-0.0733166272544468</v>
      </c>
      <c r="J709" s="27" t="n">
        <f aca="false">IF(I709="","",Resumen!$B$10-(MAX(I661:I757)-I709))</f>
        <v>1.2938519361836</v>
      </c>
    </row>
    <row r="710" customFormat="false" ht="15" hidden="false" customHeight="false" outlineLevel="0" collapsed="false">
      <c r="A710" s="24" t="n">
        <v>46268.7708333333</v>
      </c>
      <c r="B710" s="10" t="n">
        <v>4.4881</v>
      </c>
      <c r="C710" s="10" t="n">
        <v>2.8021</v>
      </c>
      <c r="D710" s="10" t="n">
        <f aca="false">IF(OR(B710="",C710="",B710&lt;=0.05,C710&lt;=0.05),0,1)</f>
        <v>1</v>
      </c>
      <c r="E710" s="25" t="n">
        <f aca="false">IF(OR(A710&lt;Resumen!$B$6,A710&gt;=Resumen!$B$7),0,MAX(0,AVERAGEIFS(B662:B758,D662:D758,1)-Resumen!$B$5*AVERAGEIFS(C662:C758,D662:D758,1)))</f>
        <v>0</v>
      </c>
      <c r="F710" s="10" t="n">
        <f aca="false">IF(B710="","",(B710-E710)/Resumen!$B$5)</f>
        <v>3.56481334392375</v>
      </c>
      <c r="G710" s="10" t="n">
        <f aca="false">IF(OR(F710="",C710=""),0,(F710-C710)*0.9)</f>
        <v>0.686442009531375</v>
      </c>
      <c r="H710" s="26" t="n">
        <f aca="false">IF(A710&lt;Resumen!$B$11,"",IF(H709="",0,H709)+G710/Resumen!$B$9)</f>
        <v>0.721721432970413</v>
      </c>
      <c r="I710" s="26" t="n">
        <f aca="false">IF(H710="","",H710-AVERAGE(H662:H758))</f>
        <v>-0.0534095889932498</v>
      </c>
      <c r="J710" s="27" t="n">
        <f aca="false">IF(I710="","",Resumen!$B$10-(MAX(I662:I758)-I710))</f>
        <v>1.3137589744448</v>
      </c>
    </row>
    <row r="711" customFormat="false" ht="15" hidden="false" customHeight="false" outlineLevel="0" collapsed="false">
      <c r="A711" s="24" t="n">
        <v>46268.78125</v>
      </c>
      <c r="B711" s="10" t="n">
        <v>3.3761</v>
      </c>
      <c r="C711" s="10" t="n">
        <v>2.9222</v>
      </c>
      <c r="D711" s="10" t="n">
        <f aca="false">IF(OR(B711="",C711="",B711&lt;=0.05,C711&lt;=0.05),0,1)</f>
        <v>1</v>
      </c>
      <c r="E711" s="25" t="n">
        <f aca="false">IF(OR(A711&lt;Resumen!$B$6,A711&gt;=Resumen!$B$7),0,MAX(0,AVERAGEIFS(B663:B759,D663:D759,1)-Resumen!$B$5*AVERAGEIFS(C663:C759,D663:D759,1)))</f>
        <v>0</v>
      </c>
      <c r="F711" s="10" t="n">
        <f aca="false">IF(B711="","",(B711-E711)/Resumen!$B$5)</f>
        <v>2.68157267672756</v>
      </c>
      <c r="G711" s="10" t="n">
        <f aca="false">IF(OR(F711="",C711=""),0,(F711-C711)*0.9)</f>
        <v>-0.216564590945194</v>
      </c>
      <c r="H711" s="26" t="n">
        <f aca="false">IF(A711&lt;Resumen!$B$11,"",IF(H710="",0,H710)+G711/Resumen!$B$9)</f>
        <v>0.711484665168808</v>
      </c>
      <c r="I711" s="26" t="n">
        <f aca="false">IF(H711="","",H711-AVERAGE(H663:H759))</f>
        <v>-0.0759363450185974</v>
      </c>
      <c r="J711" s="27" t="n">
        <f aca="false">IF(I711="","",Resumen!$B$10-(MAX(I663:I759)-I711))</f>
        <v>1.29076883079454</v>
      </c>
    </row>
    <row r="712" customFormat="false" ht="15" hidden="false" customHeight="false" outlineLevel="0" collapsed="false">
      <c r="A712" s="24" t="n">
        <v>46268.7916666667</v>
      </c>
      <c r="B712" s="10" t="n">
        <v>3.9918</v>
      </c>
      <c r="C712" s="10" t="n">
        <v>2.9133</v>
      </c>
      <c r="D712" s="10" t="n">
        <f aca="false">IF(OR(B712="",C712="",B712&lt;=0.05,C712&lt;=0.05),0,1)</f>
        <v>1</v>
      </c>
      <c r="E712" s="25" t="n">
        <f aca="false">IF(OR(A712&lt;Resumen!$B$6,A712&gt;=Resumen!$B$7),0,MAX(0,AVERAGEIFS(B664:B760,D664:D760,1)-Resumen!$B$5*AVERAGEIFS(C664:C760,D664:D760,1)))</f>
        <v>0</v>
      </c>
      <c r="F712" s="10" t="n">
        <f aca="false">IF(B712="","",(B712-E712)/Resumen!$B$5)</f>
        <v>3.17061159650516</v>
      </c>
      <c r="G712" s="10" t="n">
        <f aca="false">IF(OR(F712="",C712=""),0,(F712-C712)*0.9)</f>
        <v>0.231580436854647</v>
      </c>
      <c r="H712" s="26" t="n">
        <f aca="false">IF(A712&lt;Resumen!$B$11,"",IF(H711="",0,H711)+G712/Resumen!$B$9)</f>
        <v>0.722431215337183</v>
      </c>
      <c r="I712" s="26" t="n">
        <f aca="false">IF(H712="","",H712-AVERAGE(H664:H760))</f>
        <v>-0.0766054585172423</v>
      </c>
      <c r="J712" s="27" t="n">
        <f aca="false">IF(I712="","",Resumen!$B$10-(MAX(I664:I760)-I712))</f>
        <v>1.2900997172959</v>
      </c>
    </row>
    <row r="713" customFormat="false" ht="15" hidden="false" customHeight="false" outlineLevel="0" collapsed="false">
      <c r="A713" s="24" t="n">
        <v>46268.8020833333</v>
      </c>
      <c r="B713" s="10" t="n">
        <v>4.8362</v>
      </c>
      <c r="C713" s="10" t="n">
        <v>2.7647</v>
      </c>
      <c r="D713" s="10" t="n">
        <f aca="false">IF(OR(B713="",C713="",B713&lt;=0.05,C713&lt;=0.05),0,1)</f>
        <v>1</v>
      </c>
      <c r="E713" s="25" t="n">
        <f aca="false">IF(OR(A713&lt;Resumen!$B$6,A713&gt;=Resumen!$B$7),0,MAX(0,AVERAGEIFS(B665:B761,D665:D761,1)-Resumen!$B$5*AVERAGEIFS(C665:C761,D665:D761,1)))</f>
        <v>0</v>
      </c>
      <c r="F713" s="10" t="n">
        <f aca="false">IF(B713="","",(B713-E713)/Resumen!$B$5)</f>
        <v>3.84130262112788</v>
      </c>
      <c r="G713" s="10" t="n">
        <f aca="false">IF(OR(F713="",C713=""),0,(F713-C713)*0.9)</f>
        <v>0.968942359015092</v>
      </c>
      <c r="H713" s="26" t="n">
        <f aca="false">IF(A713&lt;Resumen!$B$11,"",IF(H712="",0,H712)+G713/Resumen!$B$9)</f>
        <v>0.76823204500692</v>
      </c>
      <c r="I713" s="26" t="n">
        <f aca="false">IF(H713="","",H713-AVERAGE(H665:H761))</f>
        <v>-0.043074013795205</v>
      </c>
      <c r="J713" s="27" t="n">
        <f aca="false">IF(I713="","",Resumen!$B$10-(MAX(I665:I761)-I713))</f>
        <v>1.29075914892178</v>
      </c>
    </row>
    <row r="714" customFormat="false" ht="15" hidden="false" customHeight="false" outlineLevel="0" collapsed="false">
      <c r="A714" s="24" t="n">
        <v>46268.8125</v>
      </c>
      <c r="B714" s="10" t="n">
        <v>5.1202</v>
      </c>
      <c r="C714" s="10" t="n">
        <v>3.7663</v>
      </c>
      <c r="D714" s="10" t="n">
        <f aca="false">IF(OR(B714="",C714="",B714&lt;=0.05,C714&lt;=0.05),0,1)</f>
        <v>1</v>
      </c>
      <c r="E714" s="25" t="n">
        <f aca="false">IF(OR(A714&lt;Resumen!$B$6,A714&gt;=Resumen!$B$7),0,MAX(0,AVERAGEIFS(B666:B762,D666:D762,1)-Resumen!$B$5*AVERAGEIFS(C666:C762,D666:D762,1)))</f>
        <v>0</v>
      </c>
      <c r="F714" s="10" t="n">
        <f aca="false">IF(B714="","",(B714-E714)/Resumen!$B$5)</f>
        <v>4.06687847498014</v>
      </c>
      <c r="G714" s="10" t="n">
        <f aca="false">IF(OR(F714="",C714=""),0,(F714-C714)*0.9)</f>
        <v>0.270520627482129</v>
      </c>
      <c r="H714" s="26" t="n">
        <f aca="false">IF(A714&lt;Resumen!$B$11,"",IF(H713="",0,H713)+G714/Resumen!$B$9)</f>
        <v>0.781019254758028</v>
      </c>
      <c r="I714" s="26" t="n">
        <f aca="false">IF(H714="","",H714-AVERAGE(H666:H762))</f>
        <v>-0.0425371837884266</v>
      </c>
      <c r="J714" s="27" t="n">
        <f aca="false">IF(I714="","",Resumen!$B$10-(MAX(I666:I762)-I714))</f>
        <v>1.29129597892856</v>
      </c>
    </row>
    <row r="715" customFormat="false" ht="15" hidden="false" customHeight="false" outlineLevel="0" collapsed="false">
      <c r="A715" s="24" t="n">
        <v>46268.8229166667</v>
      </c>
      <c r="B715" s="10" t="n">
        <v>5.8076</v>
      </c>
      <c r="C715" s="10" t="n">
        <v>3.3959</v>
      </c>
      <c r="D715" s="10" t="n">
        <f aca="false">IF(OR(B715="",C715="",B715&lt;=0.05,C715&lt;=0.05),0,1)</f>
        <v>1</v>
      </c>
      <c r="E715" s="25" t="n">
        <f aca="false">IF(OR(A715&lt;Resumen!$B$6,A715&gt;=Resumen!$B$7),0,MAX(0,AVERAGEIFS(B667:B763,D667:D763,1)-Resumen!$B$5*AVERAGEIFS(C667:C763,D667:D763,1)))</f>
        <v>0</v>
      </c>
      <c r="F715" s="10" t="n">
        <f aca="false">IF(B715="","",(B715-E715)/Resumen!$B$5)</f>
        <v>4.61286735504369</v>
      </c>
      <c r="G715" s="10" t="n">
        <f aca="false">IF(OR(F715="",C715=""),0,(F715-C715)*0.9)</f>
        <v>1.09527061953932</v>
      </c>
      <c r="H715" s="26" t="n">
        <f aca="false">IF(A715&lt;Resumen!$B$11,"",IF(H714="",0,H714)+G715/Resumen!$B$9)</f>
        <v>0.832791481063396</v>
      </c>
      <c r="I715" s="26" t="n">
        <f aca="false">IF(H715="","",H715-AVERAGE(H667:H763))</f>
        <v>-0.00253231264671716</v>
      </c>
      <c r="J715" s="27" t="n">
        <f aca="false">IF(I715="","",Resumen!$B$10-(MAX(I667:I763)-I715))</f>
        <v>1.33130085007027</v>
      </c>
    </row>
    <row r="716" customFormat="false" ht="15" hidden="false" customHeight="false" outlineLevel="0" collapsed="false">
      <c r="A716" s="24" t="n">
        <v>46268.8333333333</v>
      </c>
      <c r="B716" s="10" t="n">
        <v>4.3624</v>
      </c>
      <c r="C716" s="10" t="n">
        <v>2.8776</v>
      </c>
      <c r="D716" s="10" t="n">
        <f aca="false">IF(OR(B716="",C716="",B716&lt;=0.05,C716&lt;=0.05),0,1)</f>
        <v>1</v>
      </c>
      <c r="E716" s="25" t="n">
        <f aca="false">IF(OR(A716&lt;Resumen!$B$6,A716&gt;=Resumen!$B$7),0,MAX(0,AVERAGEIFS(B668:B764,D668:D764,1)-Resumen!$B$5*AVERAGEIFS(C668:C764,D668:D764,1)))</f>
        <v>0</v>
      </c>
      <c r="F716" s="10" t="n">
        <f aca="false">IF(B716="","",(B716-E716)/Resumen!$B$5)</f>
        <v>3.46497220015886</v>
      </c>
      <c r="G716" s="10" t="n">
        <f aca="false">IF(OR(F716="",C716=""),0,(F716-C716)*0.9)</f>
        <v>0.528634980142971</v>
      </c>
      <c r="H716" s="26" t="n">
        <f aca="false">IF(A716&lt;Resumen!$B$11,"",IF(H715="",0,H715)+G716/Resumen!$B$9)</f>
        <v>0.857779469727246</v>
      </c>
      <c r="I716" s="26" t="n">
        <f aca="false">IF(H716="","",H716-AVERAGE(H668:H764))</f>
        <v>0.0103506012962548</v>
      </c>
      <c r="J716" s="27" t="n">
        <f aca="false">IF(I716="","",Resumen!$B$10-(MAX(I668:I764)-I716))</f>
        <v>1.34204778729711</v>
      </c>
    </row>
    <row r="717" customFormat="false" ht="15" hidden="false" customHeight="false" outlineLevel="0" collapsed="false">
      <c r="A717" s="24" t="n">
        <v>46268.84375</v>
      </c>
      <c r="B717" s="10" t="n">
        <v>4.1254</v>
      </c>
      <c r="C717" s="10" t="n">
        <v>3.0672</v>
      </c>
      <c r="D717" s="10" t="n">
        <f aca="false">IF(OR(B717="",C717="",B717&lt;=0.05,C717&lt;=0.05),0,1)</f>
        <v>1</v>
      </c>
      <c r="E717" s="25" t="n">
        <f aca="false">IF(OR(A717&lt;Resumen!$B$6,A717&gt;=Resumen!$B$7),0,MAX(0,AVERAGEIFS(B669:B765,D669:D765,1)-Resumen!$B$5*AVERAGEIFS(C669:C765,D669:D765,1)))</f>
        <v>0</v>
      </c>
      <c r="F717" s="10" t="n">
        <f aca="false">IF(B717="","",(B717-E717)/Resumen!$B$5)</f>
        <v>3.27672756155679</v>
      </c>
      <c r="G717" s="10" t="n">
        <f aca="false">IF(OR(F717="",C717=""),0,(F717-C717)*0.9)</f>
        <v>0.188574805401112</v>
      </c>
      <c r="H717" s="26" t="n">
        <f aca="false">IF(A717&lt;Resumen!$B$11,"",IF(H716="",0,H716)+G717/Resumen!$B$9)</f>
        <v>0.866693191438163</v>
      </c>
      <c r="I717" s="26" t="n">
        <f aca="false">IF(H717="","",H717-AVERAGE(H669:H765))</f>
        <v>0.00683908053107041</v>
      </c>
      <c r="J717" s="27" t="n">
        <f aca="false">IF(I717="","",Resumen!$B$10-(MAX(I669:I765)-I717))</f>
        <v>1.31151794851669</v>
      </c>
    </row>
    <row r="718" customFormat="false" ht="15" hidden="false" customHeight="false" outlineLevel="0" collapsed="false">
      <c r="A718" s="24" t="n">
        <v>46268.8541666667</v>
      </c>
      <c r="B718" s="10" t="n">
        <v>5.2185</v>
      </c>
      <c r="C718" s="10" t="n">
        <v>2.8058</v>
      </c>
      <c r="D718" s="10" t="n">
        <f aca="false">IF(OR(B718="",C718="",B718&lt;=0.05,C718&lt;=0.05),0,1)</f>
        <v>1</v>
      </c>
      <c r="E718" s="25" t="n">
        <f aca="false">IF(OR(A718&lt;Resumen!$B$6,A718&gt;=Resumen!$B$7),0,MAX(0,AVERAGEIFS(B670:B766,D670:D766,1)-Resumen!$B$5*AVERAGEIFS(C670:C766,D670:D766,1)))</f>
        <v>0</v>
      </c>
      <c r="F718" s="10" t="n">
        <f aca="false">IF(B718="","",(B718-E718)/Resumen!$B$5)</f>
        <v>4.14495631453535</v>
      </c>
      <c r="G718" s="10" t="n">
        <f aca="false">IF(OR(F718="",C718=""),0,(F718-C718)*0.9)</f>
        <v>1.20524068308181</v>
      </c>
      <c r="H718" s="26" t="n">
        <f aca="false">IF(A718&lt;Resumen!$B$11,"",IF(H717="",0,H717)+G718/Resumen!$B$9)</f>
        <v>0.923663580567375</v>
      </c>
      <c r="I718" s="26" t="n">
        <f aca="false">IF(H718="","",H718-AVERAGE(H670:H766))</f>
        <v>0.051073498351583</v>
      </c>
      <c r="J718" s="27" t="n">
        <f aca="false">IF(I718="","",Resumen!$B$10-(MAX(I670:I766)-I718))</f>
        <v>1.31476901510397</v>
      </c>
    </row>
    <row r="719" customFormat="false" ht="15" hidden="false" customHeight="false" outlineLevel="0" collapsed="false">
      <c r="A719" s="24" t="n">
        <v>46268.8645833333</v>
      </c>
      <c r="B719" s="10" t="n">
        <v>2.3932</v>
      </c>
      <c r="C719" s="10" t="n">
        <v>2.6424</v>
      </c>
      <c r="D719" s="10" t="n">
        <f aca="false">IF(OR(B719="",C719="",B719&lt;=0.05,C719&lt;=0.05),0,1)</f>
        <v>1</v>
      </c>
      <c r="E719" s="25" t="n">
        <f aca="false">IF(OR(A719&lt;Resumen!$B$6,A719&gt;=Resumen!$B$7),0,MAX(0,AVERAGEIFS(B671:B767,D671:D767,1)-Resumen!$B$5*AVERAGEIFS(C671:C767,D671:D767,1)))</f>
        <v>0</v>
      </c>
      <c r="F719" s="10" t="n">
        <f aca="false">IF(B719="","",(B719-E719)/Resumen!$B$5)</f>
        <v>1.90087370929309</v>
      </c>
      <c r="G719" s="10" t="n">
        <f aca="false">IF(OR(F719="",C719=""),0,(F719-C719)*0.9)</f>
        <v>-0.667373661636219</v>
      </c>
      <c r="H719" s="26" t="n">
        <f aca="false">IF(A719&lt;Resumen!$B$11,"",IF(H718="",0,H718)+G719/Resumen!$B$9)</f>
        <v>0.892117568445727</v>
      </c>
      <c r="I719" s="26" t="n">
        <f aca="false">IF(H719="","",H719-AVERAGE(H671:H767))</f>
        <v>0.00656682008584242</v>
      </c>
      <c r="J719" s="27" t="n">
        <f aca="false">IF(I719="","",Resumen!$B$10-(MAX(I671:I767)-I719))</f>
        <v>1.26808889434377</v>
      </c>
    </row>
    <row r="720" customFormat="false" ht="15" hidden="false" customHeight="false" outlineLevel="0" collapsed="false">
      <c r="A720" s="24" t="n">
        <v>46268.875</v>
      </c>
      <c r="B720" s="10" t="n">
        <v>3.1607</v>
      </c>
      <c r="C720" s="10" t="n">
        <v>3.1732</v>
      </c>
      <c r="D720" s="10" t="n">
        <f aca="false">IF(OR(B720="",C720="",B720&lt;=0.05,C720&lt;=0.05),0,1)</f>
        <v>1</v>
      </c>
      <c r="E720" s="25" t="n">
        <f aca="false">IF(OR(A720&lt;Resumen!$B$6,A720&gt;=Resumen!$B$7),0,MAX(0,AVERAGEIFS(B672:B768,D672:D768,1)-Resumen!$B$5*AVERAGEIFS(C672:C768,D672:D768,1)))</f>
        <v>0</v>
      </c>
      <c r="F720" s="10" t="n">
        <f aca="false">IF(B720="","",(B720-E720)/Resumen!$B$5)</f>
        <v>2.51048451151708</v>
      </c>
      <c r="G720" s="10" t="n">
        <f aca="false">IF(OR(F720="",C720=""),0,(F720-C720)*0.9)</f>
        <v>-0.596443939634631</v>
      </c>
      <c r="H720" s="26" t="n">
        <f aca="false">IF(A720&lt;Resumen!$B$11,"",IF(H719="",0,H719)+G720/Resumen!$B$9)</f>
        <v>0.863924325542692</v>
      </c>
      <c r="I720" s="26" t="n">
        <f aca="false">IF(H720="","",H720-AVERAGE(H672:H768))</f>
        <v>-0.0349100704043103</v>
      </c>
      <c r="J720" s="27" t="n">
        <f aca="false">IF(I720="","",Resumen!$B$10-(MAX(I672:I768)-I720))</f>
        <v>1.19682862571445</v>
      </c>
    </row>
    <row r="721" customFormat="false" ht="15" hidden="false" customHeight="false" outlineLevel="0" collapsed="false">
      <c r="A721" s="24" t="n">
        <v>46268.8854166667</v>
      </c>
      <c r="B721" s="10" t="n">
        <v>3.464</v>
      </c>
      <c r="C721" s="10" t="n">
        <v>2.6718</v>
      </c>
      <c r="D721" s="10" t="n">
        <f aca="false">IF(OR(B721="",C721="",B721&lt;=0.05,C721&lt;=0.05),0,1)</f>
        <v>1</v>
      </c>
      <c r="E721" s="25" t="n">
        <f aca="false">IF(OR(A721&lt;Resumen!$B$6,A721&gt;=Resumen!$B$7),0,MAX(0,AVERAGEIFS(B673:B769,D673:D769,1)-Resumen!$B$5*AVERAGEIFS(C673:C769,D673:D769,1)))</f>
        <v>0</v>
      </c>
      <c r="F721" s="10" t="n">
        <f aca="false">IF(B721="","",(B721-E721)/Resumen!$B$5)</f>
        <v>2.75138999205719</v>
      </c>
      <c r="G721" s="10" t="n">
        <f aca="false">IF(OR(F721="",C721=""),0,(F721-C721)*0.9)</f>
        <v>0.0716309928514695</v>
      </c>
      <c r="H721" s="26" t="n">
        <f aca="false">IF(A721&lt;Resumen!$B$11,"",IF(H720="",0,H720)+G721/Resumen!$B$9)</f>
        <v>0.867310243055885</v>
      </c>
      <c r="I721" s="26" t="n">
        <f aca="false">IF(H721="","",H721-AVERAGE(H673:H769))</f>
        <v>-0.0447958124772898</v>
      </c>
      <c r="J721" s="27" t="n">
        <f aca="false">IF(I721="","",Resumen!$B$10-(MAX(I673:I769)-I721))</f>
        <v>1.18694288364148</v>
      </c>
    </row>
    <row r="722" customFormat="false" ht="15" hidden="false" customHeight="false" outlineLevel="0" collapsed="false">
      <c r="A722" s="24" t="n">
        <v>46268.8958333333</v>
      </c>
      <c r="B722" s="10" t="n">
        <v>3.7183</v>
      </c>
      <c r="C722" s="10" t="n">
        <v>2.9625</v>
      </c>
      <c r="D722" s="10" t="n">
        <f aca="false">IF(OR(B722="",C722="",B722&lt;=0.05,C722&lt;=0.05),0,1)</f>
        <v>1</v>
      </c>
      <c r="E722" s="25" t="n">
        <f aca="false">IF(OR(A722&lt;Resumen!$B$6,A722&gt;=Resumen!$B$7),0,MAX(0,AVERAGEIFS(B674:B770,D674:D770,1)-Resumen!$B$5*AVERAGEIFS(C674:C770,D674:D770,1)))</f>
        <v>0</v>
      </c>
      <c r="F722" s="10" t="n">
        <f aca="false">IF(B722="","",(B722-E722)/Resumen!$B$5)</f>
        <v>2.95337569499603</v>
      </c>
      <c r="G722" s="10" t="n">
        <f aca="false">IF(OR(F722="",C722=""),0,(F722-C722)*0.9)</f>
        <v>-0.00821187450357379</v>
      </c>
      <c r="H722" s="26" t="n">
        <f aca="false">IF(A722&lt;Resumen!$B$11,"",IF(H721="",0,H721)+G722/Resumen!$B$9)</f>
        <v>0.866922076864256</v>
      </c>
      <c r="I722" s="26" t="n">
        <f aca="false">IF(H722="","",H722-AVERAGE(H674:H770))</f>
        <v>-0.0590884384217973</v>
      </c>
      <c r="J722" s="27" t="n">
        <f aca="false">IF(I722="","",Resumen!$B$10-(MAX(I674:I770)-I722))</f>
        <v>1.17265025769697</v>
      </c>
    </row>
    <row r="723" customFormat="false" ht="15" hidden="false" customHeight="false" outlineLevel="0" collapsed="false">
      <c r="A723" s="24" t="n">
        <v>46268.90625</v>
      </c>
      <c r="B723" s="10" t="n">
        <v>1.9923</v>
      </c>
      <c r="C723" s="10" t="n">
        <v>2.4981</v>
      </c>
      <c r="D723" s="10" t="n">
        <f aca="false">IF(OR(B723="",C723="",B723&lt;=0.05,C723&lt;=0.05),0,1)</f>
        <v>1</v>
      </c>
      <c r="E723" s="25" t="n">
        <f aca="false">IF(OR(A723&lt;Resumen!$B$6,A723&gt;=Resumen!$B$7),0,MAX(0,AVERAGEIFS(B675:B771,D675:D771,1)-Resumen!$B$5*AVERAGEIFS(C675:C771,D675:D771,1)))</f>
        <v>0</v>
      </c>
      <c r="F723" s="10" t="n">
        <f aca="false">IF(B723="","",(B723-E723)/Resumen!$B$5)</f>
        <v>1.58244638602065</v>
      </c>
      <c r="G723" s="10" t="n">
        <f aca="false">IF(OR(F723="",C723=""),0,(F723-C723)*0.9)</f>
        <v>-0.824088252581414</v>
      </c>
      <c r="H723" s="26" t="n">
        <f aca="false">IF(A723&lt;Resumen!$B$11,"",IF(H722="",0,H722)+G723/Resumen!$B$9)</f>
        <v>0.827968340000405</v>
      </c>
      <c r="I723" s="26" t="n">
        <f aca="false">IF(H723="","",H723-AVERAGE(H675:H771))</f>
        <v>-0.111297438524268</v>
      </c>
      <c r="J723" s="27" t="n">
        <f aca="false">IF(I723="","",Resumen!$B$10-(MAX(I675:I771)-I723))</f>
        <v>1.1204412575945</v>
      </c>
    </row>
    <row r="724" customFormat="false" ht="15" hidden="false" customHeight="false" outlineLevel="0" collapsed="false">
      <c r="A724" s="24" t="n">
        <v>46268.9166666667</v>
      </c>
      <c r="B724" s="10" t="n">
        <v>2.8168</v>
      </c>
      <c r="C724" s="10" t="n">
        <v>2.1824</v>
      </c>
      <c r="D724" s="10" t="n">
        <f aca="false">IF(OR(B724="",C724="",B724&lt;=0.05,C724&lt;=0.05),0,1)</f>
        <v>1</v>
      </c>
      <c r="E724" s="25" t="n">
        <f aca="false">IF(OR(A724&lt;Resumen!$B$6,A724&gt;=Resumen!$B$7),0,MAX(0,AVERAGEIFS(B676:B772,D676:D772,1)-Resumen!$B$5*AVERAGEIFS(C676:C772,D676:D772,1)))</f>
        <v>0</v>
      </c>
      <c r="F724" s="10" t="n">
        <f aca="false">IF(B724="","",(B724-E724)/Resumen!$B$5)</f>
        <v>2.2373312152502</v>
      </c>
      <c r="G724" s="10" t="n">
        <f aca="false">IF(OR(F724="",C724=""),0,(F724-C724)*0.9)</f>
        <v>0.049438093725179</v>
      </c>
      <c r="H724" s="26" t="n">
        <f aca="false">IF(A724&lt;Resumen!$B$11,"",IF(H723="",0,H723)+G724/Resumen!$B$9)</f>
        <v>0.830305223808649</v>
      </c>
      <c r="I724" s="26" t="n">
        <f aca="false">IF(H724="","",H724-AVERAGE(H676:H772))</f>
        <v>-0.121534266242712</v>
      </c>
      <c r="J724" s="27" t="n">
        <f aca="false">IF(I724="","",Resumen!$B$10-(MAX(I676:I772)-I724))</f>
        <v>1.11020442987605</v>
      </c>
    </row>
    <row r="725" customFormat="false" ht="15" hidden="false" customHeight="false" outlineLevel="0" collapsed="false">
      <c r="A725" s="24" t="n">
        <v>46268.9270833333</v>
      </c>
      <c r="B725" s="10" t="n">
        <v>2.3888</v>
      </c>
      <c r="C725" s="10" t="n">
        <v>2.4316</v>
      </c>
      <c r="D725" s="10" t="n">
        <f aca="false">IF(OR(B725="",C725="",B725&lt;=0.05,C725&lt;=0.05),0,1)</f>
        <v>1</v>
      </c>
      <c r="E725" s="25" t="n">
        <f aca="false">IF(OR(A725&lt;Resumen!$B$6,A725&gt;=Resumen!$B$7),0,MAX(0,AVERAGEIFS(B677:B773,D677:D773,1)-Resumen!$B$5*AVERAGEIFS(C677:C773,D677:D773,1)))</f>
        <v>0</v>
      </c>
      <c r="F725" s="10" t="n">
        <f aca="false">IF(B725="","",(B725-E725)/Resumen!$B$5)</f>
        <v>1.89737887212073</v>
      </c>
      <c r="G725" s="10" t="n">
        <f aca="false">IF(OR(F725="",C725=""),0,(F725-C725)*0.9)</f>
        <v>-0.480799015091342</v>
      </c>
      <c r="H725" s="26" t="n">
        <f aca="false">IF(A725&lt;Resumen!$B$11,"",IF(H724="",0,H724)+G725/Resumen!$B$9)</f>
        <v>0.807578388109196</v>
      </c>
      <c r="I725" s="26" t="n">
        <f aca="false">IF(H725="","",H725-AVERAGE(H677:H773))</f>
        <v>-0.156693695900917</v>
      </c>
      <c r="J725" s="27" t="n">
        <f aca="false">IF(I725="","",Resumen!$B$10-(MAX(I677:I773)-I725))</f>
        <v>1.07504500021785</v>
      </c>
    </row>
    <row r="726" customFormat="false" ht="15" hidden="false" customHeight="false" outlineLevel="0" collapsed="false">
      <c r="A726" s="24" t="n">
        <v>46268.9375</v>
      </c>
      <c r="B726" s="10" t="n">
        <v>1.9225</v>
      </c>
      <c r="C726" s="10" t="n">
        <v>2.4135</v>
      </c>
      <c r="D726" s="10" t="n">
        <f aca="false">IF(OR(B726="",C726="",B726&lt;=0.05,C726&lt;=0.05),0,1)</f>
        <v>1</v>
      </c>
      <c r="E726" s="25" t="n">
        <f aca="false">IF(OR(A726&lt;Resumen!$B$6,A726&gt;=Resumen!$B$7),0,MAX(0,AVERAGEIFS(B678:B774,D678:D774,1)-Resumen!$B$5*AVERAGEIFS(C678:C774,D678:D774,1)))</f>
        <v>0</v>
      </c>
      <c r="F726" s="10" t="n">
        <f aca="false">IF(B726="","",(B726-E726)/Resumen!$B$5)</f>
        <v>1.52700555996823</v>
      </c>
      <c r="G726" s="10" t="n">
        <f aca="false">IF(OR(F726="",C726=""),0,(F726-C726)*0.9)</f>
        <v>-0.797844996028594</v>
      </c>
      <c r="H726" s="26" t="n">
        <f aca="false">IF(A726&lt;Resumen!$B$11,"",IF(H725="",0,H725)+G726/Resumen!$B$9)</f>
        <v>0.769865140849472</v>
      </c>
      <c r="I726" s="26" t="n">
        <f aca="false">IF(H726="","",H726-AVERAGE(H678:H774))</f>
        <v>-0.206485948831162</v>
      </c>
      <c r="J726" s="27" t="n">
        <f aca="false">IF(I726="","",Resumen!$B$10-(MAX(I678:I774)-I726))</f>
        <v>1.0252527472876</v>
      </c>
    </row>
    <row r="727" customFormat="false" ht="15" hidden="false" customHeight="false" outlineLevel="0" collapsed="false">
      <c r="A727" s="24" t="n">
        <v>46268.9479166667</v>
      </c>
      <c r="B727" s="10" t="n">
        <v>3.0678</v>
      </c>
      <c r="C727" s="10" t="n">
        <v>2.3918</v>
      </c>
      <c r="D727" s="10" t="n">
        <f aca="false">IF(OR(B727="",C727="",B727&lt;=0.05,C727&lt;=0.05),0,1)</f>
        <v>1</v>
      </c>
      <c r="E727" s="25" t="n">
        <f aca="false">IF(OR(A727&lt;Resumen!$B$6,A727&gt;=Resumen!$B$7),0,MAX(0,AVERAGEIFS(B679:B775,D679:D775,1)-Resumen!$B$5*AVERAGEIFS(C679:C775,D679:D775,1)))</f>
        <v>0</v>
      </c>
      <c r="F727" s="10" t="n">
        <f aca="false">IF(B727="","",(B727-E727)/Resumen!$B$5)</f>
        <v>2.43669579030977</v>
      </c>
      <c r="G727" s="10" t="n">
        <f aca="false">IF(OR(F727="",C727=""),0,(F727-C727)*0.9)</f>
        <v>0.040406211278793</v>
      </c>
      <c r="H727" s="26" t="n">
        <f aca="false">IF(A727&lt;Resumen!$B$11,"",IF(H726="",0,H726)+G727/Resumen!$B$9)</f>
        <v>0.771775097600935</v>
      </c>
      <c r="I727" s="26" t="n">
        <f aca="false">IF(H727="","",H727-AVERAGE(H679:H775))</f>
        <v>-0.215296523773066</v>
      </c>
      <c r="J727" s="27" t="n">
        <f aca="false">IF(I727="","",Resumen!$B$10-(MAX(I679:I775)-I727))</f>
        <v>1.0164421723457</v>
      </c>
    </row>
    <row r="728" customFormat="false" ht="15" hidden="false" customHeight="false" outlineLevel="0" collapsed="false">
      <c r="A728" s="24" t="n">
        <v>46268.9583333333</v>
      </c>
      <c r="B728" s="10" t="n">
        <v>2.7719</v>
      </c>
      <c r="C728" s="10" t="n">
        <v>2.0269</v>
      </c>
      <c r="D728" s="10" t="n">
        <f aca="false">IF(OR(B728="",C728="",B728&lt;=0.05,C728&lt;=0.05),0,1)</f>
        <v>1</v>
      </c>
      <c r="E728" s="25" t="n">
        <f aca="false">IF(OR(A728&lt;Resumen!$B$6,A728&gt;=Resumen!$B$7),0,MAX(0,AVERAGEIFS(B680:B776,D680:D776,1)-Resumen!$B$5*AVERAGEIFS(C680:C776,D680:D776,1)))</f>
        <v>0</v>
      </c>
      <c r="F728" s="10" t="n">
        <f aca="false">IF(B728="","",(B728-E728)/Resumen!$B$5)</f>
        <v>2.20166799046863</v>
      </c>
      <c r="G728" s="10" t="n">
        <f aca="false">IF(OR(F728="",C728=""),0,(F728-C728)*0.9)</f>
        <v>0.157291191421764</v>
      </c>
      <c r="H728" s="26" t="n">
        <f aca="false">IF(A728&lt;Resumen!$B$11,"",IF(H727="",0,H727)+G728/Resumen!$B$9)</f>
        <v>0.779210077607569</v>
      </c>
      <c r="I728" s="26" t="n">
        <f aca="false">IF(H728="","",H728-AVERAGE(H680:H776))</f>
        <v>-0.218133057830785</v>
      </c>
      <c r="J728" s="27" t="n">
        <f aca="false">IF(I728="","",Resumen!$B$10-(MAX(I680:I776)-I728))</f>
        <v>1.01360563828798</v>
      </c>
    </row>
    <row r="729" customFormat="false" ht="15" hidden="false" customHeight="false" outlineLevel="0" collapsed="false">
      <c r="A729" s="24" t="n">
        <v>46268.96875</v>
      </c>
      <c r="B729" s="10" t="n">
        <v>4.6937</v>
      </c>
      <c r="C729" s="10" t="n">
        <v>1.9779</v>
      </c>
      <c r="D729" s="10" t="n">
        <f aca="false">IF(OR(B729="",C729="",B729&lt;=0.05,C729&lt;=0.05),0,1)</f>
        <v>1</v>
      </c>
      <c r="E729" s="25" t="n">
        <f aca="false">IF(OR(A729&lt;Resumen!$B$6,A729&gt;=Resumen!$B$7),0,MAX(0,AVERAGEIFS(B681:B777,D681:D777,1)-Resumen!$B$5*AVERAGEIFS(C681:C777,D681:D777,1)))</f>
        <v>0</v>
      </c>
      <c r="F729" s="10" t="n">
        <f aca="false">IF(B729="","",(B729-E729)/Resumen!$B$5)</f>
        <v>3.72811755361398</v>
      </c>
      <c r="G729" s="10" t="n">
        <f aca="false">IF(OR(F729="",C729=""),0,(F729-C729)*0.9)</f>
        <v>1.57519579825258</v>
      </c>
      <c r="H729" s="26" t="n">
        <f aca="false">IF(A729&lt;Resumen!$B$11,"",IF(H728="",0,H728)+G729/Resumen!$B$9)</f>
        <v>0.85366783433686</v>
      </c>
      <c r="I729" s="26" t="n">
        <f aca="false">IF(H729="","",H729-AVERAGE(H681:H777))</f>
        <v>-0.153621009758584</v>
      </c>
      <c r="J729" s="27" t="n">
        <f aca="false">IF(I729="","",Resumen!$B$10-(MAX(I681:I777)-I729))</f>
        <v>1.07811768636018</v>
      </c>
    </row>
    <row r="730" customFormat="false" ht="15" hidden="false" customHeight="false" outlineLevel="0" collapsed="false">
      <c r="A730" s="24" t="n">
        <v>46268.9791666667</v>
      </c>
      <c r="B730" s="10" t="n">
        <v>3.1764</v>
      </c>
      <c r="C730" s="10" t="n">
        <v>1.9716</v>
      </c>
      <c r="D730" s="10" t="n">
        <f aca="false">IF(OR(B730="",C730="",B730&lt;=0.05,C730&lt;=0.05),0,1)</f>
        <v>1</v>
      </c>
      <c r="E730" s="25" t="n">
        <f aca="false">IF(OR(A730&lt;Resumen!$B$6,A730&gt;=Resumen!$B$7),0,MAX(0,AVERAGEIFS(B682:B778,D682:D778,1)-Resumen!$B$5*AVERAGEIFS(C682:C778,D682:D778,1)))</f>
        <v>0</v>
      </c>
      <c r="F730" s="10" t="n">
        <f aca="false">IF(B730="","",(B730-E730)/Resumen!$B$5)</f>
        <v>2.52295472597299</v>
      </c>
      <c r="G730" s="10" t="n">
        <f aca="false">IF(OR(F730="",C730=""),0,(F730-C730)*0.9)</f>
        <v>0.496219253375695</v>
      </c>
      <c r="H730" s="26" t="n">
        <f aca="false">IF(A730&lt;Resumen!$B$11,"",IF(H729="",0,H729)+G730/Resumen!$B$9)</f>
        <v>0.877123567581721</v>
      </c>
      <c r="I730" s="26" t="n">
        <f aca="false">IF(H730="","",H730-AVERAGE(H682:H778))</f>
        <v>-0.139734641268266</v>
      </c>
      <c r="J730" s="27" t="n">
        <f aca="false">IF(I730="","",Resumen!$B$10-(MAX(I682:I778)-I730))</f>
        <v>1.0920040548505</v>
      </c>
    </row>
    <row r="731" customFormat="false" ht="15" hidden="false" customHeight="false" outlineLevel="0" collapsed="false">
      <c r="A731" s="24" t="n">
        <v>46268.9895833333</v>
      </c>
      <c r="B731" s="10" t="n">
        <v>3.3413</v>
      </c>
      <c r="C731" s="10" t="n">
        <v>1.8929</v>
      </c>
      <c r="D731" s="10" t="n">
        <f aca="false">IF(OR(B731="",C731="",B731&lt;=0.05,C731&lt;=0.05),0,1)</f>
        <v>1</v>
      </c>
      <c r="E731" s="25" t="n">
        <f aca="false">IF(OR(A731&lt;Resumen!$B$6,A731&gt;=Resumen!$B$7),0,MAX(0,AVERAGEIFS(B683:B779,D683:D779,1)-Resumen!$B$5*AVERAGEIFS(C683:C779,D683:D779,1)))</f>
        <v>0</v>
      </c>
      <c r="F731" s="10" t="n">
        <f aca="false">IF(B731="","",(B731-E731)/Resumen!$B$5)</f>
        <v>2.6539316918189</v>
      </c>
      <c r="G731" s="10" t="n">
        <f aca="false">IF(OR(F731="",C731=""),0,(F731-C731)*0.9)</f>
        <v>0.684928522637014</v>
      </c>
      <c r="H731" s="26" t="n">
        <f aca="false">IF(A731&lt;Resumen!$B$11,"",IF(H730="",0,H730)+G731/Resumen!$B$9)</f>
        <v>0.909499378494899</v>
      </c>
      <c r="I731" s="26" t="n">
        <f aca="false">IF(H731="","",H731-AVERAGE(H683:H779))</f>
        <v>-0.11729473153132</v>
      </c>
      <c r="J731" s="27" t="n">
        <f aca="false">IF(I731="","",Resumen!$B$10-(MAX(I683:I779)-I731))</f>
        <v>1.11444396458744</v>
      </c>
    </row>
    <row r="732" customFormat="false" ht="15" hidden="false" customHeight="false" outlineLevel="0" collapsed="false">
      <c r="A732" s="24" t="n">
        <v>46269</v>
      </c>
      <c r="B732" s="10" t="n">
        <v>3.824</v>
      </c>
      <c r="C732" s="10" t="n">
        <v>1.8724</v>
      </c>
      <c r="D732" s="10" t="n">
        <f aca="false">IF(OR(B732="",C732="",B732&lt;=0.05,C732&lt;=0.05),0,1)</f>
        <v>1</v>
      </c>
      <c r="E732" s="25" t="n">
        <f aca="false">IF(OR(A732&lt;Resumen!$B$6,A732&gt;=Resumen!$B$7),0,MAX(0,AVERAGEIFS(B684:B780,D684:D780,1)-Resumen!$B$5*AVERAGEIFS(C684:C780,D684:D780,1)))</f>
        <v>0</v>
      </c>
      <c r="F732" s="10" t="n">
        <f aca="false">IF(B732="","",(B732-E732)/Resumen!$B$5)</f>
        <v>3.0373312152502</v>
      </c>
      <c r="G732" s="10" t="n">
        <f aca="false">IF(OR(F732="",C732=""),0,(F732-C732)*0.9)</f>
        <v>1.04843809372518</v>
      </c>
      <c r="H732" s="26" t="n">
        <f aca="false">IF(A732&lt;Resumen!$B$11,"",IF(H731="",0,H731)+G732/Resumen!$B$9)</f>
        <v>0.95905788329469</v>
      </c>
      <c r="I732" s="26" t="n">
        <f aca="false">IF(H732="","",H732-AVERAGE(H684:H780))</f>
        <v>-0.0762150396963064</v>
      </c>
      <c r="J732" s="27" t="n">
        <f aca="false">IF(I732="","",Resumen!$B$10-(MAX(I684:I780)-I732))</f>
        <v>1.15552365642246</v>
      </c>
    </row>
    <row r="733" customFormat="false" ht="15" hidden="false" customHeight="false" outlineLevel="0" collapsed="false">
      <c r="A733" s="24" t="n">
        <v>46269.0104166667</v>
      </c>
      <c r="B733" s="10" t="n">
        <v>3.3744</v>
      </c>
      <c r="C733" s="10" t="n">
        <v>2.3516</v>
      </c>
      <c r="D733" s="10" t="n">
        <f aca="false">IF(OR(B733="",C733="",B733&lt;=0.05,C733&lt;=0.05),0,1)</f>
        <v>1</v>
      </c>
      <c r="E733" s="25" t="n">
        <f aca="false">IF(OR(A733&lt;Resumen!$B$6,A733&gt;=Resumen!$B$7),0,MAX(0,AVERAGEIFS(B685:B781,D685:D781,1)-Resumen!$B$5*AVERAGEIFS(C685:C781,D685:D781,1)))</f>
        <v>0</v>
      </c>
      <c r="F733" s="10" t="n">
        <f aca="false">IF(B733="","",(B733-E733)/Resumen!$B$5)</f>
        <v>2.68022239872915</v>
      </c>
      <c r="G733" s="10" t="n">
        <f aca="false">IF(OR(F733="",C733=""),0,(F733-C733)*0.9)</f>
        <v>0.295760158856235</v>
      </c>
      <c r="H733" s="26" t="n">
        <f aca="false">IF(A733&lt;Resumen!$B$11,"",IF(H732="",0,H732)+G733/Resumen!$B$9)</f>
        <v>0.97303813767498</v>
      </c>
      <c r="I733" s="26" t="n">
        <f aca="false">IF(H733="","",H733-AVERAGE(H685:H781))</f>
        <v>-0.070225632651012</v>
      </c>
      <c r="J733" s="27" t="n">
        <f aca="false">IF(I733="","",Resumen!$B$10-(MAX(I685:I781)-I733))</f>
        <v>1.16151306346775</v>
      </c>
    </row>
    <row r="734" customFormat="false" ht="15" hidden="false" customHeight="false" outlineLevel="0" collapsed="false">
      <c r="A734" s="24" t="n">
        <v>46269.0208333333</v>
      </c>
      <c r="B734" s="10" t="n">
        <v>1.9472</v>
      </c>
      <c r="C734" s="10" t="n">
        <v>1.8101</v>
      </c>
      <c r="D734" s="10" t="n">
        <f aca="false">IF(OR(B734="",C734="",B734&lt;=0.05,C734&lt;=0.05),0,1)</f>
        <v>1</v>
      </c>
      <c r="E734" s="25" t="n">
        <f aca="false">IF(OR(A734&lt;Resumen!$B$6,A734&gt;=Resumen!$B$7),0,MAX(0,AVERAGEIFS(B686:B782,D686:D782,1)-Resumen!$B$5*AVERAGEIFS(C686:C782,D686:D782,1)))</f>
        <v>0</v>
      </c>
      <c r="F734" s="10" t="n">
        <f aca="false">IF(B734="","",(B734-E734)/Resumen!$B$5)</f>
        <v>1.54662430500397</v>
      </c>
      <c r="G734" s="10" t="n">
        <f aca="false">IF(OR(F734="",C734=""),0,(F734-C734)*0.9)</f>
        <v>-0.237128125496426</v>
      </c>
      <c r="H734" s="26" t="n">
        <f aca="false">IF(A734&lt;Resumen!$B$11,"",IF(H733="",0,H733)+G734/Resumen!$B$9)</f>
        <v>0.9618293544231</v>
      </c>
      <c r="I734" s="26" t="n">
        <f aca="false">IF(H734="","",H734-AVERAGE(H686:H782))</f>
        <v>-0.0884600874341485</v>
      </c>
      <c r="J734" s="27" t="n">
        <f aca="false">IF(I734="","",Resumen!$B$10-(MAX(I686:I782)-I734))</f>
        <v>1.14327860868462</v>
      </c>
    </row>
    <row r="735" customFormat="false" ht="15" hidden="false" customHeight="false" outlineLevel="0" collapsed="false">
      <c r="A735" s="24" t="n">
        <v>46269.03125</v>
      </c>
      <c r="B735" s="10" t="n">
        <v>3.5633</v>
      </c>
      <c r="C735" s="10" t="n">
        <v>2.4939</v>
      </c>
      <c r="D735" s="10" t="n">
        <f aca="false">IF(OR(B735="",C735="",B735&lt;=0.05,C735&lt;=0.05),0,1)</f>
        <v>1</v>
      </c>
      <c r="E735" s="25" t="n">
        <f aca="false">IF(OR(A735&lt;Resumen!$B$6,A735&gt;=Resumen!$B$7),0,MAX(0,AVERAGEIFS(B687:B783,D687:D783,1)-Resumen!$B$5*AVERAGEIFS(C687:C783,D687:D783,1)))</f>
        <v>0</v>
      </c>
      <c r="F735" s="10" t="n">
        <f aca="false">IF(B735="","",(B735-E735)/Resumen!$B$5)</f>
        <v>2.83026211278793</v>
      </c>
      <c r="G735" s="10" t="n">
        <f aca="false">IF(OR(F735="",C735=""),0,(F735-C735)*0.9)</f>
        <v>0.302725901509135</v>
      </c>
      <c r="H735" s="26" t="n">
        <f aca="false">IF(A735&lt;Resumen!$B$11,"",IF(H734="",0,H734)+G735/Resumen!$B$9)</f>
        <v>0.976138871725791</v>
      </c>
      <c r="I735" s="26" t="n">
        <f aca="false">IF(H735="","",H735-AVERAGE(H687:H783))</f>
        <v>-0.0800124374612869</v>
      </c>
      <c r="J735" s="27" t="n">
        <f aca="false">IF(I735="","",Resumen!$B$10-(MAX(I687:I783)-I735))</f>
        <v>1.15172625865748</v>
      </c>
    </row>
    <row r="736" customFormat="false" ht="15" hidden="false" customHeight="false" outlineLevel="0" collapsed="false">
      <c r="A736" s="24" t="n">
        <v>46269.0416666667</v>
      </c>
      <c r="B736" s="10" t="n">
        <v>3.3493</v>
      </c>
      <c r="C736" s="10" t="n">
        <v>2.0976</v>
      </c>
      <c r="D736" s="10" t="n">
        <f aca="false">IF(OR(B736="",C736="",B736&lt;=0.05,C736&lt;=0.05),0,1)</f>
        <v>1</v>
      </c>
      <c r="E736" s="25" t="n">
        <f aca="false">IF(OR(A736&lt;Resumen!$B$6,A736&gt;=Resumen!$B$7),0,MAX(0,AVERAGEIFS(B688:B784,D688:D784,1)-Resumen!$B$5*AVERAGEIFS(C688:C784,D688:D784,1)))</f>
        <v>0</v>
      </c>
      <c r="F736" s="10" t="n">
        <f aca="false">IF(B736="","",(B736-E736)/Resumen!$B$5)</f>
        <v>2.66028594122319</v>
      </c>
      <c r="G736" s="10" t="n">
        <f aca="false">IF(OR(F736="",C736=""),0,(F736-C736)*0.9)</f>
        <v>0.506417347100874</v>
      </c>
      <c r="H736" s="26" t="n">
        <f aca="false">IF(A736&lt;Resumen!$B$11,"",IF(H735="",0,H735)+G736/Resumen!$B$9)</f>
        <v>1.00007665753995</v>
      </c>
      <c r="I736" s="26" t="n">
        <f aca="false">IF(H736="","",H736-AVERAGE(H688:H784))</f>
        <v>-0.0604418900440802</v>
      </c>
      <c r="J736" s="27" t="n">
        <f aca="false">IF(I736="","",Resumen!$B$10-(MAX(I688:I784)-I736))</f>
        <v>1.17129680607468</v>
      </c>
    </row>
    <row r="737" customFormat="false" ht="15" hidden="false" customHeight="false" outlineLevel="0" collapsed="false">
      <c r="A737" s="24" t="n">
        <v>46269.0520833333</v>
      </c>
      <c r="B737" s="10" t="n">
        <v>2.6701</v>
      </c>
      <c r="C737" s="10" t="n">
        <v>1.8624</v>
      </c>
      <c r="D737" s="10" t="n">
        <f aca="false">IF(OR(B737="",C737="",B737&lt;=0.05,C737&lt;=0.05),0,1)</f>
        <v>1</v>
      </c>
      <c r="E737" s="25" t="n">
        <f aca="false">IF(OR(A737&lt;Resumen!$B$6,A737&gt;=Resumen!$B$7),0,MAX(0,AVERAGEIFS(B689:B785,D689:D785,1)-Resumen!$B$5*AVERAGEIFS(C689:C785,D689:D785,1)))</f>
        <v>0</v>
      </c>
      <c r="F737" s="10" t="n">
        <f aca="false">IF(B737="","",(B737-E737)/Resumen!$B$5)</f>
        <v>2.12081016679905</v>
      </c>
      <c r="G737" s="10" t="n">
        <f aca="false">IF(OR(F737="",C737=""),0,(F737-C737)*0.9)</f>
        <v>0.232569150119142</v>
      </c>
      <c r="H737" s="26" t="n">
        <f aca="false">IF(A737&lt;Resumen!$B$11,"",IF(H736="",0,H736)+G737/Resumen!$B$9)</f>
        <v>1.01106994308675</v>
      </c>
      <c r="I737" s="26" t="n">
        <f aca="false">IF(H737="","",H737-AVERAGE(H689:H785))</f>
        <v>-0.052565049997404</v>
      </c>
      <c r="J737" s="27" t="n">
        <f aca="false">IF(I737="","",Resumen!$B$10-(MAX(I689:I785)-I737))</f>
        <v>1.17917364612136</v>
      </c>
    </row>
    <row r="738" customFormat="false" ht="15" hidden="false" customHeight="false" outlineLevel="0" collapsed="false">
      <c r="A738" s="24" t="n">
        <v>46269.0625</v>
      </c>
      <c r="B738" s="10" t="n">
        <v>4.2048</v>
      </c>
      <c r="C738" s="10" t="n">
        <v>1.8858</v>
      </c>
      <c r="D738" s="10" t="n">
        <f aca="false">IF(OR(B738="",C738="",B738&lt;=0.05,C738&lt;=0.05),0,1)</f>
        <v>1</v>
      </c>
      <c r="E738" s="25" t="n">
        <f aca="false">IF(OR(A738&lt;Resumen!$B$6,A738&gt;=Resumen!$B$7),0,MAX(0,AVERAGEIFS(B690:B786,D690:D786,1)-Resumen!$B$5*AVERAGEIFS(C690:C786,D690:D786,1)))</f>
        <v>0</v>
      </c>
      <c r="F738" s="10" t="n">
        <f aca="false">IF(B738="","",(B738-E738)/Resumen!$B$5)</f>
        <v>3.33979348689436</v>
      </c>
      <c r="G738" s="10" t="n">
        <f aca="false">IF(OR(F738="",C738=""),0,(F738-C738)*0.9)</f>
        <v>1.30859413820492</v>
      </c>
      <c r="H738" s="26" t="n">
        <f aca="false">IF(A738&lt;Resumen!$B$11,"",IF(H737="",0,H737)+G738/Resumen!$B$9)</f>
        <v>1.07292573530504</v>
      </c>
      <c r="I738" s="26" t="n">
        <f aca="false">IF(H738="","",H738-AVERAGE(H690:H786))</f>
        <v>0.00687007969223319</v>
      </c>
      <c r="J738" s="27" t="n">
        <f aca="false">IF(I738="","",Resumen!$B$10-(MAX(I690:I786)-I738))</f>
        <v>1.238608775811</v>
      </c>
    </row>
    <row r="739" customFormat="false" ht="15" hidden="false" customHeight="false" outlineLevel="0" collapsed="false">
      <c r="A739" s="24" t="n">
        <v>46269.0729166667</v>
      </c>
      <c r="B739" s="10" t="n">
        <v>4.2754</v>
      </c>
      <c r="C739" s="10" t="n">
        <v>1.8037</v>
      </c>
      <c r="D739" s="10" t="n">
        <f aca="false">IF(OR(B739="",C739="",B739&lt;=0.05,C739&lt;=0.05),0,1)</f>
        <v>1</v>
      </c>
      <c r="E739" s="25" t="n">
        <f aca="false">IF(OR(A739&lt;Resumen!$B$6,A739&gt;=Resumen!$B$7),0,MAX(0,AVERAGEIFS(B691:B787,D691:D787,1)-Resumen!$B$5*AVERAGEIFS(C691:C787,D691:D787,1)))</f>
        <v>0</v>
      </c>
      <c r="F739" s="10" t="n">
        <f aca="false">IF(B739="","",(B739-E739)/Resumen!$B$5)</f>
        <v>3.39586973788721</v>
      </c>
      <c r="G739" s="10" t="n">
        <f aca="false">IF(OR(F739="",C739=""),0,(F739-C739)*0.9)</f>
        <v>1.43295276409849</v>
      </c>
      <c r="H739" s="26" t="n">
        <f aca="false">IF(A739&lt;Resumen!$B$11,"",IF(H738="",0,H738)+G739/Resumen!$B$9)</f>
        <v>1.1406598217165</v>
      </c>
      <c r="I739" s="26" t="n">
        <f aca="false">IF(H739="","",H739-AVERAGE(H691:H787))</f>
        <v>0.0728266666377671</v>
      </c>
      <c r="J739" s="27" t="n">
        <f aca="false">IF(I739="","",Resumen!$B$10-(MAX(I691:I787)-I739))</f>
        <v>1.30456536275653</v>
      </c>
    </row>
    <row r="740" customFormat="false" ht="15" hidden="false" customHeight="false" outlineLevel="0" collapsed="false">
      <c r="A740" s="24" t="n">
        <v>46269.0833333333</v>
      </c>
      <c r="B740" s="10" t="n">
        <v>3.1738</v>
      </c>
      <c r="C740" s="10" t="n">
        <v>1.8821</v>
      </c>
      <c r="D740" s="10" t="n">
        <f aca="false">IF(OR(B740="",C740="",B740&lt;=0.05,C740&lt;=0.05),0,1)</f>
        <v>1</v>
      </c>
      <c r="E740" s="25" t="n">
        <f aca="false">IF(OR(A740&lt;Resumen!$B$6,A740&gt;=Resumen!$B$7),0,MAX(0,AVERAGEIFS(B692:B788,D692:D788,1)-Resumen!$B$5*AVERAGEIFS(C692:C788,D692:D788,1)))</f>
        <v>0</v>
      </c>
      <c r="F740" s="10" t="n">
        <f aca="false">IF(B740="","",(B740-E740)/Resumen!$B$5)</f>
        <v>2.5208895949166</v>
      </c>
      <c r="G740" s="10" t="n">
        <f aca="false">IF(OR(F740="",C740=""),0,(F740-C740)*0.9)</f>
        <v>0.574910635424941</v>
      </c>
      <c r="H740" s="26" t="n">
        <f aca="false">IF(A740&lt;Resumen!$B$11,"",IF(H739="",0,H739)+G740/Resumen!$B$9)</f>
        <v>1.16783520923406</v>
      </c>
      <c r="I740" s="26" t="n">
        <f aca="false">IF(H740="","",H740-AVERAGE(H692:H788))</f>
        <v>0.0982231728050464</v>
      </c>
      <c r="J740" s="27" t="n">
        <f aca="false">IF(I740="","",Resumen!$B$10-(MAX(I692:I788)-I740))</f>
        <v>1.32996186892381</v>
      </c>
    </row>
    <row r="741" customFormat="false" ht="15" hidden="false" customHeight="false" outlineLevel="0" collapsed="false">
      <c r="A741" s="24" t="n">
        <v>46269.09375</v>
      </c>
      <c r="B741" s="10" t="n">
        <v>2.3954</v>
      </c>
      <c r="C741" s="10" t="n">
        <v>1.762</v>
      </c>
      <c r="D741" s="10" t="n">
        <f aca="false">IF(OR(B741="",C741="",B741&lt;=0.05,C741&lt;=0.05),0,1)</f>
        <v>1</v>
      </c>
      <c r="E741" s="25" t="n">
        <f aca="false">IF(OR(A741&lt;Resumen!$B$6,A741&gt;=Resumen!$B$7),0,MAX(0,AVERAGEIFS(B693:B789,D693:D789,1)-Resumen!$B$5*AVERAGEIFS(C693:C789,D693:D789,1)))</f>
        <v>0</v>
      </c>
      <c r="F741" s="10" t="n">
        <f aca="false">IF(B741="","",(B741-E741)/Resumen!$B$5)</f>
        <v>1.90262112787927</v>
      </c>
      <c r="G741" s="10" t="n">
        <f aca="false">IF(OR(F741="",C741=""),0,(F741-C741)*0.9)</f>
        <v>0.126559015091342</v>
      </c>
      <c r="H741" s="26" t="n">
        <f aca="false">IF(A741&lt;Resumen!$B$11,"",IF(H740="",0,H740)+G741/Resumen!$B$9)</f>
        <v>1.17381751338192</v>
      </c>
      <c r="I741" s="26" t="n">
        <f aca="false">IF(H741="","",H741-AVERAGE(H693:H789))</f>
        <v>0.102023466957001</v>
      </c>
      <c r="J741" s="27" t="n">
        <f aca="false">IF(I741="","",Resumen!$B$10-(MAX(I693:I789)-I741))</f>
        <v>1.33376216307577</v>
      </c>
    </row>
    <row r="742" customFormat="false" ht="15" hidden="false" customHeight="false" outlineLevel="0" collapsed="false">
      <c r="A742" s="24" t="n">
        <v>46269.1041666667</v>
      </c>
      <c r="B742" s="10" t="n">
        <v>2.6991</v>
      </c>
      <c r="C742" s="10" t="n">
        <v>1.9927</v>
      </c>
      <c r="D742" s="10" t="n">
        <f aca="false">IF(OR(B742="",C742="",B742&lt;=0.05,C742&lt;=0.05),0,1)</f>
        <v>1</v>
      </c>
      <c r="E742" s="25" t="n">
        <f aca="false">IF(OR(A742&lt;Resumen!$B$6,A742&gt;=Resumen!$B$7),0,MAX(0,AVERAGEIFS(B694:B790,D694:D790,1)-Resumen!$B$5*AVERAGEIFS(C694:C790,D694:D790,1)))</f>
        <v>0</v>
      </c>
      <c r="F742" s="10" t="n">
        <f aca="false">IF(B742="","",(B742-E742)/Resumen!$B$5)</f>
        <v>2.1438443208896</v>
      </c>
      <c r="G742" s="10" t="n">
        <f aca="false">IF(OR(F742="",C742=""),0,(F742-C742)*0.9)</f>
        <v>0.136029888800636</v>
      </c>
      <c r="H742" s="26" t="n">
        <f aca="false">IF(A742&lt;Resumen!$B$11,"",IF(H741="",0,H741)+G742/Resumen!$B$9)</f>
        <v>1.18024749521622</v>
      </c>
      <c r="I742" s="26" t="n">
        <f aca="false">IF(H742="","",H742-AVERAGE(H694:H790))</f>
        <v>0.106034993954323</v>
      </c>
      <c r="J742" s="27" t="n">
        <f aca="false">IF(I742="","",Resumen!$B$10-(MAX(I694:I790)-I742))</f>
        <v>1.33777369007309</v>
      </c>
    </row>
    <row r="743" customFormat="false" ht="15" hidden="false" customHeight="false" outlineLevel="0" collapsed="false">
      <c r="A743" s="24" t="n">
        <v>46269.1145833333</v>
      </c>
      <c r="B743" s="10" t="n">
        <v>3.8375</v>
      </c>
      <c r="C743" s="10" t="n">
        <v>1.844</v>
      </c>
      <c r="D743" s="10" t="n">
        <f aca="false">IF(OR(B743="",C743="",B743&lt;=0.05,C743&lt;=0.05),0,1)</f>
        <v>1</v>
      </c>
      <c r="E743" s="25" t="n">
        <f aca="false">IF(OR(A743&lt;Resumen!$B$6,A743&gt;=Resumen!$B$7),0,MAX(0,AVERAGEIFS(B695:B791,D695:D791,1)-Resumen!$B$5*AVERAGEIFS(C695:C791,D695:D791,1)))</f>
        <v>0</v>
      </c>
      <c r="F743" s="10" t="n">
        <f aca="false">IF(B743="","",(B743-E743)/Resumen!$B$5)</f>
        <v>3.04805401111994</v>
      </c>
      <c r="G743" s="10" t="n">
        <f aca="false">IF(OR(F743="",C743=""),0,(F743-C743)*0.9)</f>
        <v>1.08364861000794</v>
      </c>
      <c r="H743" s="26" t="n">
        <f aca="false">IF(A743&lt;Resumen!$B$11,"",IF(H742="",0,H742)+G743/Resumen!$B$9)</f>
        <v>1.23147036203285</v>
      </c>
      <c r="I743" s="26" t="n">
        <f aca="false">IF(H743="","",H743-AVERAGE(H695:H791))</f>
        <v>0.15541041086857</v>
      </c>
      <c r="J743" s="27" t="n">
        <f aca="false">IF(I743="","",Resumen!$B$10-(MAX(I695:I791)-I743))</f>
        <v>1.38714910698734</v>
      </c>
    </row>
    <row r="744" customFormat="false" ht="15" hidden="false" customHeight="false" outlineLevel="0" collapsed="false">
      <c r="A744" s="24" t="n">
        <v>46269.125</v>
      </c>
      <c r="B744" s="10" t="n">
        <v>3.3654</v>
      </c>
      <c r="C744" s="10" t="n">
        <v>1.8758</v>
      </c>
      <c r="D744" s="10" t="n">
        <f aca="false">IF(OR(B744="",C744="",B744&lt;=0.05,C744&lt;=0.05),0,1)</f>
        <v>1</v>
      </c>
      <c r="E744" s="25" t="n">
        <f aca="false">IF(OR(A744&lt;Resumen!$B$6,A744&gt;=Resumen!$B$7),0,MAX(0,AVERAGEIFS(B696:B792,D696:D792,1)-Resumen!$B$5*AVERAGEIFS(C696:C792,D696:D792,1)))</f>
        <v>0</v>
      </c>
      <c r="F744" s="10" t="n">
        <f aca="false">IF(B744="","",(B744-E744)/Resumen!$B$5)</f>
        <v>2.67307386814933</v>
      </c>
      <c r="G744" s="10" t="n">
        <f aca="false">IF(OR(F744="",C744=""),0,(F744-C744)*0.9)</f>
        <v>0.717546481334393</v>
      </c>
      <c r="H744" s="26" t="n">
        <f aca="false">IF(A744&lt;Resumen!$B$11,"",IF(H743="",0,H743)+G744/Resumen!$B$9)</f>
        <v>1.26538798764385</v>
      </c>
      <c r="I744" s="26" t="n">
        <f aca="false">IF(H744="","",H744-AVERAGE(H696:H792))</f>
        <v>0.188219603867727</v>
      </c>
      <c r="J744" s="27" t="n">
        <f aca="false">IF(I744="","",Resumen!$B$10-(MAX(I696:I792)-I744))</f>
        <v>1.41995829998649</v>
      </c>
    </row>
    <row r="745" customFormat="false" ht="15" hidden="false" customHeight="false" outlineLevel="0" collapsed="false">
      <c r="A745" s="24" t="n">
        <v>46269.1354166667</v>
      </c>
      <c r="B745" s="10" t="n">
        <v>2.2834</v>
      </c>
      <c r="C745" s="10" t="n">
        <v>1.8219</v>
      </c>
      <c r="D745" s="10" t="n">
        <f aca="false">IF(OR(B745="",C745="",B745&lt;=0.05,C745&lt;=0.05),0,1)</f>
        <v>1</v>
      </c>
      <c r="E745" s="25" t="n">
        <f aca="false">IF(OR(A745&lt;Resumen!$B$6,A745&gt;=Resumen!$B$7),0,MAX(0,AVERAGEIFS(B697:B793,D697:D793,1)-Resumen!$B$5*AVERAGEIFS(C697:C793,D697:D793,1)))</f>
        <v>0</v>
      </c>
      <c r="F745" s="10" t="n">
        <f aca="false">IF(B745="","",(B745-E745)/Resumen!$B$5)</f>
        <v>1.81366163621922</v>
      </c>
      <c r="G745" s="10" t="n">
        <f aca="false">IF(OR(F745="",C745=""),0,(F745-C745)*0.9)</f>
        <v>-0.00741452740270052</v>
      </c>
      <c r="H745" s="26" t="n">
        <f aca="false">IF(A745&lt;Resumen!$B$11,"",IF(H744="",0,H744)+G745/Resumen!$B$9)</f>
        <v>1.26503751116453</v>
      </c>
      <c r="I745" s="26" t="n">
        <f aca="false">IF(H745="","",H745-AVERAGE(H697:H793))</f>
        <v>0.187708317802915</v>
      </c>
      <c r="J745" s="27" t="n">
        <f aca="false">IF(I745="","",Resumen!$B$10-(MAX(I697:I793)-I745))</f>
        <v>1.41944701392168</v>
      </c>
    </row>
    <row r="746" customFormat="false" ht="15" hidden="false" customHeight="false" outlineLevel="0" collapsed="false">
      <c r="A746" s="24" t="n">
        <v>46269.1458333333</v>
      </c>
      <c r="B746" s="10" t="n">
        <v>2.7877</v>
      </c>
      <c r="C746" s="10" t="n">
        <v>1.7784</v>
      </c>
      <c r="D746" s="10" t="n">
        <f aca="false">IF(OR(B746="",C746="",B746&lt;=0.05,C746&lt;=0.05),0,1)</f>
        <v>1</v>
      </c>
      <c r="E746" s="25" t="n">
        <f aca="false">IF(OR(A746&lt;Resumen!$B$6,A746&gt;=Resumen!$B$7),0,MAX(0,AVERAGEIFS(B698:B794,D698:D794,1)-Resumen!$B$5*AVERAGEIFS(C698:C794,D698:D794,1)))</f>
        <v>0</v>
      </c>
      <c r="F746" s="10" t="n">
        <f aca="false">IF(B746="","",(B746-E746)/Resumen!$B$5)</f>
        <v>2.2142176330421</v>
      </c>
      <c r="G746" s="10" t="n">
        <f aca="false">IF(OR(F746="",C746=""),0,(F746-C746)*0.9)</f>
        <v>0.392235869737887</v>
      </c>
      <c r="H746" s="26" t="n">
        <f aca="false">IF(A746&lt;Resumen!$B$11,"",IF(H745="",0,H745)+G746/Resumen!$B$9)</f>
        <v>1.28357806529872</v>
      </c>
      <c r="I746" s="26" t="n">
        <f aca="false">IF(H746="","",H746-AVERAGE(H698:H794))</f>
        <v>0.206446778406547</v>
      </c>
      <c r="J746" s="27" t="n">
        <f aca="false">IF(I746="","",Resumen!$B$10-(MAX(I698:I794)-I746))</f>
        <v>1.43818547452531</v>
      </c>
    </row>
    <row r="747" customFormat="false" ht="15" hidden="false" customHeight="false" outlineLevel="0" collapsed="false">
      <c r="A747" s="24" t="n">
        <v>46269.15625</v>
      </c>
      <c r="B747" s="10" t="n">
        <v>4.1152</v>
      </c>
      <c r="C747" s="10" t="n">
        <v>1.9304</v>
      </c>
      <c r="D747" s="10" t="n">
        <f aca="false">IF(OR(B747="",C747="",B747&lt;=0.05,C747&lt;=0.05),0,1)</f>
        <v>1</v>
      </c>
      <c r="E747" s="25" t="n">
        <f aca="false">IF(OR(A747&lt;Resumen!$B$6,A747&gt;=Resumen!$B$7),0,MAX(0,AVERAGEIFS(B699:B795,D699:D795,1)-Resumen!$B$5*AVERAGEIFS(C699:C795,D699:D795,1)))</f>
        <v>0</v>
      </c>
      <c r="F747" s="10" t="n">
        <f aca="false">IF(B747="","",(B747-E747)/Resumen!$B$5)</f>
        <v>3.26862589356632</v>
      </c>
      <c r="G747" s="10" t="n">
        <f aca="false">IF(OR(F747="",C747=""),0,(F747-C747)*0.9)</f>
        <v>1.20440330420969</v>
      </c>
      <c r="H747" s="26" t="n">
        <f aca="false">IF(A747&lt;Resumen!$B$11,"",IF(H746="",0,H746)+G747/Resumen!$B$9)</f>
        <v>1.34050887245823</v>
      </c>
      <c r="I747" s="26" t="n">
        <f aca="false">IF(H747="","",H747-AVERAGE(H699:H795))</f>
        <v>0.264900629154215</v>
      </c>
      <c r="J747" s="27" t="n">
        <f aca="false">IF(I747="","",Resumen!$B$10-(MAX(I699:I795)-I747))</f>
        <v>1.49663932527298</v>
      </c>
    </row>
    <row r="748" customFormat="false" ht="15" hidden="false" customHeight="false" outlineLevel="0" collapsed="false">
      <c r="A748" s="24" t="n">
        <v>46269.1666666667</v>
      </c>
      <c r="B748" s="10" t="n">
        <v>1.5076</v>
      </c>
      <c r="C748" s="10" t="n">
        <v>1.9851</v>
      </c>
      <c r="D748" s="10" t="n">
        <f aca="false">IF(OR(B748="",C748="",B748&lt;=0.05,C748&lt;=0.05),0,1)</f>
        <v>1</v>
      </c>
      <c r="E748" s="25" t="n">
        <f aca="false">IF(OR(A748&lt;Resumen!$B$6,A748&gt;=Resumen!$B$7),0,MAX(0,AVERAGEIFS(B700:B796,D700:D796,1)-Resumen!$B$5*AVERAGEIFS(C700:C796,D700:D796,1)))</f>
        <v>0</v>
      </c>
      <c r="F748" s="10" t="n">
        <f aca="false">IF(B748="","",(B748-E748)/Resumen!$B$5)</f>
        <v>1.19745830023828</v>
      </c>
      <c r="G748" s="10" t="n">
        <f aca="false">IF(OR(F748="",C748=""),0,(F748-C748)*0.9)</f>
        <v>-0.708877529785544</v>
      </c>
      <c r="H748" s="26" t="n">
        <f aca="false">IF(A748&lt;Resumen!$B$11,"",IF(H747="",0,H747)+G748/Resumen!$B$9)</f>
        <v>1.30700101856338</v>
      </c>
      <c r="I748" s="26" t="n">
        <f aca="false">IF(H748="","",H748-AVERAGE(H700:H796))</f>
        <v>0.233353705425726</v>
      </c>
      <c r="J748" s="27" t="n">
        <f aca="false">IF(I748="","",Resumen!$B$10-(MAX(I700:I796)-I748))</f>
        <v>1.46509240154449</v>
      </c>
    </row>
    <row r="749" customFormat="false" ht="15" hidden="false" customHeight="false" outlineLevel="0" collapsed="false">
      <c r="A749" s="24" t="n">
        <v>46269.1770833333</v>
      </c>
      <c r="B749" s="10" t="n">
        <v>2.9055</v>
      </c>
      <c r="C749" s="10" t="n">
        <v>2.0194</v>
      </c>
      <c r="D749" s="10" t="n">
        <f aca="false">IF(OR(B749="",C749="",B749&lt;=0.05,C749&lt;=0.05),0,1)</f>
        <v>1</v>
      </c>
      <c r="E749" s="25" t="n">
        <f aca="false">IF(OR(A749&lt;Resumen!$B$6,A749&gt;=Resumen!$B$7),0,MAX(0,AVERAGEIFS(B701:B797,D701:D797,1)-Resumen!$B$5*AVERAGEIFS(C701:C797,D701:D797,1)))</f>
        <v>0</v>
      </c>
      <c r="F749" s="10" t="n">
        <f aca="false">IF(B749="","",(B749-E749)/Resumen!$B$5)</f>
        <v>2.30778395552025</v>
      </c>
      <c r="G749" s="10" t="n">
        <f aca="false">IF(OR(F749="",C749=""),0,(F749-C749)*0.9)</f>
        <v>0.259545559968229</v>
      </c>
      <c r="H749" s="26" t="n">
        <f aca="false">IF(A749&lt;Resumen!$B$11,"",IF(H748="",0,H748)+G749/Resumen!$B$9)</f>
        <v>1.31926944905673</v>
      </c>
      <c r="I749" s="26" t="n">
        <f aca="false">IF(H749="","",H749-AVERAGE(H701:H797))</f>
        <v>0.247708418244074</v>
      </c>
      <c r="J749" s="27" t="n">
        <f aca="false">IF(I749="","",Resumen!$B$10-(MAX(I701:I797)-I749))</f>
        <v>1.47944711436284</v>
      </c>
    </row>
    <row r="750" customFormat="false" ht="15" hidden="false" customHeight="false" outlineLevel="0" collapsed="false">
      <c r="A750" s="24" t="n">
        <v>46269.1875</v>
      </c>
      <c r="B750" s="10" t="n">
        <v>4.2978</v>
      </c>
      <c r="C750" s="10" t="n">
        <v>2.2129</v>
      </c>
      <c r="D750" s="10" t="n">
        <f aca="false">IF(OR(B750="",C750="",B750&lt;=0.05,C750&lt;=0.05),0,1)</f>
        <v>1</v>
      </c>
      <c r="E750" s="25" t="n">
        <f aca="false">IF(OR(A750&lt;Resumen!$B$6,A750&gt;=Resumen!$B$7),0,MAX(0,AVERAGEIFS(B702:B798,D702:D798,1)-Resumen!$B$5*AVERAGEIFS(C702:C798,D702:D798,1)))</f>
        <v>0</v>
      </c>
      <c r="F750" s="10" t="n">
        <f aca="false">IF(B750="","",(B750-E750)/Resumen!$B$5)</f>
        <v>3.41366163621922</v>
      </c>
      <c r="G750" s="10" t="n">
        <f aca="false">IF(OR(F750="",C750=""),0,(F750-C750)*0.9)</f>
        <v>1.0806854725973</v>
      </c>
      <c r="H750" s="26" t="n">
        <f aca="false">IF(A750&lt;Resumen!$B$11,"",IF(H749="",0,H749)+G750/Resumen!$B$9)</f>
        <v>1.3703522516574</v>
      </c>
      <c r="I750" s="26" t="n">
        <f aca="false">IF(H750="","",H750-AVERAGE(H702:H798))</f>
        <v>0.301434498711274</v>
      </c>
      <c r="J750" s="27" t="n">
        <f aca="false">IF(I750="","",Resumen!$B$10-(MAX(I702:I798)-I750))</f>
        <v>1.53317319483004</v>
      </c>
    </row>
    <row r="751" customFormat="false" ht="15" hidden="false" customHeight="false" outlineLevel="0" collapsed="false">
      <c r="A751" s="24" t="n">
        <v>46269.1979166667</v>
      </c>
      <c r="B751" s="10" t="n">
        <v>2.9732</v>
      </c>
      <c r="C751" s="10" t="n">
        <v>2.0237</v>
      </c>
      <c r="D751" s="10" t="n">
        <f aca="false">IF(OR(B751="",C751="",B751&lt;=0.05,C751&lt;=0.05),0,1)</f>
        <v>1</v>
      </c>
      <c r="E751" s="25" t="n">
        <f aca="false">IF(OR(A751&lt;Resumen!$B$6,A751&gt;=Resumen!$B$7),0,MAX(0,AVERAGEIFS(B703:B799,D703:D799,1)-Resumen!$B$5*AVERAGEIFS(C703:C799,D703:D799,1)))</f>
        <v>0</v>
      </c>
      <c r="F751" s="10" t="n">
        <f aca="false">IF(B751="","",(B751-E751)/Resumen!$B$5)</f>
        <v>2.36155679110405</v>
      </c>
      <c r="G751" s="10" t="n">
        <f aca="false">IF(OR(F751="",C751=""),0,(F751-C751)*0.9)</f>
        <v>0.304071111993646</v>
      </c>
      <c r="H751" s="26" t="n">
        <f aca="false">IF(A751&lt;Resumen!$B$11,"",IF(H750="",0,H750)+G751/Resumen!$B$9)</f>
        <v>1.38472535556635</v>
      </c>
      <c r="I751" s="26" t="n">
        <f aca="false">IF(H751="","",H751-AVERAGE(H703:H799))</f>
        <v>0.319326333446508</v>
      </c>
      <c r="J751" s="27" t="n">
        <f aca="false">IF(I751="","",Resumen!$B$10-(MAX(I703:I799)-I751))</f>
        <v>1.55106502956527</v>
      </c>
    </row>
    <row r="752" customFormat="false" ht="15" hidden="false" customHeight="false" outlineLevel="0" collapsed="false">
      <c r="A752" s="24" t="n">
        <v>46269.2083333333</v>
      </c>
      <c r="B752" s="10" t="n">
        <v>4.3032</v>
      </c>
      <c r="C752" s="10" t="n">
        <v>2.2384</v>
      </c>
      <c r="D752" s="10" t="n">
        <f aca="false">IF(OR(B752="",C752="",B752&lt;=0.05,C752&lt;=0.05),0,1)</f>
        <v>1</v>
      </c>
      <c r="E752" s="25" t="n">
        <f aca="false">IF(OR(A752&lt;Resumen!$B$6,A752&gt;=Resumen!$B$7),0,MAX(0,AVERAGEIFS(B704:B800,D704:D800,1)-Resumen!$B$5*AVERAGEIFS(C704:C800,D704:D800,1)))</f>
        <v>0</v>
      </c>
      <c r="F752" s="10" t="n">
        <f aca="false">IF(B752="","",(B752-E752)/Resumen!$B$5)</f>
        <v>3.41795075456712</v>
      </c>
      <c r="G752" s="10" t="n">
        <f aca="false">IF(OR(F752="",C752=""),0,(F752-C752)*0.9)</f>
        <v>1.06159567911041</v>
      </c>
      <c r="H752" s="26" t="n">
        <f aca="false">IF(A752&lt;Resumen!$B$11,"",IF(H751="",0,H751)+G752/Resumen!$B$9)</f>
        <v>1.43490580482082</v>
      </c>
      <c r="I752" s="26" t="n">
        <f aca="false">IF(H752="","",H752-AVERAGE(H704:H800))</f>
        <v>0.372421465827714</v>
      </c>
      <c r="J752" s="27" t="n">
        <f aca="false">IF(I752="","",Resumen!$B$10-(MAX(I704:I800)-I752))</f>
        <v>1.60416016194648</v>
      </c>
    </row>
    <row r="753" customFormat="false" ht="15" hidden="false" customHeight="false" outlineLevel="0" collapsed="false">
      <c r="A753" s="24" t="n">
        <v>46269.21875</v>
      </c>
      <c r="B753" s="10" t="n">
        <v>5.3832</v>
      </c>
      <c r="C753" s="10" t="n">
        <v>2.5083</v>
      </c>
      <c r="D753" s="10" t="n">
        <f aca="false">IF(OR(B753="",C753="",B753&lt;=0.05,C753&lt;=0.05),0,1)</f>
        <v>1</v>
      </c>
      <c r="E753" s="25" t="n">
        <f aca="false">IF(OR(A753&lt;Resumen!$B$6,A753&gt;=Resumen!$B$7),0,MAX(0,AVERAGEIFS(B705:B801,D705:D801,1)-Resumen!$B$5*AVERAGEIFS(C705:C801,D705:D801,1)))</f>
        <v>0</v>
      </c>
      <c r="F753" s="10" t="n">
        <f aca="false">IF(B753="","",(B753-E753)/Resumen!$B$5)</f>
        <v>4.27577442414615</v>
      </c>
      <c r="G753" s="10" t="n">
        <f aca="false">IF(OR(F753="",C753=""),0,(F753-C753)*0.9)</f>
        <v>1.59072698173153</v>
      </c>
      <c r="H753" s="26" t="n">
        <f aca="false">IF(A753&lt;Resumen!$B$11,"",IF(H752="",0,H752)+G753/Resumen!$B$9)</f>
        <v>1.5100977033517</v>
      </c>
      <c r="I753" s="26" t="n">
        <f aca="false">IF(H753="","",H753-AVERAGE(H705:H801))</f>
        <v>0.45077772447481</v>
      </c>
      <c r="J753" s="27" t="n">
        <f aca="false">IF(I753="","",Resumen!$B$10-(MAX(I705:I801)-I753))</f>
        <v>1.68251642059357</v>
      </c>
    </row>
    <row r="754" customFormat="false" ht="15" hidden="false" customHeight="false" outlineLevel="0" collapsed="false">
      <c r="A754" s="24" t="n">
        <v>46269.2291666667</v>
      </c>
      <c r="B754" s="10" t="n">
        <v>2.9855</v>
      </c>
      <c r="C754" s="10" t="n">
        <v>2.6487</v>
      </c>
      <c r="D754" s="10" t="n">
        <f aca="false">IF(OR(B754="",C754="",B754&lt;=0.05,C754&lt;=0.05),0,1)</f>
        <v>1</v>
      </c>
      <c r="E754" s="25" t="n">
        <f aca="false">IF(OR(A754&lt;Resumen!$B$6,A754&gt;=Resumen!$B$7),0,MAX(0,AVERAGEIFS(B706:B802,D706:D802,1)-Resumen!$B$5*AVERAGEIFS(C706:C802,D706:D802,1)))</f>
        <v>0</v>
      </c>
      <c r="F754" s="10" t="n">
        <f aca="false">IF(B754="","",(B754-E754)/Resumen!$B$5)</f>
        <v>2.37132644956315</v>
      </c>
      <c r="G754" s="10" t="n">
        <f aca="false">IF(OR(F754="",C754=""),0,(F754-C754)*0.9)</f>
        <v>-0.249636195393169</v>
      </c>
      <c r="H754" s="26" t="n">
        <f aca="false">IF(A754&lt;Resumen!$B$11,"",IF(H753="",0,H753)+G754/Resumen!$B$9)</f>
        <v>1.49829767752124</v>
      </c>
      <c r="I754" s="26" t="n">
        <f aca="false">IF(H754="","",H754-AVERAGE(H706:H802))</f>
        <v>0.441916262850897</v>
      </c>
      <c r="J754" s="27" t="n">
        <f aca="false">IF(I754="","",Resumen!$B$10-(MAX(I706:I802)-I754))</f>
        <v>1.67365495896966</v>
      </c>
    </row>
    <row r="755" customFormat="false" ht="15" hidden="false" customHeight="false" outlineLevel="0" collapsed="false">
      <c r="A755" s="24" t="n">
        <v>46269.2395833333</v>
      </c>
      <c r="B755" s="10" t="n">
        <v>4.7546</v>
      </c>
      <c r="C755" s="10" t="n">
        <v>3.5836</v>
      </c>
      <c r="D755" s="10" t="n">
        <f aca="false">IF(OR(B755="",C755="",B755&lt;=0.05,C755&lt;=0.05),0,1)</f>
        <v>1</v>
      </c>
      <c r="E755" s="25" t="n">
        <f aca="false">IF(OR(A755&lt;Resumen!$B$6,A755&gt;=Resumen!$B$7),0,MAX(0,AVERAGEIFS(B707:B803,D707:D803,1)-Resumen!$B$5*AVERAGEIFS(C707:C803,D707:D803,1)))</f>
        <v>0</v>
      </c>
      <c r="F755" s="10" t="n">
        <f aca="false">IF(B755="","",(B755-E755)/Resumen!$B$5)</f>
        <v>3.77648927720413</v>
      </c>
      <c r="G755" s="10" t="n">
        <f aca="false">IF(OR(F755="",C755=""),0,(F755-C755)*0.9)</f>
        <v>0.173600349483717</v>
      </c>
      <c r="H755" s="26" t="n">
        <f aca="false">IF(A755&lt;Resumen!$B$11,"",IF(H754="",0,H754)+G755/Resumen!$B$9)</f>
        <v>1.50650357332437</v>
      </c>
      <c r="I755" s="26" t="n">
        <f aca="false">IF(H755="","",H755-AVERAGE(H707:H803))</f>
        <v>0.45196747223917</v>
      </c>
      <c r="J755" s="27" t="n">
        <f aca="false">IF(I755="","",Resumen!$B$10-(MAX(I707:I803)-I755))</f>
        <v>1.68370616835794</v>
      </c>
    </row>
    <row r="756" customFormat="false" ht="15" hidden="false" customHeight="false" outlineLevel="0" collapsed="false">
      <c r="A756" s="24" t="n">
        <v>46269.25</v>
      </c>
      <c r="B756" s="10" t="n">
        <v>3.6073</v>
      </c>
      <c r="C756" s="10" t="n">
        <v>3.5046</v>
      </c>
      <c r="D756" s="10" t="n">
        <f aca="false">IF(OR(B756="",C756="",B756&lt;=0.05,C756&lt;=0.05),0,1)</f>
        <v>1</v>
      </c>
      <c r="E756" s="25" t="n">
        <f aca="false">IF(OR(A756&lt;Resumen!$B$6,A756&gt;=Resumen!$B$7),0,MAX(0,AVERAGEIFS(B708:B804,D708:D804,1)-Resumen!$B$5*AVERAGEIFS(C708:C804,D708:D804,1)))</f>
        <v>0</v>
      </c>
      <c r="F756" s="10" t="n">
        <f aca="false">IF(B756="","",(B756-E756)/Resumen!$B$5)</f>
        <v>2.86521048451152</v>
      </c>
      <c r="G756" s="10" t="n">
        <f aca="false">IF(OR(F756="",C756=""),0,(F756-C756)*0.9)</f>
        <v>-0.575450563939634</v>
      </c>
      <c r="H756" s="26" t="n">
        <f aca="false">IF(A756&lt;Resumen!$B$11,"",IF(H755="",0,H755)+G756/Resumen!$B$9)</f>
        <v>1.4793026639853</v>
      </c>
      <c r="I756" s="26" t="n">
        <f aca="false">IF(H756="","",H756-AVERAGE(H708:H804))</f>
        <v>0.425959826733193</v>
      </c>
      <c r="J756" s="27" t="n">
        <f aca="false">IF(I756="","",Resumen!$B$10-(MAX(I708:I804)-I756))</f>
        <v>1.65769852285196</v>
      </c>
    </row>
    <row r="757" customFormat="false" ht="15" hidden="false" customHeight="false" outlineLevel="0" collapsed="false">
      <c r="A757" s="24" t="n">
        <v>46269.2604166667</v>
      </c>
      <c r="B757" s="10" t="n">
        <v>5.9981</v>
      </c>
      <c r="C757" s="10" t="n">
        <v>3.4417</v>
      </c>
      <c r="D757" s="10" t="n">
        <f aca="false">IF(OR(B757="",C757="",B757&lt;=0.05,C757&lt;=0.05),0,1)</f>
        <v>1</v>
      </c>
      <c r="E757" s="25" t="n">
        <f aca="false">IF(OR(A757&lt;Resumen!$B$6,A757&gt;=Resumen!$B$7),0,MAX(0,AVERAGEIFS(B709:B805,D709:D805,1)-Resumen!$B$5*AVERAGEIFS(C709:C805,D709:D805,1)))</f>
        <v>0</v>
      </c>
      <c r="F757" s="10" t="n">
        <f aca="false">IF(B757="","",(B757-E757)/Resumen!$B$5)</f>
        <v>4.76417791898332</v>
      </c>
      <c r="G757" s="10" t="n">
        <f aca="false">IF(OR(F757="",C757=""),0,(F757-C757)*0.9)</f>
        <v>1.19023012708499</v>
      </c>
      <c r="H757" s="26" t="n">
        <f aca="false">IF(A757&lt;Resumen!$B$11,"",IF(H756="",0,H756)+G757/Resumen!$B$9)</f>
        <v>1.53556352079604</v>
      </c>
      <c r="I757" s="26" t="n">
        <f aca="false">IF(H757="","",H757-AVERAGE(H709:H805))</f>
        <v>0.48283143656195</v>
      </c>
      <c r="J757" s="27" t="n">
        <f aca="false">IF(I757="","",Resumen!$B$10-(MAX(I709:I805)-I757))</f>
        <v>1.71457013268072</v>
      </c>
    </row>
    <row r="758" customFormat="false" ht="15" hidden="false" customHeight="false" outlineLevel="0" collapsed="false">
      <c r="A758" s="24" t="n">
        <v>46269.2708333333</v>
      </c>
      <c r="B758" s="10" t="n">
        <v>4.8248</v>
      </c>
      <c r="C758" s="10" t="n">
        <v>3.8495</v>
      </c>
      <c r="D758" s="10" t="n">
        <f aca="false">IF(OR(B758="",C758="",B758&lt;=0.05,C758&lt;=0.05),0,1)</f>
        <v>1</v>
      </c>
      <c r="E758" s="25" t="n">
        <f aca="false">IF(OR(A758&lt;Resumen!$B$6,A758&gt;=Resumen!$B$7),0,MAX(0,AVERAGEIFS(B710:B806,D710:D806,1)-Resumen!$B$5*AVERAGEIFS(C710:C806,D710:D806,1)))</f>
        <v>0</v>
      </c>
      <c r="F758" s="10" t="n">
        <f aca="false">IF(B758="","",(B758-E758)/Resumen!$B$5)</f>
        <v>3.83224781572677</v>
      </c>
      <c r="G758" s="10" t="n">
        <f aca="false">IF(OR(F758="",C758=""),0,(F758-C758)*0.9)</f>
        <v>-0.0155269658459094</v>
      </c>
      <c r="H758" s="26" t="n">
        <f aca="false">IF(A758&lt;Resumen!$B$11,"",IF(H757="",0,H757)+G758/Resumen!$B$9)</f>
        <v>1.53482957835728</v>
      </c>
      <c r="I758" s="26" t="n">
        <f aca="false">IF(H758="","",H758-AVERAGE(H710:H806))</f>
        <v>0.481389298634367</v>
      </c>
      <c r="J758" s="27" t="n">
        <f aca="false">IF(I758="","",Resumen!$B$10-(MAX(I710:I806)-I758))</f>
        <v>1.71312799475313</v>
      </c>
    </row>
    <row r="759" customFormat="false" ht="15" hidden="false" customHeight="false" outlineLevel="0" collapsed="false">
      <c r="A759" s="24" t="n">
        <v>46269.28125</v>
      </c>
      <c r="B759" s="10" t="n">
        <v>4.9116</v>
      </c>
      <c r="C759" s="10" t="n">
        <v>3.8296</v>
      </c>
      <c r="D759" s="10" t="n">
        <f aca="false">IF(OR(B759="",C759="",B759&lt;=0.05,C759&lt;=0.05),0,1)</f>
        <v>1</v>
      </c>
      <c r="E759" s="25" t="n">
        <f aca="false">IF(OR(A759&lt;Resumen!$B$6,A759&gt;=Resumen!$B$7),0,MAX(0,AVERAGEIFS(B711:B807,D711:D807,1)-Resumen!$B$5*AVERAGEIFS(C711:C807,D711:D807,1)))</f>
        <v>0</v>
      </c>
      <c r="F759" s="10" t="n">
        <f aca="false">IF(B759="","",(B759-E759)/Resumen!$B$5)</f>
        <v>3.9011914217633</v>
      </c>
      <c r="G759" s="10" t="n">
        <f aca="false">IF(OR(F759="",C759=""),0,(F759-C759)*0.9)</f>
        <v>0.064432279586974</v>
      </c>
      <c r="H759" s="26" t="n">
        <f aca="false">IF(A759&lt;Resumen!$B$11,"",IF(H758="",0,H758)+G759/Resumen!$B$9)</f>
        <v>1.53787522068588</v>
      </c>
      <c r="I759" s="26" t="n">
        <f aca="false">IF(H759="","",H759-AVERAGE(H711:H807))</f>
        <v>0.483294824186858</v>
      </c>
      <c r="J759" s="27" t="n">
        <f aca="false">IF(I759="","",Resumen!$B$10-(MAX(I711:I807)-I759))</f>
        <v>1.71503352030562</v>
      </c>
    </row>
    <row r="760" customFormat="false" ht="15" hidden="false" customHeight="false" outlineLevel="0" collapsed="false">
      <c r="A760" s="24" t="n">
        <v>46269.2916666667</v>
      </c>
      <c r="B760" s="10" t="n">
        <v>2.8241</v>
      </c>
      <c r="C760" s="10" t="n">
        <v>3.214</v>
      </c>
      <c r="D760" s="10" t="n">
        <f aca="false">IF(OR(B760="",C760="",B760&lt;=0.05,C760&lt;=0.05),0,1)</f>
        <v>1</v>
      </c>
      <c r="E760" s="25" t="n">
        <f aca="false">IF(OR(A760&lt;Resumen!$B$6,A760&gt;=Resumen!$B$7),0,MAX(0,AVERAGEIFS(B712:B808,D712:D808,1)-Resumen!$B$5*AVERAGEIFS(C712:C808,D712:D808,1)))</f>
        <v>0</v>
      </c>
      <c r="F760" s="10" t="n">
        <f aca="false">IF(B760="","",(B760-E760)/Resumen!$B$5)</f>
        <v>2.24312946783161</v>
      </c>
      <c r="G760" s="10" t="n">
        <f aca="false">IF(OR(F760="",C760=""),0,(F760-C760)*0.9)</f>
        <v>-0.873783478951549</v>
      </c>
      <c r="H760" s="26" t="n">
        <f aca="false">IF(A760&lt;Resumen!$B$11,"",IF(H759="",0,H759)+G760/Resumen!$B$9)</f>
        <v>1.49657244563911</v>
      </c>
      <c r="I760" s="26" t="n">
        <f aca="false">IF(H760="","",H760-AVERAGE(H712:H808))</f>
        <v>0.439879635706415</v>
      </c>
      <c r="J760" s="27" t="n">
        <f aca="false">IF(I760="","",Resumen!$B$10-(MAX(I712:I808)-I760))</f>
        <v>1.67161833182518</v>
      </c>
    </row>
    <row r="761" customFormat="false" ht="15" hidden="false" customHeight="false" outlineLevel="0" collapsed="false">
      <c r="A761" s="24" t="n">
        <v>46269.3020833333</v>
      </c>
      <c r="B761" s="10" t="n">
        <v>6.6043</v>
      </c>
      <c r="C761" s="10" t="n">
        <v>3.3879</v>
      </c>
      <c r="D761" s="10" t="n">
        <f aca="false">IF(OR(B761="",C761="",B761&lt;=0.05,C761&lt;=0.05),0,1)</f>
        <v>1</v>
      </c>
      <c r="E761" s="25" t="n">
        <f aca="false">IF(OR(A761&lt;Resumen!$B$6,A761&gt;=Resumen!$B$7),0,MAX(0,AVERAGEIFS(B713:B809,D713:D809,1)-Resumen!$B$5*AVERAGEIFS(C713:C809,D713:D809,1)))</f>
        <v>0</v>
      </c>
      <c r="F761" s="10" t="n">
        <f aca="false">IF(B761="","",(B761-E761)/Resumen!$B$5)</f>
        <v>5.24567116759333</v>
      </c>
      <c r="G761" s="10" t="n">
        <f aca="false">IF(OR(F761="",C761=""),0,(F761-C761)*0.9)</f>
        <v>1.671994050834</v>
      </c>
      <c r="H761" s="26" t="n">
        <f aca="false">IF(A761&lt;Resumen!$B$11,"",IF(H760="",0,H760)+G761/Resumen!$B$9)</f>
        <v>1.57560574831039</v>
      </c>
      <c r="I761" s="26" t="n">
        <f aca="false">IF(H761="","",H761-AVERAGE(H713:H809))</f>
        <v>0.516166837283018</v>
      </c>
      <c r="J761" s="27" t="n">
        <f aca="false">IF(I761="","",Resumen!$B$10-(MAX(I713:I809)-I761))</f>
        <v>1.74790553340178</v>
      </c>
    </row>
    <row r="762" customFormat="false" ht="15" hidden="false" customHeight="false" outlineLevel="0" collapsed="false">
      <c r="A762" s="24" t="n">
        <v>46269.3125</v>
      </c>
      <c r="B762" s="10" t="n">
        <v>5.1733</v>
      </c>
      <c r="C762" s="10" t="n">
        <v>4.3303</v>
      </c>
      <c r="D762" s="10" t="n">
        <f aca="false">IF(OR(B762="",C762="",B762&lt;=0.05,C762&lt;=0.05),0,1)</f>
        <v>1</v>
      </c>
      <c r="E762" s="25" t="n">
        <f aca="false">IF(OR(A762&lt;Resumen!$B$6,A762&gt;=Resumen!$B$7),0,MAX(0,AVERAGEIFS(B714:B810,D714:D810,1)-Resumen!$B$5*AVERAGEIFS(C714:C810,D714:D810,1)))</f>
        <v>0</v>
      </c>
      <c r="F762" s="10" t="n">
        <f aca="false">IF(B762="","",(B762-E762)/Resumen!$B$5)</f>
        <v>4.10905480540111</v>
      </c>
      <c r="G762" s="10" t="n">
        <f aca="false">IF(OR(F762="",C762=""),0,(F762-C762)*0.9)</f>
        <v>-0.199120675138999</v>
      </c>
      <c r="H762" s="26" t="n">
        <f aca="false">IF(A762&lt;Resumen!$B$11,"",IF(H761="",0,H761)+G762/Resumen!$B$9)</f>
        <v>1.56619353504413</v>
      </c>
      <c r="I762" s="26" t="n">
        <f aca="false">IF(H762="","",H762-AVERAGE(H714:H810))</f>
        <v>0.503493151137917</v>
      </c>
      <c r="J762" s="27" t="n">
        <f aca="false">IF(I762="","",Resumen!$B$10-(MAX(I714:I810)-I762))</f>
        <v>1.73523184725668</v>
      </c>
    </row>
    <row r="763" customFormat="false" ht="15" hidden="false" customHeight="false" outlineLevel="0" collapsed="false">
      <c r="A763" s="24" t="n">
        <v>46269.3229166667</v>
      </c>
      <c r="B763" s="10" t="n">
        <v>5.1113</v>
      </c>
      <c r="C763" s="10" t="n">
        <v>4.8382</v>
      </c>
      <c r="D763" s="10" t="n">
        <f aca="false">IF(OR(B763="",C763="",B763&lt;=0.05,C763&lt;=0.05),0,1)</f>
        <v>1</v>
      </c>
      <c r="E763" s="25" t="n">
        <f aca="false">IF(OR(A763&lt;Resumen!$B$6,A763&gt;=Resumen!$B$7),0,MAX(0,AVERAGEIFS(B715:B811,D715:D811,1)-Resumen!$B$5*AVERAGEIFS(C715:C811,D715:D811,1)))</f>
        <v>0</v>
      </c>
      <c r="F763" s="10" t="n">
        <f aca="false">IF(B763="","",(B763-E763)/Resumen!$B$5)</f>
        <v>4.05980937251787</v>
      </c>
      <c r="G763" s="10" t="n">
        <f aca="false">IF(OR(F763="",C763=""),0,(F763-C763)*0.9)</f>
        <v>-0.700551564733916</v>
      </c>
      <c r="H763" s="26" t="n">
        <f aca="false">IF(A763&lt;Resumen!$B$11,"",IF(H762="",0,H762)+G763/Resumen!$B$9)</f>
        <v>1.53307924027445</v>
      </c>
      <c r="I763" s="26" t="n">
        <f aca="false">IF(H763="","",H763-AVERAGE(H715:H811))</f>
        <v>0.46648011578972</v>
      </c>
      <c r="J763" s="27" t="n">
        <f aca="false">IF(I763="","",Resumen!$B$10-(MAX(I715:I811)-I763))</f>
        <v>1.69821881190848</v>
      </c>
    </row>
    <row r="764" customFormat="false" ht="15" hidden="false" customHeight="false" outlineLevel="0" collapsed="false">
      <c r="A764" s="24" t="n">
        <v>46269.3333333333</v>
      </c>
      <c r="B764" s="10" t="n">
        <v>5.6082</v>
      </c>
      <c r="C764" s="10" t="n">
        <v>3.161</v>
      </c>
      <c r="D764" s="10" t="n">
        <f aca="false">IF(OR(B764="",C764="",B764&lt;=0.05,C764&lt;=0.05),0,1)</f>
        <v>1</v>
      </c>
      <c r="E764" s="25" t="n">
        <f aca="false">IF(OR(A764&lt;Resumen!$B$6,A764&gt;=Resumen!$B$7),0,MAX(0,AVERAGEIFS(B716:B812,D716:D812,1)-Resumen!$B$5*AVERAGEIFS(C716:C812,D716:D812,1)))</f>
        <v>0</v>
      </c>
      <c r="F764" s="10" t="n">
        <f aca="false">IF(B764="","",(B764-E764)/Resumen!$B$5)</f>
        <v>4.45448768864178</v>
      </c>
      <c r="G764" s="10" t="n">
        <f aca="false">IF(OR(F764="",C764=""),0,(F764-C764)*0.9)</f>
        <v>1.1641389197776</v>
      </c>
      <c r="H764" s="26" t="n">
        <f aca="false">IF(A764&lt;Resumen!$B$11,"",IF(H763="",0,H763)+G764/Resumen!$B$9)</f>
        <v>1.58810679468011</v>
      </c>
      <c r="I764" s="26" t="n">
        <f aca="false">IF(H764="","",H764-AVERAGE(H716:H812))</f>
        <v>0.51830281399915</v>
      </c>
      <c r="J764" s="27" t="n">
        <f aca="false">IF(I764="","",Resumen!$B$10-(MAX(I716:I812)-I764))</f>
        <v>1.75004151011791</v>
      </c>
    </row>
    <row r="765" customFormat="false" ht="15" hidden="false" customHeight="false" outlineLevel="0" collapsed="false">
      <c r="A765" s="24" t="n">
        <v>46269.34375</v>
      </c>
      <c r="B765" s="10" t="n">
        <v>6.03</v>
      </c>
      <c r="C765" s="10" t="n">
        <v>4.086</v>
      </c>
      <c r="D765" s="10" t="n">
        <f aca="false">IF(OR(B765="",C765="",B765&lt;=0.05,C765&lt;=0.05),0,1)</f>
        <v>1</v>
      </c>
      <c r="E765" s="25" t="n">
        <f aca="false">IF(OR(A765&lt;Resumen!$B$6,A765&gt;=Resumen!$B$7),0,MAX(0,AVERAGEIFS(B717:B813,D717:D813,1)-Resumen!$B$5*AVERAGEIFS(C717:C813,D717:D813,1)))</f>
        <v>0</v>
      </c>
      <c r="F765" s="10" t="n">
        <f aca="false">IF(B765="","",(B765-E765)/Resumen!$B$5)</f>
        <v>4.78951548848292</v>
      </c>
      <c r="G765" s="10" t="n">
        <f aca="false">IF(OR(F765="",C765=""),0,(F765-C765)*0.9)</f>
        <v>0.633163939634631</v>
      </c>
      <c r="H765" s="26" t="n">
        <f aca="false">IF(A765&lt;Resumen!$B$11,"",IF(H764="",0,H764)+G765/Resumen!$B$9)</f>
        <v>1.61803575121959</v>
      </c>
      <c r="I765" s="26" t="n">
        <f aca="false">IF(H765="","",H765-AVERAGE(H717:H813))</f>
        <v>0.545321132014377</v>
      </c>
      <c r="J765" s="27" t="n">
        <f aca="false">IF(I765="","",Resumen!$B$10-(MAX(I717:I813)-I765))</f>
        <v>1.77705982813314</v>
      </c>
    </row>
    <row r="766" customFormat="false" ht="15" hidden="false" customHeight="false" outlineLevel="0" collapsed="false">
      <c r="A766" s="24" t="n">
        <v>46269.3541666667</v>
      </c>
      <c r="B766" s="10" t="n">
        <v>7.001</v>
      </c>
      <c r="C766" s="10" t="n">
        <v>4.522</v>
      </c>
      <c r="D766" s="10" t="n">
        <f aca="false">IF(OR(B766="",C766="",B766&lt;=0.05,C766&lt;=0.05),0,1)</f>
        <v>1</v>
      </c>
      <c r="E766" s="25" t="n">
        <f aca="false">IF(OR(A766&lt;Resumen!$B$6,A766&gt;=Resumen!$B$7),0,MAX(0,AVERAGEIFS(B718:B814,D718:D814,1)-Resumen!$B$5*AVERAGEIFS(C718:C814,D718:D814,1)))</f>
        <v>0</v>
      </c>
      <c r="F766" s="10" t="n">
        <f aca="false">IF(B766="","",(B766-E766)/Resumen!$B$5)</f>
        <v>5.56076250992852</v>
      </c>
      <c r="G766" s="10" t="n">
        <f aca="false">IF(OR(F766="",C766=""),0,(F766-C766)*0.9)</f>
        <v>0.934886258935664</v>
      </c>
      <c r="H766" s="26" t="n">
        <f aca="false">IF(A766&lt;Resumen!$B$11,"",IF(H765="",0,H765)+G766/Resumen!$B$9)</f>
        <v>1.66222678684488</v>
      </c>
      <c r="I766" s="26" t="n">
        <f aca="false">IF(H766="","",H766-AVERAGE(H718:H814))</f>
        <v>0.586304483247609</v>
      </c>
      <c r="J766" s="27" t="n">
        <f aca="false">IF(I766="","",Resumen!$B$10-(MAX(I718:I814)-I766))</f>
        <v>1.81804317936637</v>
      </c>
    </row>
    <row r="767" customFormat="false" ht="15" hidden="false" customHeight="false" outlineLevel="0" collapsed="false">
      <c r="A767" s="24" t="n">
        <v>46269.3645833333</v>
      </c>
      <c r="B767" s="10" t="n">
        <v>6.1482</v>
      </c>
      <c r="C767" s="10" t="n">
        <v>4.7685</v>
      </c>
      <c r="D767" s="10" t="n">
        <f aca="false">IF(OR(B767="",C767="",B767&lt;=0.05,C767&lt;=0.05),0,1)</f>
        <v>1</v>
      </c>
      <c r="E767" s="25" t="n">
        <f aca="false">IF(OR(A767&lt;Resumen!$B$6,A767&gt;=Resumen!$B$7),0,MAX(0,AVERAGEIFS(B719:B815,D719:D815,1)-Resumen!$B$5*AVERAGEIFS(C719:C815,D719:D815,1)))</f>
        <v>0</v>
      </c>
      <c r="F767" s="10" t="n">
        <f aca="false">IF(B767="","",(B767-E767)/Resumen!$B$5)</f>
        <v>4.8833995234313</v>
      </c>
      <c r="G767" s="10" t="n">
        <f aca="false">IF(OR(F767="",C767=""),0,(F767-C767)*0.9)</f>
        <v>0.103409571088166</v>
      </c>
      <c r="H767" s="26" t="n">
        <f aca="false">IF(A767&lt;Resumen!$B$11,"",IF(H766="",0,H766)+G767/Resumen!$B$9)</f>
        <v>1.66711484247333</v>
      </c>
      <c r="I767" s="26" t="n">
        <f aca="false">IF(H767="","",H767-AVERAGE(H719:H815))</f>
        <v>0.58847792574207</v>
      </c>
      <c r="J767" s="27" t="n">
        <f aca="false">IF(I767="","",Resumen!$B$10-(MAX(I719:I815)-I767))</f>
        <v>1.82021662186083</v>
      </c>
    </row>
    <row r="768" customFormat="false" ht="15" hidden="false" customHeight="false" outlineLevel="0" collapsed="false">
      <c r="A768" s="24" t="n">
        <v>46269.375</v>
      </c>
      <c r="B768" s="10" t="n">
        <v>6.2092</v>
      </c>
      <c r="C768" s="10" t="n">
        <v>4.1613</v>
      </c>
      <c r="D768" s="10" t="n">
        <f aca="false">IF(OR(B768="",C768="",B768&lt;=0.05,C768&lt;=0.05),0,1)</f>
        <v>1</v>
      </c>
      <c r="E768" s="25" t="n">
        <f aca="false">IF(OR(A768&lt;Resumen!$B$6,A768&gt;=Resumen!$B$7),0,MAX(0,AVERAGEIFS(B720:B816,D720:D816,1)-Resumen!$B$5*AVERAGEIFS(C720:C816,D720:D816,1)))</f>
        <v>0</v>
      </c>
      <c r="F768" s="10" t="n">
        <f aca="false">IF(B768="","",(B768-E768)/Resumen!$B$5)</f>
        <v>4.931850675139</v>
      </c>
      <c r="G768" s="10" t="n">
        <f aca="false">IF(OR(F768="",C768=""),0,(F768-C768)*0.9)</f>
        <v>0.6934956076251</v>
      </c>
      <c r="H768" s="26" t="n">
        <f aca="false">IF(A768&lt;Resumen!$B$11,"",IF(H767="",0,H767)+G768/Resumen!$B$9)</f>
        <v>1.69989560998342</v>
      </c>
      <c r="I768" s="26" t="n">
        <f aca="false">IF(H768="","",H768-AVERAGE(H720:H816))</f>
        <v>0.618261303881235</v>
      </c>
      <c r="J768" s="27" t="n">
        <f aca="false">IF(I768="","",Resumen!$B$10-(MAX(I720:I816)-I768))</f>
        <v>1.85</v>
      </c>
    </row>
    <row r="769" customFormat="false" ht="15" hidden="false" customHeight="false" outlineLevel="0" collapsed="false">
      <c r="A769" s="24" t="n">
        <v>46269.3854166667</v>
      </c>
      <c r="B769" s="10" t="n">
        <v>4.0149</v>
      </c>
      <c r="C769" s="10" t="n">
        <v>3.8481</v>
      </c>
      <c r="D769" s="10" t="n">
        <f aca="false">IF(OR(B769="",C769="",B769&lt;=0.05,C769&lt;=0.05),0,1)</f>
        <v>1</v>
      </c>
      <c r="E769" s="25" t="n">
        <f aca="false">IF(OR(A769&lt;Resumen!$B$6,A769&gt;=Resumen!$B$7),0,MAX(0,AVERAGEIFS(B721:B817,D721:D817,1)-Resumen!$B$5*AVERAGEIFS(C721:C817,D721:D817,1)))</f>
        <v>0</v>
      </c>
      <c r="F769" s="10" t="n">
        <f aca="false">IF(B769="","",(B769-E769)/Resumen!$B$5)</f>
        <v>3.18895949166005</v>
      </c>
      <c r="G769" s="10" t="n">
        <f aca="false">IF(OR(F769="",C769=""),0,(F769-C769)*0.9)</f>
        <v>-0.593226457505957</v>
      </c>
      <c r="H769" s="26" t="n">
        <f aca="false">IF(A769&lt;Resumen!$B$11,"",IF(H768="",0,H768)+G769/Resumen!$B$9)</f>
        <v>1.67185445388882</v>
      </c>
      <c r="I769" s="26" t="n">
        <f aca="false">IF(H769="","",H769-AVERAGE(H721:H817))</f>
        <v>0.586808707124243</v>
      </c>
      <c r="J769" s="27" t="n">
        <f aca="false">IF(I769="","",Resumen!$B$10-(MAX(I721:I817)-I769))</f>
        <v>1.81854740324301</v>
      </c>
    </row>
    <row r="770" customFormat="false" ht="15" hidden="false" customHeight="false" outlineLevel="0" collapsed="false">
      <c r="A770" s="24" t="n">
        <v>46269.3958333333</v>
      </c>
      <c r="B770" s="10" t="n">
        <v>6.444</v>
      </c>
      <c r="C770" s="10" t="n">
        <v>4.7543</v>
      </c>
      <c r="D770" s="10" t="n">
        <f aca="false">IF(OR(B770="",C770="",B770&lt;=0.05,C770&lt;=0.05),0,1)</f>
        <v>1</v>
      </c>
      <c r="E770" s="25" t="n">
        <f aca="false">IF(OR(A770&lt;Resumen!$B$6,A770&gt;=Resumen!$B$7),0,MAX(0,AVERAGEIFS(B722:B818,D722:D818,1)-Resumen!$B$5*AVERAGEIFS(C722:C818,D722:D818,1)))</f>
        <v>0</v>
      </c>
      <c r="F770" s="10" t="n">
        <f aca="false">IF(B770="","",(B770-E770)/Resumen!$B$5)</f>
        <v>5.11834789515489</v>
      </c>
      <c r="G770" s="10" t="n">
        <f aca="false">IF(OR(F770="",C770=""),0,(F770-C770)*0.9)</f>
        <v>0.327643105639397</v>
      </c>
      <c r="H770" s="26" t="n">
        <f aca="false">IF(A770&lt;Resumen!$B$11,"",IF(H769="",0,H769)+G770/Resumen!$B$9)</f>
        <v>1.6873417797697</v>
      </c>
      <c r="I770" s="26" t="n">
        <f aca="false">IF(H770="","",H770-AVERAGE(H722:H818))</f>
        <v>0.598845364717356</v>
      </c>
      <c r="J770" s="27" t="n">
        <f aca="false">IF(I770="","",Resumen!$B$10-(MAX(I722:I818)-I770))</f>
        <v>1.83058406083612</v>
      </c>
    </row>
    <row r="771" customFormat="false" ht="15" hidden="false" customHeight="false" outlineLevel="0" collapsed="false">
      <c r="A771" s="24" t="n">
        <v>46269.40625</v>
      </c>
      <c r="B771" s="10" t="n">
        <v>5.0573</v>
      </c>
      <c r="C771" s="10" t="n">
        <v>4.009</v>
      </c>
      <c r="D771" s="10" t="n">
        <f aca="false">IF(OR(B771="",C771="",B771&lt;=0.05,C771&lt;=0.05),0,1)</f>
        <v>1</v>
      </c>
      <c r="E771" s="25" t="n">
        <f aca="false">IF(OR(A771&lt;Resumen!$B$6,A771&gt;=Resumen!$B$7),0,MAX(0,AVERAGEIFS(B723:B819,D723:D819,1)-Resumen!$B$5*AVERAGEIFS(C723:C819,D723:D819,1)))</f>
        <v>0</v>
      </c>
      <c r="F771" s="10" t="n">
        <f aca="false">IF(B771="","",(B771-E771)/Resumen!$B$5)</f>
        <v>4.01691818903892</v>
      </c>
      <c r="G771" s="10" t="n">
        <f aca="false">IF(OR(F771="",C771=""),0,(F771-C771)*0.9)</f>
        <v>0.00712637013502775</v>
      </c>
      <c r="H771" s="26" t="n">
        <f aca="false">IF(A771&lt;Resumen!$B$11,"",IF(H770="",0,H770)+G771/Resumen!$B$9)</f>
        <v>1.68767863537486</v>
      </c>
      <c r="I771" s="26" t="n">
        <f aca="false">IF(H771="","",H771-AVERAGE(H723:H819))</f>
        <v>0.595689120645506</v>
      </c>
      <c r="J771" s="27" t="n">
        <f aca="false">IF(I771="","",Resumen!$B$10-(MAX(I723:I819)-I771))</f>
        <v>1.82742781676427</v>
      </c>
    </row>
    <row r="772" customFormat="false" ht="15" hidden="false" customHeight="false" outlineLevel="0" collapsed="false">
      <c r="A772" s="24" t="n">
        <v>46269.4166666667</v>
      </c>
      <c r="B772" s="10" t="n">
        <v>4.7694</v>
      </c>
      <c r="C772" s="10" t="n">
        <v>4.6936</v>
      </c>
      <c r="D772" s="10" t="n">
        <f aca="false">IF(OR(B772="",C772="",B772&lt;=0.05,C772&lt;=0.05),0,1)</f>
        <v>1</v>
      </c>
      <c r="E772" s="25" t="n">
        <f aca="false">IF(OR(A772&lt;Resumen!$B$6,A772&gt;=Resumen!$B$7),0,MAX(0,AVERAGEIFS(B724:B820,D724:D820,1)-Resumen!$B$5*AVERAGEIFS(C724:C820,D724:D820,1)))</f>
        <v>0</v>
      </c>
      <c r="F772" s="10" t="n">
        <f aca="false">IF(B772="","",(B772-E772)/Resumen!$B$5)</f>
        <v>3.78824463860207</v>
      </c>
      <c r="G772" s="10" t="n">
        <f aca="false">IF(OR(F772="",C772=""),0,(F772-C772)*0.9)</f>
        <v>-0.814819825258141</v>
      </c>
      <c r="H772" s="26" t="n">
        <f aca="false">IF(A772&lt;Resumen!$B$11,"",IF(H771="",0,H771)+G772/Resumen!$B$9)</f>
        <v>1.64916300678153</v>
      </c>
      <c r="I772" s="26" t="n">
        <f aca="false">IF(H772="","",H772-AVERAGE(H724:H820))</f>
        <v>0.553182915868673</v>
      </c>
      <c r="J772" s="27" t="n">
        <f aca="false">IF(I772="","",Resumen!$B$10-(MAX(I724:I820)-I772))</f>
        <v>1.78492161198744</v>
      </c>
    </row>
    <row r="773" customFormat="false" ht="15" hidden="false" customHeight="false" outlineLevel="0" collapsed="false">
      <c r="A773" s="24" t="n">
        <v>46269.4270833333</v>
      </c>
      <c r="B773" s="10" t="n">
        <v>3.4644</v>
      </c>
      <c r="C773" s="10" t="n">
        <v>3.3031</v>
      </c>
      <c r="D773" s="10" t="n">
        <f aca="false">IF(OR(B773="",C773="",B773&lt;=0.05,C773&lt;=0.05),0,1)</f>
        <v>1</v>
      </c>
      <c r="E773" s="25" t="n">
        <f aca="false">IF(OR(A773&lt;Resumen!$B$6,A773&gt;=Resumen!$B$7),0,MAX(0,AVERAGEIFS(B725:B821,D725:D821,1)-Resumen!$B$5*AVERAGEIFS(C725:C821,D725:D821,1)))</f>
        <v>0</v>
      </c>
      <c r="F773" s="10" t="n">
        <f aca="false">IF(B773="","",(B773-E773)/Resumen!$B$5)</f>
        <v>2.7517077045274</v>
      </c>
      <c r="G773" s="10" t="n">
        <f aca="false">IF(OR(F773="",C773=""),0,(F773-C773)*0.9)</f>
        <v>-0.496253065925338</v>
      </c>
      <c r="H773" s="26" t="n">
        <f aca="false">IF(A773&lt;Resumen!$B$11,"",IF(H772="",0,H772)+G773/Resumen!$B$9)</f>
        <v>1.62570567525499</v>
      </c>
      <c r="I773" s="26" t="n">
        <f aca="false">IF(H773="","",H773-AVERAGE(H725:H821))</f>
        <v>0.52565353469048</v>
      </c>
      <c r="J773" s="27" t="n">
        <f aca="false">IF(I773="","",Resumen!$B$10-(MAX(I725:I821)-I773))</f>
        <v>1.75739223080924</v>
      </c>
    </row>
    <row r="774" customFormat="false" ht="15" hidden="false" customHeight="false" outlineLevel="0" collapsed="false">
      <c r="A774" s="24" t="n">
        <v>46269.4375</v>
      </c>
      <c r="B774" s="10" t="n">
        <v>4.4503</v>
      </c>
      <c r="C774" s="10" t="n">
        <v>4.797</v>
      </c>
      <c r="D774" s="10" t="n">
        <f aca="false">IF(OR(B774="",C774="",B774&lt;=0.05,C774&lt;=0.05),0,1)</f>
        <v>1</v>
      </c>
      <c r="E774" s="25" t="n">
        <f aca="false">IF(OR(A774&lt;Resumen!$B$6,A774&gt;=Resumen!$B$7),0,MAX(0,AVERAGEIFS(B726:B822,D726:D822,1)-Resumen!$B$5*AVERAGEIFS(C726:C822,D726:D822,1)))</f>
        <v>0</v>
      </c>
      <c r="F774" s="10" t="n">
        <f aca="false">IF(B774="","",(B774-E774)/Resumen!$B$5)</f>
        <v>3.53478951548848</v>
      </c>
      <c r="G774" s="10" t="n">
        <f aca="false">IF(OR(F774="",C774=""),0,(F774-C774)*0.9)</f>
        <v>-1.13598943606036</v>
      </c>
      <c r="H774" s="26" t="n">
        <f aca="false">IF(A774&lt;Resumen!$B$11,"",IF(H773="",0,H773)+G774/Resumen!$B$9)</f>
        <v>1.57200871569538</v>
      </c>
      <c r="I774" s="26" t="n">
        <f aca="false">IF(H774="","",H774-AVERAGE(H726:H822))</f>
        <v>0.467394564263883</v>
      </c>
      <c r="J774" s="27" t="n">
        <f aca="false">IF(I774="","",Resumen!$B$10-(MAX(I726:I822)-I774))</f>
        <v>1.69913326038265</v>
      </c>
    </row>
    <row r="775" customFormat="false" ht="15" hidden="false" customHeight="false" outlineLevel="0" collapsed="false">
      <c r="A775" s="24" t="n">
        <v>46269.4479166667</v>
      </c>
      <c r="B775" s="10" t="n">
        <v>3.1835</v>
      </c>
      <c r="C775" s="10" t="n">
        <v>4.2291</v>
      </c>
      <c r="D775" s="10" t="n">
        <f aca="false">IF(OR(B775="",C775="",B775&lt;=0.05,C775&lt;=0.05),0,1)</f>
        <v>1</v>
      </c>
      <c r="E775" s="25" t="n">
        <f aca="false">IF(OR(A775&lt;Resumen!$B$6,A775&gt;=Resumen!$B$7),0,MAX(0,AVERAGEIFS(B727:B823,D727:D823,1)-Resumen!$B$5*AVERAGEIFS(C727:C823,D727:D823,1)))</f>
        <v>0</v>
      </c>
      <c r="F775" s="10" t="n">
        <f aca="false">IF(B775="","",(B775-E775)/Resumen!$B$5)</f>
        <v>2.5285941223193</v>
      </c>
      <c r="G775" s="10" t="n">
        <f aca="false">IF(OR(F775="",C775=""),0,(F775-C775)*0.9)</f>
        <v>-1.53045528991263</v>
      </c>
      <c r="H775" s="26" t="n">
        <f aca="false">IF(A775&lt;Resumen!$B$11,"",IF(H774="",0,H774)+G775/Resumen!$B$9)</f>
        <v>1.49966579312805</v>
      </c>
      <c r="I775" s="26" t="n">
        <f aca="false">IF(H775="","",H775-AVERAGE(H727:H823))</f>
        <v>0.389992326338704</v>
      </c>
      <c r="J775" s="27" t="n">
        <f aca="false">IF(I775="","",Resumen!$B$10-(MAX(I727:I823)-I775))</f>
        <v>1.62173102245747</v>
      </c>
    </row>
    <row r="776" customFormat="false" ht="15" hidden="false" customHeight="false" outlineLevel="0" collapsed="false">
      <c r="A776" s="24" t="n">
        <v>46269.4583333333</v>
      </c>
      <c r="B776" s="10" t="n">
        <v>4.7134</v>
      </c>
      <c r="C776" s="10" t="n">
        <v>4.7709</v>
      </c>
      <c r="D776" s="10" t="n">
        <f aca="false">IF(OR(B776="",C776="",B776&lt;=0.05,C776&lt;=0.05),0,1)</f>
        <v>1</v>
      </c>
      <c r="E776" s="25" t="n">
        <f aca="false">IF(OR(A776&lt;Resumen!$B$6,A776&gt;=Resumen!$B$7),0,MAX(0,AVERAGEIFS(B728:B824,D728:D824,1)-Resumen!$B$5*AVERAGEIFS(C728:C824,D728:D824,1)))</f>
        <v>0</v>
      </c>
      <c r="F776" s="10" t="n">
        <f aca="false">IF(B776="","",(B776-E776)/Resumen!$B$5)</f>
        <v>3.74376489277204</v>
      </c>
      <c r="G776" s="10" t="n">
        <f aca="false">IF(OR(F776="",C776=""),0,(F776-C776)*0.9)</f>
        <v>-0.924421596505163</v>
      </c>
      <c r="H776" s="26" t="n">
        <f aca="false">IF(A776&lt;Resumen!$B$11,"",IF(H775="",0,H775)+G776/Resumen!$B$9)</f>
        <v>1.45596941047883</v>
      </c>
      <c r="I776" s="26" t="n">
        <f aca="false">IF(H776="","",H776-AVERAGE(H728:H824))</f>
        <v>0.341221374802984</v>
      </c>
      <c r="J776" s="27" t="n">
        <f aca="false">IF(I776="","",Resumen!$B$10-(MAX(I728:I824)-I776))</f>
        <v>1.57296007092175</v>
      </c>
    </row>
    <row r="777" customFormat="false" ht="15" hidden="false" customHeight="false" outlineLevel="0" collapsed="false">
      <c r="A777" s="24" t="n">
        <v>46269.46875</v>
      </c>
      <c r="B777" s="10" t="n">
        <v>3.8673</v>
      </c>
      <c r="C777" s="10" t="n">
        <v>4.0362</v>
      </c>
      <c r="D777" s="10" t="n">
        <f aca="false">IF(OR(B777="",C777="",B777&lt;=0.05,C777&lt;=0.05),0,1)</f>
        <v>1</v>
      </c>
      <c r="E777" s="25" t="n">
        <f aca="false">IF(OR(A777&lt;Resumen!$B$6,A777&gt;=Resumen!$B$7),0,MAX(0,AVERAGEIFS(B729:B825,D729:D825,1)-Resumen!$B$5*AVERAGEIFS(C729:C825,D729:D825,1)))</f>
        <v>0</v>
      </c>
      <c r="F777" s="10" t="n">
        <f aca="false">IF(B777="","",(B777-E777)/Resumen!$B$5)</f>
        <v>3.07172359015091</v>
      </c>
      <c r="G777" s="10" t="n">
        <f aca="false">IF(OR(F777="",C777=""),0,(F777-C777)*0.9)</f>
        <v>-0.868028768864178</v>
      </c>
      <c r="H777" s="26" t="n">
        <f aca="false">IF(A777&lt;Resumen!$B$11,"",IF(H776="",0,H776)+G777/Resumen!$B$9)</f>
        <v>1.41493865418948</v>
      </c>
      <c r="I777" s="26" t="n">
        <f aca="false">IF(H777="","",H777-AVERAGE(H729:H825))</f>
        <v>0.2950057628136</v>
      </c>
      <c r="J777" s="27" t="n">
        <f aca="false">IF(I777="","",Resumen!$B$10-(MAX(I729:I825)-I777))</f>
        <v>1.52674445893236</v>
      </c>
    </row>
    <row r="778" customFormat="false" ht="15" hidden="false" customHeight="false" outlineLevel="0" collapsed="false">
      <c r="A778" s="24" t="n">
        <v>46269.4791666667</v>
      </c>
      <c r="B778" s="10" t="n">
        <v>2.4691</v>
      </c>
      <c r="C778" s="10" t="n">
        <v>4.1568</v>
      </c>
      <c r="D778" s="10" t="n">
        <f aca="false">IF(OR(B778="",C778="",B778&lt;=0.05,C778&lt;=0.05),0,1)</f>
        <v>1</v>
      </c>
      <c r="E778" s="25" t="n">
        <f aca="false">IF(OR(A778&lt;Resumen!$B$6,A778&gt;=Resumen!$B$7),0,MAX(0,AVERAGEIFS(B730:B826,D730:D826,1)-Resumen!$B$5*AVERAGEIFS(C730:C826,D730:D826,1)))</f>
        <v>0</v>
      </c>
      <c r="F778" s="10" t="n">
        <f aca="false">IF(B778="","",(B778-E778)/Resumen!$B$5)</f>
        <v>1.96115965051628</v>
      </c>
      <c r="G778" s="10" t="n">
        <f aca="false">IF(OR(F778="",C778=""),0,(F778-C778)*0.9)</f>
        <v>-1.97607631453535</v>
      </c>
      <c r="H778" s="26" t="n">
        <f aca="false">IF(A778&lt;Resumen!$B$11,"",IF(H777="",0,H777)+G778/Resumen!$B$9)</f>
        <v>1.32153172048041</v>
      </c>
      <c r="I778" s="26" t="n">
        <f aca="false">IF(H778="","",H778-AVERAGE(H730:H826))</f>
        <v>0.197024617328545</v>
      </c>
      <c r="J778" s="27" t="n">
        <f aca="false">IF(I778="","",Resumen!$B$10-(MAX(I730:I826)-I778))</f>
        <v>1.42876331344731</v>
      </c>
    </row>
    <row r="779" customFormat="false" ht="15" hidden="false" customHeight="false" outlineLevel="0" collapsed="false">
      <c r="A779" s="24" t="n">
        <v>46269.4895833333</v>
      </c>
      <c r="B779" s="10" t="n">
        <v>3.3155</v>
      </c>
      <c r="C779" s="10" t="n">
        <v>3.4436</v>
      </c>
      <c r="D779" s="10" t="n">
        <f aca="false">IF(OR(B779="",C779="",B779&lt;=0.05,C779&lt;=0.05),0,1)</f>
        <v>1</v>
      </c>
      <c r="E779" s="25" t="n">
        <f aca="false">IF(OR(A779&lt;Resumen!$B$6,A779&gt;=Resumen!$B$7),0,MAX(0,AVERAGEIFS(B731:B827,D731:D827,1)-Resumen!$B$5*AVERAGEIFS(C731:C827,D731:D827,1)))</f>
        <v>0</v>
      </c>
      <c r="F779" s="10" t="n">
        <f aca="false">IF(B779="","",(B779-E779)/Resumen!$B$5)</f>
        <v>2.63343923749007</v>
      </c>
      <c r="G779" s="10" t="n">
        <f aca="false">IF(OR(F779="",C779=""),0,(F779-C779)*0.9)</f>
        <v>-0.729144686258936</v>
      </c>
      <c r="H779" s="26" t="n">
        <f aca="false">IF(A779&lt;Resumen!$B$11,"",IF(H778="",0,H778)+G779/Resumen!$B$9)</f>
        <v>1.28706586059801</v>
      </c>
      <c r="I779" s="26" t="n">
        <f aca="false">IF(H779="","",H779-AVERAGE(H731:H827))</f>
        <v>0.158154140602422</v>
      </c>
      <c r="J779" s="27" t="n">
        <f aca="false">IF(I779="","",Resumen!$B$10-(MAX(I731:I827)-I779))</f>
        <v>1.38989283672119</v>
      </c>
    </row>
    <row r="780" customFormat="false" ht="15" hidden="false" customHeight="false" outlineLevel="0" collapsed="false">
      <c r="A780" s="24" t="n">
        <v>46269.5</v>
      </c>
      <c r="B780" s="10" t="n">
        <v>3.1766</v>
      </c>
      <c r="C780" s="10" t="n">
        <v>5.8487</v>
      </c>
      <c r="D780" s="10" t="n">
        <f aca="false">IF(OR(B780="",C780="",B780&lt;=0.05,C780&lt;=0.05),0,1)</f>
        <v>1</v>
      </c>
      <c r="E780" s="25" t="n">
        <f aca="false">IF(OR(A780&lt;Resumen!$B$6,A780&gt;=Resumen!$B$7),0,MAX(0,AVERAGEIFS(B732:B828,D732:D828,1)-Resumen!$B$5*AVERAGEIFS(C732:C828,D732:D828,1)))</f>
        <v>0</v>
      </c>
      <c r="F780" s="10" t="n">
        <f aca="false">IF(B780="","",(B780-E780)/Resumen!$B$5)</f>
        <v>2.5231135822081</v>
      </c>
      <c r="G780" s="10" t="n">
        <f aca="false">IF(OR(F780="",C780=""),0,(F780-C780)*0.9)</f>
        <v>-2.99302777601271</v>
      </c>
      <c r="H780" s="26" t="n">
        <f aca="false">IF(A780&lt;Resumen!$B$11,"",IF(H779="",0,H779)+G780/Resumen!$B$9)</f>
        <v>1.1455887602416</v>
      </c>
      <c r="I780" s="26" t="n">
        <f aca="false">IF(H780="","",H780-AVERAGE(H732:H828))</f>
        <v>0.0124811306929185</v>
      </c>
      <c r="J780" s="27" t="n">
        <f aca="false">IF(I780="","",Resumen!$B$10-(MAX(I732:I828)-I780))</f>
        <v>1.24421982681168</v>
      </c>
    </row>
    <row r="781" customFormat="false" ht="15" hidden="false" customHeight="false" outlineLevel="0" collapsed="false">
      <c r="A781" s="24" t="n">
        <v>46269.5104166667</v>
      </c>
      <c r="B781" s="10" t="n">
        <v>4.504</v>
      </c>
      <c r="C781" s="10" t="n">
        <v>4.105</v>
      </c>
      <c r="D781" s="10" t="n">
        <f aca="false">IF(OR(B781="",C781="",B781&lt;=0.05,C781&lt;=0.05),0,1)</f>
        <v>1</v>
      </c>
      <c r="E781" s="25" t="n">
        <f aca="false">IF(OR(A781&lt;Resumen!$B$6,A781&gt;=Resumen!$B$7),0,MAX(0,AVERAGEIFS(B733:B829,D733:D829,1)-Resumen!$B$5*AVERAGEIFS(C733:C829,D733:D829,1)))</f>
        <v>0</v>
      </c>
      <c r="F781" s="10" t="n">
        <f aca="false">IF(B781="","",(B781-E781)/Resumen!$B$5)</f>
        <v>3.57744241461477</v>
      </c>
      <c r="G781" s="10" t="n">
        <f aca="false">IF(OR(F781="",C781=""),0,(F781-C781)*0.9)</f>
        <v>-0.474801826846704</v>
      </c>
      <c r="H781" s="26" t="n">
        <f aca="false">IF(A781&lt;Resumen!$B$11,"",IF(H780="",0,H780)+G781/Resumen!$B$9)</f>
        <v>1.12314540497288</v>
      </c>
      <c r="I781" s="26" t="n">
        <f aca="false">IF(H781="","",H781-AVERAGE(H733:H829))</f>
        <v>-0.0137526297806094</v>
      </c>
      <c r="J781" s="27" t="n">
        <f aca="false">IF(I781="","",Resumen!$B$10-(MAX(I733:I829)-I781))</f>
        <v>1.21798606633816</v>
      </c>
    </row>
    <row r="782" customFormat="false" ht="15" hidden="false" customHeight="false" outlineLevel="0" collapsed="false">
      <c r="A782" s="24" t="n">
        <v>46269.5208333333</v>
      </c>
      <c r="B782" s="10" t="n">
        <v>2.4976</v>
      </c>
      <c r="C782" s="10" t="n">
        <v>3.7909</v>
      </c>
      <c r="D782" s="10" t="n">
        <f aca="false">IF(OR(B782="",C782="",B782&lt;=0.05,C782&lt;=0.05),0,1)</f>
        <v>1</v>
      </c>
      <c r="E782" s="25" t="n">
        <f aca="false">IF(OR(A782&lt;Resumen!$B$6,A782&gt;=Resumen!$B$7),0,MAX(0,AVERAGEIFS(B734:B830,D734:D830,1)-Resumen!$B$5*AVERAGEIFS(C734:C830,D734:D830,1)))</f>
        <v>0</v>
      </c>
      <c r="F782" s="10" t="n">
        <f aca="false">IF(B782="","",(B782-E782)/Resumen!$B$5)</f>
        <v>1.98379666401906</v>
      </c>
      <c r="G782" s="10" t="n">
        <f aca="false">IF(OR(F782="",C782=""),0,(F782-C782)*0.9)</f>
        <v>-1.62639300238284</v>
      </c>
      <c r="H782" s="26" t="n">
        <f aca="false">IF(A782&lt;Resumen!$B$11,"",IF(H781="",0,H781)+G782/Resumen!$B$9)</f>
        <v>1.04626761323932</v>
      </c>
      <c r="I782" s="26" t="n">
        <f aca="false">IF(H782="","",H782-AVERAGE(H734:H830))</f>
        <v>-0.0941172609689291</v>
      </c>
      <c r="J782" s="27" t="n">
        <f aca="false">IF(I782="","",Resumen!$B$10-(MAX(I734:I830)-I782))</f>
        <v>1.13762143514984</v>
      </c>
    </row>
    <row r="783" customFormat="false" ht="15" hidden="false" customHeight="false" outlineLevel="0" collapsed="false">
      <c r="A783" s="24" t="n">
        <v>46269.53125</v>
      </c>
      <c r="B783" s="10" t="n">
        <v>2.764</v>
      </c>
      <c r="C783" s="10" t="n">
        <v>3.6679</v>
      </c>
      <c r="D783" s="10" t="n">
        <f aca="false">IF(OR(B783="",C783="",B783&lt;=0.05,C783&lt;=0.05),0,1)</f>
        <v>1</v>
      </c>
      <c r="E783" s="25" t="n">
        <f aca="false">IF(OR(A783&lt;Resumen!$B$6,A783&gt;=Resumen!$B$7),0,MAX(0,AVERAGEIFS(B735:B831,D735:D831,1)-Resumen!$B$5*AVERAGEIFS(C735:C831,D735:D831,1)))</f>
        <v>0</v>
      </c>
      <c r="F783" s="10" t="n">
        <f aca="false">IF(B783="","",(B783-E783)/Resumen!$B$5)</f>
        <v>2.19539316918189</v>
      </c>
      <c r="G783" s="10" t="n">
        <f aca="false">IF(OR(F783="",C783=""),0,(F783-C783)*0.9)</f>
        <v>-1.3252561477363</v>
      </c>
      <c r="H783" s="26" t="n">
        <f aca="false">IF(A783&lt;Resumen!$B$11,"",IF(H782="",0,H782)+G783/Resumen!$B$9)</f>
        <v>0.983624226327288</v>
      </c>
      <c r="I783" s="26" t="n">
        <f aca="false">IF(H783="","",H783-AVERAGE(H735:H831))</f>
        <v>-0.160424528304966</v>
      </c>
      <c r="J783" s="27" t="n">
        <f aca="false">IF(I783="","",Resumen!$B$10-(MAX(I735:I831)-I783))</f>
        <v>1.0713141678138</v>
      </c>
    </row>
    <row r="784" customFormat="false" ht="15" hidden="false" customHeight="false" outlineLevel="0" collapsed="false">
      <c r="A784" s="24" t="n">
        <v>46269.5416666667</v>
      </c>
      <c r="B784" s="10" t="n">
        <v>3.2134</v>
      </c>
      <c r="C784" s="10" t="n">
        <v>4.6761</v>
      </c>
      <c r="D784" s="10" t="n">
        <f aca="false">IF(OR(B784="",C784="",B784&lt;=0.05,C784&lt;=0.05),0,1)</f>
        <v>1</v>
      </c>
      <c r="E784" s="25" t="n">
        <f aca="false">IF(OR(A784&lt;Resumen!$B$6,A784&gt;=Resumen!$B$7),0,MAX(0,AVERAGEIFS(B736:B832,D736:D832,1)-Resumen!$B$5*AVERAGEIFS(C736:C832,D736:D832,1)))</f>
        <v>0</v>
      </c>
      <c r="F784" s="10" t="n">
        <f aca="false">IF(B784="","",(B784-E784)/Resumen!$B$5)</f>
        <v>2.55234312946783</v>
      </c>
      <c r="G784" s="10" t="n">
        <f aca="false">IF(OR(F784="",C784=""),0,(F784-C784)*0.9)</f>
        <v>-1.91138118347895</v>
      </c>
      <c r="H784" s="26" t="n">
        <f aca="false">IF(A784&lt;Resumen!$B$11,"",IF(H783="",0,H783)+G784/Resumen!$B$9)</f>
        <v>0.893275359643986</v>
      </c>
      <c r="I784" s="26" t="n">
        <f aca="false">IF(H784="","",H784-AVERAGE(H736:H832))</f>
        <v>-0.254400996185596</v>
      </c>
      <c r="J784" s="27" t="n">
        <f aca="false">IF(I784="","",Resumen!$B$10-(MAX(I736:I832)-I784))</f>
        <v>0.977337699933169</v>
      </c>
    </row>
    <row r="785" customFormat="false" ht="15" hidden="false" customHeight="false" outlineLevel="0" collapsed="false">
      <c r="A785" s="24" t="n">
        <v>46269.5520833333</v>
      </c>
      <c r="B785" s="10" t="n">
        <v>2.5817</v>
      </c>
      <c r="C785" s="10" t="n">
        <v>4.1578</v>
      </c>
      <c r="D785" s="10" t="n">
        <f aca="false">IF(OR(B785="",C785="",B785&lt;=0.05,C785&lt;=0.05),0,1)</f>
        <v>1</v>
      </c>
      <c r="E785" s="25" t="n">
        <f aca="false">IF(OR(A785&lt;Resumen!$B$6,A785&gt;=Resumen!$B$7),0,MAX(0,AVERAGEIFS(B737:B833,D737:D833,1)-Resumen!$B$5*AVERAGEIFS(C737:C833,D737:D833,1)))</f>
        <v>0</v>
      </c>
      <c r="F785" s="10" t="n">
        <f aca="false">IF(B785="","",(B785-E785)/Resumen!$B$5)</f>
        <v>2.05059571088165</v>
      </c>
      <c r="G785" s="10" t="n">
        <f aca="false">IF(OR(F785="",C785=""),0,(F785-C785)*0.9)</f>
        <v>-1.89648386020651</v>
      </c>
      <c r="H785" s="26" t="n">
        <f aca="false">IF(A785&lt;Resumen!$B$11,"",IF(H784="",0,H784)+G785/Resumen!$B$9)</f>
        <v>0.803630672893977</v>
      </c>
      <c r="I785" s="26" t="n">
        <f aca="false">IF(H785="","",H785-AVERAGE(H737:H833))</f>
        <v>-0.347423034035157</v>
      </c>
      <c r="J785" s="27" t="n">
        <f aca="false">IF(I785="","",Resumen!$B$10-(MAX(I737:I833)-I785))</f>
        <v>0.884315662083608</v>
      </c>
    </row>
    <row r="786" customFormat="false" ht="15" hidden="false" customHeight="false" outlineLevel="0" collapsed="false">
      <c r="A786" s="24" t="n">
        <v>46269.5625</v>
      </c>
      <c r="B786" s="10" t="n">
        <v>3.3715</v>
      </c>
      <c r="C786" s="10" t="n">
        <v>3.4869</v>
      </c>
      <c r="D786" s="10" t="n">
        <f aca="false">IF(OR(B786="",C786="",B786&lt;=0.05,C786&lt;=0.05),0,1)</f>
        <v>1</v>
      </c>
      <c r="E786" s="25" t="n">
        <f aca="false">IF(OR(A786&lt;Resumen!$B$6,A786&gt;=Resumen!$B$7),0,MAX(0,AVERAGEIFS(B738:B834,D738:D834,1)-Resumen!$B$5*AVERAGEIFS(C738:C834,D738:D834,1)))</f>
        <v>0</v>
      </c>
      <c r="F786" s="10" t="n">
        <f aca="false">IF(B786="","",(B786-E786)/Resumen!$B$5)</f>
        <v>2.6779189833201</v>
      </c>
      <c r="G786" s="10" t="n">
        <f aca="false">IF(OR(F786="",C786=""),0,(F786-C786)*0.9)</f>
        <v>-0.728082915011914</v>
      </c>
      <c r="H786" s="26" t="n">
        <f aca="false">IF(A786&lt;Resumen!$B$11,"",IF(H785="",0,H785)+G786/Resumen!$B$9)</f>
        <v>0.769215001759729</v>
      </c>
      <c r="I786" s="26" t="n">
        <f aca="false">IF(H786="","",H786-AVERAGE(H738:H834))</f>
        <v>-0.385146625392374</v>
      </c>
      <c r="J786" s="27" t="n">
        <f aca="false">IF(I786="","",Resumen!$B$10-(MAX(I738:I834)-I786))</f>
        <v>0.846592070726391</v>
      </c>
    </row>
    <row r="787" customFormat="false" ht="15" hidden="false" customHeight="false" outlineLevel="0" collapsed="false">
      <c r="A787" s="24" t="n">
        <v>46269.5729166667</v>
      </c>
      <c r="B787" s="10" t="n">
        <v>3.1774</v>
      </c>
      <c r="C787" s="10" t="n">
        <v>4.6181</v>
      </c>
      <c r="D787" s="10" t="n">
        <f aca="false">IF(OR(B787="",C787="",B787&lt;=0.05,C787&lt;=0.05),0,1)</f>
        <v>1</v>
      </c>
      <c r="E787" s="25" t="n">
        <f aca="false">IF(OR(A787&lt;Resumen!$B$6,A787&gt;=Resumen!$B$7),0,MAX(0,AVERAGEIFS(B739:B835,D739:D835,1)-Resumen!$B$5*AVERAGEIFS(C739:C835,D739:D835,1)))</f>
        <v>0</v>
      </c>
      <c r="F787" s="10" t="n">
        <f aca="false">IF(B787="","",(B787-E787)/Resumen!$B$5)</f>
        <v>2.52374900714853</v>
      </c>
      <c r="G787" s="10" t="n">
        <f aca="false">IF(OR(F787="",C787=""),0,(F787-C787)*0.9)</f>
        <v>-1.88491589356632</v>
      </c>
      <c r="H787" s="26" t="n">
        <f aca="false">IF(A787&lt;Resumen!$B$11,"",IF(H786="",0,H786)+G787/Resumen!$B$9)</f>
        <v>0.680117119950986</v>
      </c>
      <c r="I787" s="26" t="n">
        <f aca="false">IF(H787="","",H787-AVERAGE(H739:H835))</f>
        <v>-0.476881135310523</v>
      </c>
      <c r="J787" s="27" t="n">
        <f aca="false">IF(I787="","",Resumen!$B$10-(MAX(I739:I835)-I787))</f>
        <v>0.754857560808242</v>
      </c>
    </row>
    <row r="788" customFormat="false" ht="15" hidden="false" customHeight="false" outlineLevel="0" collapsed="false">
      <c r="A788" s="24" t="n">
        <v>46269.5833333333</v>
      </c>
      <c r="B788" s="10" t="n">
        <v>3.7748</v>
      </c>
      <c r="C788" s="10" t="n">
        <v>4.2184</v>
      </c>
      <c r="D788" s="10" t="n">
        <f aca="false">IF(OR(B788="",C788="",B788&lt;=0.05,C788&lt;=0.05),0,1)</f>
        <v>1</v>
      </c>
      <c r="E788" s="25" t="n">
        <f aca="false">IF(OR(A788&lt;Resumen!$B$6,A788&gt;=Resumen!$B$7),0,MAX(0,AVERAGEIFS(B740:B836,D740:D836,1)-Resumen!$B$5*AVERAGEIFS(C740:C836,D740:D836,1)))</f>
        <v>0</v>
      </c>
      <c r="F788" s="10" t="n">
        <f aca="false">IF(B788="","",(B788-E788)/Resumen!$B$5)</f>
        <v>2.99825258141382</v>
      </c>
      <c r="G788" s="10" t="n">
        <f aca="false">IF(OR(F788="",C788=""),0,(F788-C788)*0.9)</f>
        <v>-1.09813267672756</v>
      </c>
      <c r="H788" s="26" t="n">
        <f aca="false">IF(A788&lt;Resumen!$B$11,"",IF(H787="",0,H787)+G788/Resumen!$B$9)</f>
        <v>0.628209607379552</v>
      </c>
      <c r="I788" s="26" t="n">
        <f aca="false">IF(H788="","",H788-AVERAGE(H740:H836))</f>
        <v>-0.530712181118333</v>
      </c>
      <c r="J788" s="27" t="n">
        <f aca="false">IF(I788="","",Resumen!$B$10-(MAX(I740:I836)-I788))</f>
        <v>0.701026515000432</v>
      </c>
    </row>
    <row r="789" customFormat="false" ht="15" hidden="false" customHeight="false" outlineLevel="0" collapsed="false">
      <c r="A789" s="24" t="n">
        <v>46269.59375</v>
      </c>
      <c r="B789" s="10" t="n">
        <v>3.9571</v>
      </c>
      <c r="C789" s="10" t="n">
        <v>3.3389</v>
      </c>
      <c r="D789" s="10" t="n">
        <f aca="false">IF(OR(B789="",C789="",B789&lt;=0.05,C789&lt;=0.05),0,1)</f>
        <v>1</v>
      </c>
      <c r="E789" s="25" t="n">
        <f aca="false">IF(OR(A789&lt;Resumen!$B$6,A789&gt;=Resumen!$B$7),0,MAX(0,AVERAGEIFS(B741:B837,D741:D837,1)-Resumen!$B$5*AVERAGEIFS(C741:C837,D741:D837,1)))</f>
        <v>0</v>
      </c>
      <c r="F789" s="10" t="n">
        <f aca="false">IF(B789="","",(B789-E789)/Resumen!$B$5)</f>
        <v>3.14305003971406</v>
      </c>
      <c r="G789" s="10" t="n">
        <f aca="false">IF(OR(F789="",C789=""),0,(F789-C789)*0.9)</f>
        <v>-0.176264964257347</v>
      </c>
      <c r="H789" s="26" t="n">
        <f aca="false">IF(A789&lt;Resumen!$B$11,"",IF(H788="",0,H788)+G789/Resumen!$B$9)</f>
        <v>0.619877758194118</v>
      </c>
      <c r="I789" s="26" t="n">
        <f aca="false">IF(H789="","",H789-AVERAGE(H741:H837))</f>
        <v>-0.540816841467724</v>
      </c>
      <c r="J789" s="27" t="n">
        <f aca="false">IF(I789="","",Resumen!$B$10-(MAX(I741:I837)-I789))</f>
        <v>0.690921854651041</v>
      </c>
    </row>
    <row r="790" customFormat="false" ht="15" hidden="false" customHeight="false" outlineLevel="0" collapsed="false">
      <c r="A790" s="24" t="n">
        <v>46269.6041666667</v>
      </c>
      <c r="B790" s="10" t="n">
        <v>4.2799</v>
      </c>
      <c r="C790" s="10" t="n">
        <v>3.0855</v>
      </c>
      <c r="D790" s="10" t="n">
        <f aca="false">IF(OR(B790="",C790="",B790&lt;=0.05,C790&lt;=0.05),0,1)</f>
        <v>1</v>
      </c>
      <c r="E790" s="25" t="n">
        <f aca="false">IF(OR(A790&lt;Resumen!$B$6,A790&gt;=Resumen!$B$7),0,MAX(0,AVERAGEIFS(B742:B838,D742:D838,1)-Resumen!$B$5*AVERAGEIFS(C742:C838,D742:D838,1)))</f>
        <v>0</v>
      </c>
      <c r="F790" s="10" t="n">
        <f aca="false">IF(B790="","",(B790-E790)/Resumen!$B$5)</f>
        <v>3.39944400317712</v>
      </c>
      <c r="G790" s="10" t="n">
        <f aca="false">IF(OR(F790="",C790=""),0,(F790-C790)*0.9)</f>
        <v>0.282549602859412</v>
      </c>
      <c r="H790" s="26" t="n">
        <f aca="false">IF(A790&lt;Resumen!$B$11,"",IF(H789="",0,H789)+G790/Resumen!$B$9)</f>
        <v>0.633233564257721</v>
      </c>
      <c r="I790" s="26" t="n">
        <f aca="false">IF(H790="","",H790-AVERAGE(H742:H838))</f>
        <v>-0.529277122306763</v>
      </c>
      <c r="J790" s="27" t="n">
        <f aca="false">IF(I790="","",Resumen!$B$10-(MAX(I742:I838)-I790))</f>
        <v>0.702461573812002</v>
      </c>
    </row>
    <row r="791" customFormat="false" ht="15" hidden="false" customHeight="false" outlineLevel="0" collapsed="false">
      <c r="A791" s="24" t="n">
        <v>46269.6145833333</v>
      </c>
      <c r="B791" s="10" t="n">
        <v>3.08</v>
      </c>
      <c r="C791" s="10" t="n">
        <v>3.2804</v>
      </c>
      <c r="D791" s="10" t="n">
        <f aca="false">IF(OR(B791="",C791="",B791&lt;=0.05,C791&lt;=0.05),0,1)</f>
        <v>1</v>
      </c>
      <c r="E791" s="25" t="n">
        <f aca="false">IF(OR(A791&lt;Resumen!$B$6,A791&gt;=Resumen!$B$7),0,MAX(0,AVERAGEIFS(B743:B839,D743:D839,1)-Resumen!$B$5*AVERAGEIFS(C743:C839,D743:D839,1)))</f>
        <v>0</v>
      </c>
      <c r="F791" s="10" t="n">
        <f aca="false">IF(B791="","",(B791-E791)/Resumen!$B$5)</f>
        <v>2.44638602065131</v>
      </c>
      <c r="G791" s="10" t="n">
        <f aca="false">IF(OR(F791="",C791=""),0,(F791-C791)*0.9)</f>
        <v>-0.750612581413821</v>
      </c>
      <c r="H791" s="26" t="n">
        <f aca="false">IF(A791&lt;Resumen!$B$11,"",IF(H790="",0,H790)+G791/Resumen!$B$9)</f>
        <v>0.597752940803256</v>
      </c>
      <c r="I791" s="26" t="n">
        <f aca="false">IF(H791="","",H791-AVERAGE(H743:H839))</f>
        <v>-0.566464439581609</v>
      </c>
      <c r="J791" s="27" t="n">
        <f aca="false">IF(I791="","",Resumen!$B$10-(MAX(I743:I839)-I791))</f>
        <v>0.665274256537156</v>
      </c>
    </row>
    <row r="792" customFormat="false" ht="15" hidden="false" customHeight="false" outlineLevel="0" collapsed="false">
      <c r="A792" s="24" t="n">
        <v>46269.625</v>
      </c>
      <c r="B792" s="10" t="n">
        <v>3.5391</v>
      </c>
      <c r="C792" s="10" t="n">
        <v>3.4917</v>
      </c>
      <c r="D792" s="10" t="n">
        <f aca="false">IF(OR(B792="",C792="",B792&lt;=0.05,C792&lt;=0.05),0,1)</f>
        <v>1</v>
      </c>
      <c r="E792" s="25" t="n">
        <f aca="false">IF(OR(A792&lt;Resumen!$B$6,A792&gt;=Resumen!$B$7),0,MAX(0,AVERAGEIFS(B744:B840,D744:D840,1)-Resumen!$B$5*AVERAGEIFS(C744:C840,D744:D840,1)))</f>
        <v>0</v>
      </c>
      <c r="F792" s="10" t="n">
        <f aca="false">IF(B792="","",(B792-E792)/Resumen!$B$5)</f>
        <v>2.81104050833995</v>
      </c>
      <c r="G792" s="10" t="n">
        <f aca="false">IF(OR(F792="",C792=""),0,(F792-C792)*0.9)</f>
        <v>-0.612593542494043</v>
      </c>
      <c r="H792" s="26" t="n">
        <f aca="false">IF(A792&lt;Resumen!$B$11,"",IF(H791="",0,H791)+G792/Resumen!$B$9)</f>
        <v>0.56879632410103</v>
      </c>
      <c r="I792" s="26" t="n">
        <f aca="false">IF(H792="","",H792-AVERAGE(H744:H840))</f>
        <v>-0.596562792863071</v>
      </c>
      <c r="J792" s="27" t="n">
        <f aca="false">IF(I792="","",Resumen!$B$10-(MAX(I744:I840)-I792))</f>
        <v>0.635175903255694</v>
      </c>
    </row>
    <row r="793" customFormat="false" ht="15" hidden="false" customHeight="false" outlineLevel="0" collapsed="false">
      <c r="A793" s="24" t="n">
        <v>46269.6354166667</v>
      </c>
      <c r="B793" s="10" t="n">
        <v>3.1434</v>
      </c>
      <c r="C793" s="10" t="n">
        <v>3.9861</v>
      </c>
      <c r="D793" s="10" t="n">
        <f aca="false">IF(OR(B793="",C793="",B793&lt;=0.05,C793&lt;=0.05),0,1)</f>
        <v>1</v>
      </c>
      <c r="E793" s="25" t="n">
        <f aca="false">IF(OR(A793&lt;Resumen!$B$6,A793&gt;=Resumen!$B$7),0,MAX(0,AVERAGEIFS(B745:B841,D745:D841,1)-Resumen!$B$5*AVERAGEIFS(C745:C841,D745:D841,1)))</f>
        <v>0</v>
      </c>
      <c r="F793" s="10" t="n">
        <f aca="false">IF(B793="","",(B793-E793)/Resumen!$B$5)</f>
        <v>2.4967434471803</v>
      </c>
      <c r="G793" s="10" t="n">
        <f aca="false">IF(OR(F793="",C793=""),0,(F793-C793)*0.9)</f>
        <v>-1.34042089753773</v>
      </c>
      <c r="H793" s="26" t="n">
        <f aca="false">IF(A793&lt;Resumen!$B$11,"",IF(H792="",0,H792)+G793/Resumen!$B$9)</f>
        <v>0.505436116300553</v>
      </c>
      <c r="I793" s="26" t="n">
        <f aca="false">IF(H793="","",H793-AVERAGE(H745:H841))</f>
        <v>-0.660711037038199</v>
      </c>
      <c r="J793" s="27" t="n">
        <f aca="false">IF(I793="","",Resumen!$B$10-(MAX(I745:I841)-I793))</f>
        <v>0.571027659080566</v>
      </c>
    </row>
    <row r="794" customFormat="false" ht="15" hidden="false" customHeight="false" outlineLevel="0" collapsed="false">
      <c r="A794" s="24" t="n">
        <v>46269.6458333333</v>
      </c>
      <c r="B794" s="10" t="n">
        <v>3.212</v>
      </c>
      <c r="C794" s="10" t="n">
        <v>2.7929</v>
      </c>
      <c r="D794" s="10" t="n">
        <f aca="false">IF(OR(B794="",C794="",B794&lt;=0.05,C794&lt;=0.05),0,1)</f>
        <v>1</v>
      </c>
      <c r="E794" s="25" t="n">
        <f aca="false">IF(OR(A794&lt;Resumen!$B$6,A794&gt;=Resumen!$B$7),0,MAX(0,AVERAGEIFS(B746:B842,D746:D842,1)-Resumen!$B$5*AVERAGEIFS(C746:C842,D746:D842,1)))</f>
        <v>0</v>
      </c>
      <c r="F794" s="10" t="n">
        <f aca="false">IF(B794="","",(B794-E794)/Resumen!$B$5)</f>
        <v>2.55123113582208</v>
      </c>
      <c r="G794" s="10" t="n">
        <f aca="false">IF(OR(F794="",C794=""),0,(F794-C794)*0.9)</f>
        <v>-0.217501977760127</v>
      </c>
      <c r="H794" s="26" t="n">
        <f aca="false">IF(A794&lt;Resumen!$B$11,"",IF(H793="",0,H793)+G794/Resumen!$B$9)</f>
        <v>0.495155039264816</v>
      </c>
      <c r="I794" s="26" t="n">
        <f aca="false">IF(H794="","",H794-AVERAGE(H746:H842))</f>
        <v>-0.671786091343253</v>
      </c>
      <c r="J794" s="27" t="n">
        <f aca="false">IF(I794="","",Resumen!$B$10-(MAX(I746:I842)-I794))</f>
        <v>0.559952604775512</v>
      </c>
    </row>
    <row r="795" customFormat="false" ht="15" hidden="false" customHeight="false" outlineLevel="0" collapsed="false">
      <c r="A795" s="24" t="n">
        <v>46269.65625</v>
      </c>
      <c r="B795" s="10" t="n">
        <v>3.0633</v>
      </c>
      <c r="C795" s="10" t="n">
        <v>3.7608</v>
      </c>
      <c r="D795" s="10" t="n">
        <f aca="false">IF(OR(B795="",C795="",B795&lt;=0.05,C795&lt;=0.05),0,1)</f>
        <v>1</v>
      </c>
      <c r="E795" s="25" t="n">
        <f aca="false">IF(OR(A795&lt;Resumen!$B$6,A795&gt;=Resumen!$B$7),0,MAX(0,AVERAGEIFS(B747:B843,D747:D843,1)-Resumen!$B$5*AVERAGEIFS(C747:C843,D747:D843,1)))</f>
        <v>0</v>
      </c>
      <c r="F795" s="10" t="n">
        <f aca="false">IF(B795="","",(B795-E795)/Resumen!$B$5)</f>
        <v>2.43312152501986</v>
      </c>
      <c r="G795" s="10" t="n">
        <f aca="false">IF(OR(F795="",C795=""),0,(F795-C795)*0.9)</f>
        <v>-1.19491062748213</v>
      </c>
      <c r="H795" s="26" t="n">
        <f aca="false">IF(A795&lt;Resumen!$B$11,"",IF(H794="",0,H794)+G795/Resumen!$B$9)</f>
        <v>0.438672940396214</v>
      </c>
      <c r="I795" s="26" t="n">
        <f aca="false">IF(H795="","",H795-AVERAGE(H747:H843))</f>
        <v>-0.728882901688072</v>
      </c>
      <c r="J795" s="27" t="n">
        <f aca="false">IF(I795="","",Resumen!$B$10-(MAX(I747:I843)-I795))</f>
        <v>0.502855794430693</v>
      </c>
    </row>
    <row r="796" customFormat="false" ht="15" hidden="false" customHeight="false" outlineLevel="0" collapsed="false">
      <c r="A796" s="24" t="n">
        <v>46269.6666666667</v>
      </c>
      <c r="B796" s="10" t="n">
        <v>3.7568</v>
      </c>
      <c r="C796" s="10" t="n">
        <v>3.7386</v>
      </c>
      <c r="D796" s="10" t="n">
        <f aca="false">IF(OR(B796="",C796="",B796&lt;=0.05,C796&lt;=0.05),0,1)</f>
        <v>1</v>
      </c>
      <c r="E796" s="25" t="n">
        <f aca="false">IF(OR(A796&lt;Resumen!$B$6,A796&gt;=Resumen!$B$7),0,MAX(0,AVERAGEIFS(B748:B844,D748:D844,1)-Resumen!$B$5*AVERAGEIFS(C748:C844,D748:D844,1)))</f>
        <v>0</v>
      </c>
      <c r="F796" s="10" t="n">
        <f aca="false">IF(B796="","",(B796-E796)/Resumen!$B$5)</f>
        <v>2.98395552025417</v>
      </c>
      <c r="G796" s="10" t="n">
        <f aca="false">IF(OR(F796="",C796=""),0,(F796-C796)*0.9)</f>
        <v>-0.679180031771247</v>
      </c>
      <c r="H796" s="26" t="n">
        <f aca="false">IF(A796&lt;Resumen!$B$11,"",IF(H795="",0,H795)+G796/Resumen!$B$9)</f>
        <v>0.406568854264754</v>
      </c>
      <c r="I796" s="26" t="n">
        <f aca="false">IF(H796="","",H796-AVERAGE(H748:H844))</f>
        <v>-0.760953658140404</v>
      </c>
      <c r="J796" s="27" t="n">
        <f aca="false">IF(I796="","",Resumen!$B$10-(MAX(I748:I844)-I796))</f>
        <v>0.470785037978361</v>
      </c>
    </row>
    <row r="797" customFormat="false" ht="15" hidden="false" customHeight="false" outlineLevel="0" collapsed="false">
      <c r="A797" s="24" t="n">
        <v>46269.6770833333</v>
      </c>
      <c r="B797" s="10" t="n">
        <v>4.1976</v>
      </c>
      <c r="C797" s="10" t="n">
        <v>3.1332</v>
      </c>
      <c r="D797" s="10" t="n">
        <f aca="false">IF(OR(B797="",C797="",B797&lt;=0.05,C797&lt;=0.05),0,1)</f>
        <v>1</v>
      </c>
      <c r="E797" s="25" t="n">
        <f aca="false">IF(OR(A797&lt;Resumen!$B$6,A797&gt;=Resumen!$B$7),0,MAX(0,AVERAGEIFS(B749:B845,D749:D845,1)-Resumen!$B$5*AVERAGEIFS(C749:C845,D749:D845,1)))</f>
        <v>0</v>
      </c>
      <c r="F797" s="10" t="n">
        <f aca="false">IF(B797="","",(B797-E797)/Resumen!$B$5)</f>
        <v>3.3340746624305</v>
      </c>
      <c r="G797" s="10" t="n">
        <f aca="false">IF(OR(F797="",C797=""),0,(F797-C797)*0.9)</f>
        <v>0.180787196187451</v>
      </c>
      <c r="H797" s="26" t="n">
        <f aca="false">IF(A797&lt;Resumen!$B$11,"",IF(H796="",0,H796)+G797/Resumen!$B$9)</f>
        <v>0.415114464333311</v>
      </c>
      <c r="I797" s="26" t="n">
        <f aca="false">IF(H797="","",H797-AVERAGE(H749:H845))</f>
        <v>-0.75283404354855</v>
      </c>
      <c r="J797" s="27" t="n">
        <f aca="false">IF(I797="","",Resumen!$B$10-(MAX(I749:I845)-I797))</f>
        <v>0.478904652570215</v>
      </c>
    </row>
    <row r="798" customFormat="false" ht="15" hidden="false" customHeight="false" outlineLevel="0" collapsed="false">
      <c r="A798" s="24" t="n">
        <v>46269.6875</v>
      </c>
      <c r="B798" s="10" t="n">
        <v>3.0768</v>
      </c>
      <c r="C798" s="10" t="n">
        <v>3.0884</v>
      </c>
      <c r="D798" s="10" t="n">
        <f aca="false">IF(OR(B798="",C798="",B798&lt;=0.05,C798&lt;=0.05),0,1)</f>
        <v>1</v>
      </c>
      <c r="E798" s="25" t="n">
        <f aca="false">IF(OR(A798&lt;Resumen!$B$6,A798&gt;=Resumen!$B$7),0,MAX(0,AVERAGEIFS(B750:B846,D750:D846,1)-Resumen!$B$5*AVERAGEIFS(C750:C846,D750:D846,1)))</f>
        <v>0</v>
      </c>
      <c r="F798" s="10" t="n">
        <f aca="false">IF(B798="","",(B798-E798)/Resumen!$B$5)</f>
        <v>2.4438443208896</v>
      </c>
      <c r="G798" s="10" t="n">
        <f aca="false">IF(OR(F798="",C798=""),0,(F798-C798)*0.9)</f>
        <v>-0.580100111199364</v>
      </c>
      <c r="H798" s="26" t="n">
        <f aca="false">IF(A798&lt;Resumen!$B$11,"",IF(H797="",0,H797)+G798/Resumen!$B$9)</f>
        <v>0.387693776056823</v>
      </c>
      <c r="I798" s="26" t="n">
        <f aca="false">IF(H798="","",H798-AVERAGE(H750:H846))</f>
        <v>-0.780524499843239</v>
      </c>
      <c r="J798" s="27" t="n">
        <f aca="false">IF(I798="","",Resumen!$B$10-(MAX(I750:I846)-I798))</f>
        <v>0.451214196275526</v>
      </c>
    </row>
    <row r="799" customFormat="false" ht="15" hidden="false" customHeight="false" outlineLevel="0" collapsed="false">
      <c r="A799" s="24" t="n">
        <v>46269.6979166667</v>
      </c>
      <c r="B799" s="10" t="n">
        <v>3.1069</v>
      </c>
      <c r="C799" s="10" t="n">
        <v>3.1897</v>
      </c>
      <c r="D799" s="10" t="n">
        <f aca="false">IF(OR(B799="",C799="",B799&lt;=0.05,C799&lt;=0.05),0,1)</f>
        <v>1</v>
      </c>
      <c r="E799" s="25" t="n">
        <f aca="false">IF(OR(A799&lt;Resumen!$B$6,A799&gt;=Resumen!$B$7),0,MAX(0,AVERAGEIFS(B751:B847,D751:D847,1)-Resumen!$B$5*AVERAGEIFS(C751:C847,D751:D847,1)))</f>
        <v>0.15021132886598</v>
      </c>
      <c r="F799" s="10" t="n">
        <f aca="false">IF(B799="","",(B799-E799)/Resumen!$B$5)</f>
        <v>2.34844215340272</v>
      </c>
      <c r="G799" s="10" t="n">
        <f aca="false">IF(OR(F799="",C799=""),0,(F799-C799)*0.9)</f>
        <v>-0.757132061937555</v>
      </c>
      <c r="H799" s="26" t="n">
        <f aca="false">IF(A799&lt;Resumen!$B$11,"",IF(H798="",0,H798)+G799/Resumen!$B$9)</f>
        <v>0.351904983995398</v>
      </c>
      <c r="I799" s="26" t="n">
        <f aca="false">IF(H799="","",H799-AVERAGE(H751:H847))</f>
        <v>-0.815905246163026</v>
      </c>
      <c r="J799" s="27" t="n">
        <f aca="false">IF(I799="","",Resumen!$B$10-(MAX(I751:I847)-I799))</f>
        <v>0.415833449955739</v>
      </c>
    </row>
    <row r="800" customFormat="false" ht="15" hidden="false" customHeight="false" outlineLevel="0" collapsed="false">
      <c r="A800" s="24" t="n">
        <v>46269.7083333333</v>
      </c>
      <c r="B800" s="10" t="n">
        <v>4.4489</v>
      </c>
      <c r="C800" s="10" t="n">
        <v>2.6373</v>
      </c>
      <c r="D800" s="10" t="n">
        <f aca="false">IF(OR(B800="",C800="",B800&lt;=0.05,C800&lt;=0.05),0,1)</f>
        <v>1</v>
      </c>
      <c r="E800" s="25" t="n">
        <f aca="false">IF(OR(A800&lt;Resumen!$B$6,A800&gt;=Resumen!$B$7),0,MAX(0,AVERAGEIFS(B752:B848,D752:D848,1)-Resumen!$B$5*AVERAGEIFS(C752:C848,D752:D848,1)))</f>
        <v>0.156101138144331</v>
      </c>
      <c r="F800" s="10" t="n">
        <f aca="false">IF(B800="","",(B800-E800)/Resumen!$B$5)</f>
        <v>3.40968932633492</v>
      </c>
      <c r="G800" s="10" t="n">
        <f aca="false">IF(OR(F800="",C800=""),0,(F800-C800)*0.9)</f>
        <v>0.695150393701432</v>
      </c>
      <c r="H800" s="26" t="n">
        <f aca="false">IF(A800&lt;Resumen!$B$11,"",IF(H799="",0,H799)+G800/Resumen!$B$9)</f>
        <v>0.384763971406303</v>
      </c>
      <c r="I800" s="26" t="n">
        <f aca="false">IF(H800="","",H800-AVERAGE(H752:H848))</f>
        <v>-0.782583855883306</v>
      </c>
      <c r="J800" s="27" t="n">
        <f aca="false">IF(I800="","",Resumen!$B$10-(MAX(I752:I848)-I800))</f>
        <v>0.449154840235459</v>
      </c>
    </row>
    <row r="801" customFormat="false" ht="15" hidden="false" customHeight="false" outlineLevel="0" collapsed="false">
      <c r="A801" s="24" t="n">
        <v>46269.71875</v>
      </c>
      <c r="B801" s="10" t="n">
        <v>4.5454</v>
      </c>
      <c r="C801" s="10" t="n">
        <v>2.7158</v>
      </c>
      <c r="D801" s="10" t="n">
        <f aca="false">IF(OR(B801="",C801="",B801&lt;=0.05,C801&lt;=0.05),0,1)</f>
        <v>1</v>
      </c>
      <c r="E801" s="25" t="n">
        <f aca="false">IF(OR(A801&lt;Resumen!$B$6,A801&gt;=Resumen!$B$7),0,MAX(0,AVERAGEIFS(B753:B849,D753:D849,1)-Resumen!$B$5*AVERAGEIFS(C753:C849,D753:D849,1)))</f>
        <v>0.147039306185568</v>
      </c>
      <c r="F801" s="10" t="n">
        <f aca="false">IF(B801="","",(B801-E801)/Resumen!$B$5)</f>
        <v>3.49353510231488</v>
      </c>
      <c r="G801" s="10" t="n">
        <f aca="false">IF(OR(F801="",C801=""),0,(F801-C801)*0.9)</f>
        <v>0.699961592083391</v>
      </c>
      <c r="H801" s="26" t="n">
        <f aca="false">IF(A801&lt;Resumen!$B$11,"",IF(H800="",0,H800)+G801/Resumen!$B$9)</f>
        <v>0.417850378823722</v>
      </c>
      <c r="I801" s="26" t="n">
        <f aca="false">IF(H801="","",H801-AVERAGE(H753:H849))</f>
        <v>-0.748476637372035</v>
      </c>
      <c r="J801" s="27" t="n">
        <f aca="false">IF(I801="","",Resumen!$B$10-(MAX(I753:I849)-I801))</f>
        <v>0.48326205874673</v>
      </c>
    </row>
    <row r="802" customFormat="false" ht="15" hidden="false" customHeight="false" outlineLevel="0" collapsed="false">
      <c r="A802" s="24" t="n">
        <v>46269.7291666667</v>
      </c>
      <c r="B802" s="10" t="n">
        <v>5.2141</v>
      </c>
      <c r="C802" s="10" t="n">
        <v>2.7329</v>
      </c>
      <c r="D802" s="10" t="n">
        <f aca="false">IF(OR(B802="",C802="",B802&lt;=0.05,C802&lt;=0.05),0,1)</f>
        <v>1</v>
      </c>
      <c r="E802" s="25" t="n">
        <f aca="false">IF(OR(A802&lt;Resumen!$B$6,A802&gt;=Resumen!$B$7),0,MAX(0,AVERAGEIFS(B754:B850,D754:D850,1)-Resumen!$B$5*AVERAGEIFS(C754:C850,D754:D850,1)))</f>
        <v>0.129898106185567</v>
      </c>
      <c r="F802" s="10" t="n">
        <f aca="false">IF(B802="","",(B802-E802)/Resumen!$B$5)</f>
        <v>4.038285856882</v>
      </c>
      <c r="G802" s="10" t="n">
        <f aca="false">IF(OR(F802="",C802=""),0,(F802-C802)*0.9)</f>
        <v>1.1748472711938</v>
      </c>
      <c r="H802" s="26" t="n">
        <f aca="false">IF(A802&lt;Resumen!$B$11,"",IF(H801="",0,H801)+G802/Resumen!$B$9)</f>
        <v>0.473384105113279</v>
      </c>
      <c r="I802" s="26" t="n">
        <f aca="false">IF(H802="","",H802-AVERAGE(H754:H850))</f>
        <v>-0.691095415018919</v>
      </c>
      <c r="J802" s="27" t="n">
        <f aca="false">IF(I802="","",Resumen!$B$10-(MAX(I754:I850)-I802))</f>
        <v>0.540643281099846</v>
      </c>
    </row>
    <row r="803" customFormat="false" ht="15" hidden="false" customHeight="false" outlineLevel="0" collapsed="false">
      <c r="A803" s="24" t="n">
        <v>46269.7395833333</v>
      </c>
      <c r="B803" s="10" t="n">
        <v>7.0071</v>
      </c>
      <c r="C803" s="10" t="n">
        <v>2.9806</v>
      </c>
      <c r="D803" s="10" t="n">
        <f aca="false">IF(OR(B803="",C803="",B803&lt;=0.05,C803&lt;=0.05),0,1)</f>
        <v>1</v>
      </c>
      <c r="E803" s="25" t="n">
        <f aca="false">IF(OR(A803&lt;Resumen!$B$6,A803&gt;=Resumen!$B$7),0,MAX(0,AVERAGEIFS(B755:B851,D755:D851,1)-Resumen!$B$5*AVERAGEIFS(C755:C851,D755:D851,1)))</f>
        <v>0.139598111340207</v>
      </c>
      <c r="F803" s="10" t="n">
        <f aca="false">IF(B803="","",(B803-E803)/Resumen!$B$5)</f>
        <v>5.45472747312136</v>
      </c>
      <c r="G803" s="10" t="n">
        <f aca="false">IF(OR(F803="",C803=""),0,(F803-C803)*0.9)</f>
        <v>2.22671472580923</v>
      </c>
      <c r="H803" s="26" t="n">
        <f aca="false">IF(A803&lt;Resumen!$B$11,"",IF(H802="",0,H802)+G803/Resumen!$B$9)</f>
        <v>0.578638438284912</v>
      </c>
      <c r="I803" s="26" t="n">
        <f aca="false">IF(H803="","",H803-AVERAGE(H755:H851))</f>
        <v>-0.584078794124806</v>
      </c>
      <c r="J803" s="27" t="n">
        <f aca="false">IF(I803="","",Resumen!$B$10-(MAX(I755:I851)-I803))</f>
        <v>0.647659901993959</v>
      </c>
    </row>
    <row r="804" customFormat="false" ht="15" hidden="false" customHeight="false" outlineLevel="0" collapsed="false">
      <c r="A804" s="24" t="n">
        <v>46269.75</v>
      </c>
      <c r="B804" s="10" t="n">
        <v>4.7671</v>
      </c>
      <c r="C804" s="10" t="n">
        <v>3.1466</v>
      </c>
      <c r="D804" s="10" t="n">
        <f aca="false">IF(OR(B804="",C804="",B804&lt;=0.05,C804&lt;=0.05),0,1)</f>
        <v>1</v>
      </c>
      <c r="E804" s="25" t="n">
        <f aca="false">IF(OR(A804&lt;Resumen!$B$6,A804&gt;=Resumen!$B$7),0,MAX(0,AVERAGEIFS(B756:B852,D756:D852,1)-Resumen!$B$5*AVERAGEIFS(C756:C852,D756:D852,1)))</f>
        <v>0.144585865979381</v>
      </c>
      <c r="F804" s="10" t="n">
        <f aca="false">IF(B804="","",(B804-E804)/Resumen!$B$5)</f>
        <v>3.67157596030232</v>
      </c>
      <c r="G804" s="10" t="n">
        <f aca="false">IF(OR(F804="",C804=""),0,(F804-C804)*0.9)</f>
        <v>0.472478364272087</v>
      </c>
      <c r="H804" s="26" t="n">
        <f aca="false">IF(A804&lt;Resumen!$B$11,"",IF(H803="",0,H803)+G804/Resumen!$B$9)</f>
        <v>0.600971966057047</v>
      </c>
      <c r="I804" s="26" t="n">
        <f aca="false">IF(H804="","",H804-AVERAGE(H756:H852))</f>
        <v>-0.559921064544463</v>
      </c>
      <c r="J804" s="27" t="n">
        <f aca="false">IF(I804="","",Resumen!$B$10-(MAX(I756:I852)-I804))</f>
        <v>0.671817631574302</v>
      </c>
    </row>
    <row r="805" customFormat="false" ht="15" hidden="false" customHeight="false" outlineLevel="0" collapsed="false">
      <c r="A805" s="24" t="n">
        <v>46269.7604166667</v>
      </c>
      <c r="B805" s="10" t="n">
        <v>5.7081</v>
      </c>
      <c r="C805" s="10" t="n">
        <v>2.7322</v>
      </c>
      <c r="D805" s="10" t="n">
        <f aca="false">IF(OR(B805="",C805="",B805&lt;=0.05,C805&lt;=0.05),0,1)</f>
        <v>1</v>
      </c>
      <c r="E805" s="25" t="n">
        <f aca="false">IF(OR(A805&lt;Resumen!$B$6,A805&gt;=Resumen!$B$7),0,MAX(0,AVERAGEIFS(B757:B853,D757:D853,1)-Resumen!$B$5*AVERAGEIFS(C757:C853,D757:D853,1)))</f>
        <v>0.148260796907216</v>
      </c>
      <c r="F805" s="10" t="n">
        <f aca="false">IF(B805="","",(B805-E805)/Resumen!$B$5)</f>
        <v>4.41607561802445</v>
      </c>
      <c r="G805" s="10" t="n">
        <f aca="false">IF(OR(F805="",C805=""),0,(F805-C805)*0.9)</f>
        <v>1.51548805622201</v>
      </c>
      <c r="H805" s="26" t="n">
        <f aca="false">IF(A805&lt;Resumen!$B$11,"",IF(H804="",0,H804)+G805/Resumen!$B$9)</f>
        <v>0.672607404103226</v>
      </c>
      <c r="I805" s="26" t="n">
        <f aca="false">IF(H805="","",H805-AVERAGE(H757:H853))</f>
        <v>-0.486353970992072</v>
      </c>
      <c r="J805" s="27" t="n">
        <f aca="false">IF(I805="","",Resumen!$B$10-(MAX(I757:I853)-I805))</f>
        <v>0.745384725126693</v>
      </c>
    </row>
    <row r="806" customFormat="false" ht="15" hidden="false" customHeight="false" outlineLevel="0" collapsed="false">
      <c r="A806" s="24" t="n">
        <v>46269.7708333333</v>
      </c>
      <c r="B806" s="10" t="n">
        <v>5.5789</v>
      </c>
      <c r="C806" s="10" t="n">
        <v>2.3114</v>
      </c>
      <c r="D806" s="10" t="n">
        <f aca="false">IF(OR(B806="",C806="",B806&lt;=0.05,C806&lt;=0.05),0,1)</f>
        <v>1</v>
      </c>
      <c r="E806" s="25" t="n">
        <f aca="false">IF(OR(A806&lt;Resumen!$B$6,A806&gt;=Resumen!$B$7),0,MAX(0,AVERAGEIFS(B758:B854,D758:D854,1)-Resumen!$B$5*AVERAGEIFS(C758:C854,D758:D854,1)))</f>
        <v>0.142630910309279</v>
      </c>
      <c r="F806" s="10" t="n">
        <f aca="false">IF(B806="","",(B806-E806)/Resumen!$B$5)</f>
        <v>4.31792620309033</v>
      </c>
      <c r="G806" s="10" t="n">
        <f aca="false">IF(OR(F806="",C806=""),0,(F806-C806)*0.9)</f>
        <v>1.8058735827813</v>
      </c>
      <c r="H806" s="26" t="n">
        <f aca="false">IF(A806&lt;Resumen!$B$11,"",IF(H805="",0,H805)+G806/Resumen!$B$9)</f>
        <v>0.757969043627497</v>
      </c>
      <c r="I806" s="26" t="n">
        <f aca="false">IF(H806="","",H806-AVERAGE(H758:H854))</f>
        <v>-0.398644735318071</v>
      </c>
      <c r="J806" s="27" t="n">
        <f aca="false">IF(I806="","",Resumen!$B$10-(MAX(I758:I854)-I806))</f>
        <v>0.833093960800694</v>
      </c>
    </row>
    <row r="807" customFormat="false" ht="15" hidden="false" customHeight="false" outlineLevel="0" collapsed="false">
      <c r="A807" s="24" t="n">
        <v>46269.78125</v>
      </c>
      <c r="B807" s="10" t="n">
        <v>5.55</v>
      </c>
      <c r="C807" s="10" t="n">
        <v>2.5412</v>
      </c>
      <c r="D807" s="10" t="n">
        <f aca="false">IF(OR(B807="",C807="",B807&lt;=0.05,C807&lt;=0.05),0,1)</f>
        <v>1</v>
      </c>
      <c r="E807" s="25" t="n">
        <f aca="false">IF(OR(A807&lt;Resumen!$B$6,A807&gt;=Resumen!$B$7),0,MAX(0,AVERAGEIFS(B759:B855,D759:D855,1)-Resumen!$B$5*AVERAGEIFS(C759:C855,D759:D855,1)))</f>
        <v>0.150480235051547</v>
      </c>
      <c r="F807" s="10" t="n">
        <f aca="false">IF(B807="","",(B807-E807)/Resumen!$B$5)</f>
        <v>4.28873690623388</v>
      </c>
      <c r="G807" s="10" t="n">
        <f aca="false">IF(OR(F807="",C807=""),0,(F807-C807)*0.9)</f>
        <v>1.57278321561049</v>
      </c>
      <c r="H807" s="26" t="n">
        <f aca="false">IF(A807&lt;Resumen!$B$11,"",IF(H806="",0,H806)+G807/Resumen!$B$9)</f>
        <v>0.832312760253549</v>
      </c>
      <c r="I807" s="26" t="n">
        <f aca="false">IF(H807="","",H807-AVERAGE(H759:H855))</f>
        <v>-0.3220014224623</v>
      </c>
      <c r="J807" s="27" t="n">
        <f aca="false">IF(I807="","",Resumen!$B$10-(MAX(I759:I855)-I807))</f>
        <v>0.909737273656465</v>
      </c>
    </row>
    <row r="808" customFormat="false" ht="15" hidden="false" customHeight="false" outlineLevel="0" collapsed="false">
      <c r="A808" s="24" t="n">
        <v>46269.7916666667</v>
      </c>
      <c r="B808" s="10" t="n">
        <v>5.5202</v>
      </c>
      <c r="C808" s="10" t="n">
        <v>2.2831</v>
      </c>
      <c r="D808" s="10" t="n">
        <f aca="false">IF(OR(B808="",C808="",B808&lt;=0.05,C808&lt;=0.05),0,1)</f>
        <v>1</v>
      </c>
      <c r="E808" s="25" t="n">
        <f aca="false">IF(OR(A808&lt;Resumen!$B$6,A808&gt;=Resumen!$B$7),0,MAX(0,AVERAGEIFS(B760:B856,D760:D856,1)-Resumen!$B$5*AVERAGEIFS(C760:C856,D760:D856,1)))</f>
        <v>0.157607953608248</v>
      </c>
      <c r="F808" s="10" t="n">
        <f aca="false">IF(B808="","",(B808-E808)/Resumen!$B$5)</f>
        <v>4.2594059145288</v>
      </c>
      <c r="G808" s="10" t="n">
        <f aca="false">IF(OR(F808="",C808=""),0,(F808-C808)*0.9)</f>
        <v>1.77867532307592</v>
      </c>
      <c r="H808" s="26" t="n">
        <f aca="false">IF(A808&lt;Resumen!$B$11,"",IF(H807="",0,H807)+G808/Resumen!$B$9)</f>
        <v>0.91638876823484</v>
      </c>
      <c r="I808" s="26" t="n">
        <f aca="false">IF(H808="","",H808-AVERAGE(H760:H856))</f>
        <v>-0.235657578741655</v>
      </c>
      <c r="J808" s="27" t="n">
        <f aca="false">IF(I808="","",Resumen!$B$10-(MAX(I760:I856)-I808))</f>
        <v>0.99608111737711</v>
      </c>
    </row>
    <row r="809" customFormat="false" ht="15" hidden="false" customHeight="false" outlineLevel="0" collapsed="false">
      <c r="A809" s="24" t="n">
        <v>46269.8020833333</v>
      </c>
      <c r="B809" s="10" t="n">
        <v>5.3919</v>
      </c>
      <c r="C809" s="10" t="n">
        <v>2.4334</v>
      </c>
      <c r="D809" s="10" t="n">
        <f aca="false">IF(OR(B809="",C809="",B809&lt;=0.05,C809&lt;=0.05),0,1)</f>
        <v>1</v>
      </c>
      <c r="E809" s="25" t="n">
        <f aca="false">IF(OR(A809&lt;Resumen!$B$6,A809&gt;=Resumen!$B$7),0,MAX(0,AVERAGEIFS(B761:B857,D761:D857,1)-Resumen!$B$5*AVERAGEIFS(C761:C857,D761:D857,1)))</f>
        <v>0.185201518556701</v>
      </c>
      <c r="F809" s="10" t="n">
        <f aca="false">IF(B809="","",(B809-E809)/Resumen!$B$5)</f>
        <v>4.13558259050302</v>
      </c>
      <c r="G809" s="10" t="n">
        <f aca="false">IF(OR(F809="",C809=""),0,(F809-C809)*0.9)</f>
        <v>1.53196433145272</v>
      </c>
      <c r="H809" s="26" t="n">
        <f aca="false">IF(A809&lt;Resumen!$B$11,"",IF(H808="",0,H808)+G809/Resumen!$B$9)</f>
        <v>0.988803021520556</v>
      </c>
      <c r="I809" s="26" t="n">
        <f aca="false">IF(H809="","",H809-AVERAGE(H761:H857))</f>
        <v>-0.161706698812638</v>
      </c>
      <c r="J809" s="27" t="n">
        <f aca="false">IF(I809="","",Resumen!$B$10-(MAX(I761:I857)-I809))</f>
        <v>1.07003199730613</v>
      </c>
    </row>
    <row r="810" customFormat="false" ht="15" hidden="false" customHeight="false" outlineLevel="0" collapsed="false">
      <c r="A810" s="24" t="n">
        <v>46269.8125</v>
      </c>
      <c r="B810" s="10" t="n">
        <v>6.1682</v>
      </c>
      <c r="C810" s="10" t="n">
        <v>2.519</v>
      </c>
      <c r="D810" s="10" t="n">
        <f aca="false">IF(OR(B810="",C810="",B810&lt;=0.05,C810&lt;=0.05),0,1)</f>
        <v>1</v>
      </c>
      <c r="E810" s="25" t="n">
        <f aca="false">IF(OR(A810&lt;Resumen!$B$6,A810&gt;=Resumen!$B$7),0,MAX(0,AVERAGEIFS(B762:B858,D762:D858,1)-Resumen!$B$5*AVERAGEIFS(C762:C858,D762:D858,1)))</f>
        <v>0.161886648453609</v>
      </c>
      <c r="F810" s="10" t="n">
        <f aca="false">IF(B810="","",(B810-E810)/Resumen!$B$5)</f>
        <v>4.77070162950468</v>
      </c>
      <c r="G810" s="10" t="n">
        <f aca="false">IF(OR(F810="",C810=""),0,(F810-C810)*0.9)</f>
        <v>2.02653146655421</v>
      </c>
      <c r="H810" s="26" t="n">
        <f aca="false">IF(A810&lt;Resumen!$B$11,"",IF(H809="",0,H809)+G810/Resumen!$B$9)</f>
        <v>1.08459491425436</v>
      </c>
      <c r="I810" s="26" t="n">
        <f aca="false">IF(H810="","",H810-AVERAGE(H762:H858))</f>
        <v>-0.0633942528433544</v>
      </c>
      <c r="J810" s="27" t="n">
        <f aca="false">IF(I810="","",Resumen!$B$10-(MAX(I762:I858)-I810))</f>
        <v>1.16834444327541</v>
      </c>
    </row>
    <row r="811" customFormat="false" ht="15" hidden="false" customHeight="false" outlineLevel="0" collapsed="false">
      <c r="A811" s="24" t="n">
        <v>46269.8229166667</v>
      </c>
      <c r="B811" s="10" t="n">
        <v>5.8795</v>
      </c>
      <c r="C811" s="10" t="n">
        <v>2.7875</v>
      </c>
      <c r="D811" s="10" t="n">
        <f aca="false">IF(OR(B811="",C811="",B811&lt;=0.05,C811&lt;=0.05),0,1)</f>
        <v>1</v>
      </c>
      <c r="E811" s="25" t="n">
        <f aca="false">IF(OR(A811&lt;Resumen!$B$6,A811&gt;=Resumen!$B$7),0,MAX(0,AVERAGEIFS(B763:B859,D763:D859,1)-Resumen!$B$5*AVERAGEIFS(C763:C859,D763:D859,1)))</f>
        <v>0.162239596907217</v>
      </c>
      <c r="F811" s="10" t="n">
        <f aca="false">IF(B811="","",(B811-E811)/Resumen!$B$5)</f>
        <v>4.54111231381476</v>
      </c>
      <c r="G811" s="10" t="n">
        <f aca="false">IF(OR(F811="",C811=""),0,(F811-C811)*0.9)</f>
        <v>1.57825108243328</v>
      </c>
      <c r="H811" s="26" t="n">
        <f aca="false">IF(A811&lt;Resumen!$B$11,"",IF(H810="",0,H810)+G811/Resumen!$B$9)</f>
        <v>1.15919709087514</v>
      </c>
      <c r="I811" s="26" t="n">
        <f aca="false">IF(H811="","",H811-AVERAGE(H763:H859))</f>
        <v>0.013902230791154</v>
      </c>
      <c r="J811" s="27" t="n">
        <f aca="false">IF(I811="","",Resumen!$B$10-(MAX(I763:I859)-I811))</f>
        <v>1.24564092690992</v>
      </c>
    </row>
    <row r="812" customFormat="false" ht="15" hidden="false" customHeight="false" outlineLevel="0" collapsed="false">
      <c r="A812" s="24" t="n">
        <v>46269.8333333333</v>
      </c>
      <c r="B812" s="10" t="n">
        <v>2.7719</v>
      </c>
      <c r="C812" s="10" t="n">
        <v>2.4328</v>
      </c>
      <c r="D812" s="10" t="n">
        <f aca="false">IF(OR(B812="",C812="",B812&lt;=0.05,C812&lt;=0.05),0,1)</f>
        <v>1</v>
      </c>
      <c r="E812" s="25" t="n">
        <f aca="false">IF(OR(A812&lt;Resumen!$B$6,A812&gt;=Resumen!$B$7),0,MAX(0,AVERAGEIFS(B764:B860,D764:D860,1)-Resumen!$B$5*AVERAGEIFS(C764:C860,D764:D860,1)))</f>
        <v>0.168738923711341</v>
      </c>
      <c r="F812" s="10" t="n">
        <f aca="false">IF(B812="","",(B812-E812)/Resumen!$B$5)</f>
        <v>2.06764183978448</v>
      </c>
      <c r="G812" s="10" t="n">
        <f aca="false">IF(OR(F812="",C812=""),0,(F812-C812)*0.9)</f>
        <v>-0.328642344193969</v>
      </c>
      <c r="H812" s="26" t="n">
        <f aca="false">IF(A812&lt;Resumen!$B$11,"",IF(H811="",0,H811)+G812/Resumen!$B$9)</f>
        <v>1.14366253209706</v>
      </c>
      <c r="I812" s="26" t="n">
        <f aca="false">IF(H812="","",H812-AVERAGE(H764:H860))</f>
        <v>0.00101918632219933</v>
      </c>
      <c r="J812" s="27" t="n">
        <f aca="false">IF(I812="","",Resumen!$B$10-(MAX(I764:I860)-I812))</f>
        <v>1.23275788244096</v>
      </c>
    </row>
    <row r="813" customFormat="false" ht="15" hidden="false" customHeight="false" outlineLevel="0" collapsed="false">
      <c r="A813" s="24" t="n">
        <v>46269.84375</v>
      </c>
      <c r="B813" s="10" t="n">
        <v>3.637</v>
      </c>
      <c r="C813" s="10" t="n">
        <v>2.8494</v>
      </c>
      <c r="D813" s="10" t="n">
        <f aca="false">IF(OR(B813="",C813="",B813&lt;=0.05,C813&lt;=0.05),0,1)</f>
        <v>1</v>
      </c>
      <c r="E813" s="25" t="n">
        <f aca="false">IF(OR(A813&lt;Resumen!$B$6,A813&gt;=Resumen!$B$7),0,MAX(0,AVERAGEIFS(B765:B861,D765:D861,1)-Resumen!$B$5*AVERAGEIFS(C765:C861,D765:D861,1)))</f>
        <v>0.154698412371134</v>
      </c>
      <c r="F813" s="10" t="n">
        <f aca="false">IF(B813="","",(B813-E813)/Resumen!$B$5)</f>
        <v>2.76592659859322</v>
      </c>
      <c r="G813" s="10" t="n">
        <f aca="false">IF(OR(F813="",C813=""),0,(F813-C813)*0.9)</f>
        <v>-0.0751260612661008</v>
      </c>
      <c r="H813" s="26" t="n">
        <f aca="false">IF(A813&lt;Resumen!$B$11,"",IF(H812="",0,H812)+G813/Resumen!$B$9)</f>
        <v>1.14011140657985</v>
      </c>
      <c r="I813" s="26" t="n">
        <f aca="false">IF(H813="","",H813-AVERAGE(H765:H861))</f>
        <v>0.000773349105017029</v>
      </c>
      <c r="J813" s="27" t="n">
        <f aca="false">IF(I813="","",Resumen!$B$10-(MAX(I765:I861)-I813))</f>
        <v>1.23251204522378</v>
      </c>
    </row>
    <row r="814" customFormat="false" ht="15" hidden="false" customHeight="false" outlineLevel="0" collapsed="false">
      <c r="A814" s="24" t="n">
        <v>46269.8541666667</v>
      </c>
      <c r="B814" s="10" t="n">
        <v>4.3594</v>
      </c>
      <c r="C814" s="10" t="n">
        <v>2.4514</v>
      </c>
      <c r="D814" s="10" t="n">
        <f aca="false">IF(OR(B814="",C814="",B814&lt;=0.05,C814&lt;=0.05),0,1)</f>
        <v>1</v>
      </c>
      <c r="E814" s="25" t="n">
        <f aca="false">IF(OR(A814&lt;Resumen!$B$6,A814&gt;=Resumen!$B$7),0,MAX(0,AVERAGEIFS(B766:B862,D766:D862,1)-Resumen!$B$5*AVERAGEIFS(C766:C862,D766:D862,1)))</f>
        <v>0.156578840206186</v>
      </c>
      <c r="F814" s="10" t="n">
        <f aca="false">IF(B814="","",(B814-E814)/Resumen!$B$5)</f>
        <v>3.33822173136919</v>
      </c>
      <c r="G814" s="10" t="n">
        <f aca="false">IF(OR(F814="",C814=""),0,(F814-C814)*0.9)</f>
        <v>0.798139558232274</v>
      </c>
      <c r="H814" s="26" t="n">
        <f aca="false">IF(A814&lt;Resumen!$B$11,"",IF(H813="",0,H813)+G814/Resumen!$B$9)</f>
        <v>1.17783857746794</v>
      </c>
      <c r="I814" s="26" t="n">
        <f aca="false">IF(H814="","",H814-AVERAGE(H766:H862))</f>
        <v>0.0419230248367577</v>
      </c>
      <c r="J814" s="27" t="n">
        <f aca="false">IF(I814="","",Resumen!$B$10-(MAX(I766:I862)-I814))</f>
        <v>1.27366172095552</v>
      </c>
    </row>
    <row r="815" customFormat="false" ht="15" hidden="false" customHeight="false" outlineLevel="0" collapsed="false">
      <c r="A815" s="24" t="n">
        <v>46269.8645833333</v>
      </c>
      <c r="B815" s="10" t="n">
        <v>4.1414</v>
      </c>
      <c r="C815" s="10" t="n">
        <v>2.9577</v>
      </c>
      <c r="D815" s="10" t="n">
        <f aca="false">IF(OR(B815="",C815="",B815&lt;=0.05,C815&lt;=0.05),0,1)</f>
        <v>1</v>
      </c>
      <c r="E815" s="25" t="n">
        <f aca="false">IF(OR(A815&lt;Resumen!$B$6,A815&gt;=Resumen!$B$7),0,MAX(0,AVERAGEIFS(B767:B863,D767:D863,1)-Resumen!$B$5*AVERAGEIFS(C767:C863,D767:D863,1)))</f>
        <v>0.147090648453608</v>
      </c>
      <c r="F815" s="10" t="n">
        <f aca="false">IF(B815="","",(B815-E815)/Resumen!$B$5)</f>
        <v>3.17260472720126</v>
      </c>
      <c r="G815" s="10" t="n">
        <f aca="false">IF(OR(F815="",C815=""),0,(F815-C815)*0.9)</f>
        <v>0.193414254481138</v>
      </c>
      <c r="H815" s="26" t="n">
        <f aca="false">IF(A815&lt;Resumen!$B$11,"",IF(H814="",0,H814)+G815/Resumen!$B$9)</f>
        <v>1.18698105456451</v>
      </c>
      <c r="I815" s="26" t="n">
        <f aca="false">IF(H815="","",H815-AVERAGE(H767:H863))</f>
        <v>0.0549852355001761</v>
      </c>
      <c r="J815" s="27" t="n">
        <f aca="false">IF(I815="","",Resumen!$B$10-(MAX(I767:I863)-I815))</f>
        <v>1.28672393161894</v>
      </c>
    </row>
    <row r="816" customFormat="false" ht="15" hidden="false" customHeight="false" outlineLevel="0" collapsed="false">
      <c r="A816" s="24" t="n">
        <v>46269.875</v>
      </c>
      <c r="B816" s="10" t="n">
        <v>3.2968</v>
      </c>
      <c r="C816" s="10" t="n">
        <v>2.6015</v>
      </c>
      <c r="D816" s="10" t="n">
        <f aca="false">IF(OR(B816="",C816="",B816&lt;=0.05,C816&lt;=0.05),0,1)</f>
        <v>1</v>
      </c>
      <c r="E816" s="25" t="n">
        <f aca="false">IF(OR(A816&lt;Resumen!$B$6,A816&gt;=Resumen!$B$7),0,MAX(0,AVERAGEIFS(B768:B864,D768:D864,1)-Resumen!$B$5*AVERAGEIFS(C768:C864,D768:D864,1)))</f>
        <v>0.14334279072165</v>
      </c>
      <c r="F816" s="10" t="n">
        <f aca="false">IF(B816="","",(B816-E816)/Resumen!$B$5)</f>
        <v>2.50473169918852</v>
      </c>
      <c r="G816" s="10" t="n">
        <f aca="false">IF(OR(F816="",C816=""),0,(F816-C816)*0.9)</f>
        <v>-0.0870914707303293</v>
      </c>
      <c r="H816" s="26" t="n">
        <f aca="false">IF(A816&lt;Resumen!$B$11,"",IF(H815="",0,H815)+G816/Resumen!$B$9)</f>
        <v>1.18286433742495</v>
      </c>
      <c r="I816" s="26" t="n">
        <f aca="false">IF(H816="","",H816-AVERAGE(H768:H864))</f>
        <v>0.0550923010560043</v>
      </c>
      <c r="J816" s="27" t="n">
        <f aca="false">IF(I816="","",Resumen!$B$10-(MAX(I768:I864)-I816))</f>
        <v>1.28683099717477</v>
      </c>
    </row>
    <row r="817" customFormat="false" ht="15" hidden="false" customHeight="false" outlineLevel="0" collapsed="false">
      <c r="A817" s="24" t="n">
        <v>46269.8854166667</v>
      </c>
      <c r="B817" s="10" t="n">
        <v>3.737</v>
      </c>
      <c r="C817" s="10" t="n">
        <v>2.5781</v>
      </c>
      <c r="D817" s="10" t="n">
        <f aca="false">IF(OR(B817="",C817="",B817&lt;=0.05,C817&lt;=0.05),0,1)</f>
        <v>1</v>
      </c>
      <c r="E817" s="25" t="n">
        <f aca="false">IF(OR(A817&lt;Resumen!$B$6,A817&gt;=Resumen!$B$7),0,MAX(0,AVERAGEIFS(B769:B865,D769:D865,1)-Resumen!$B$5*AVERAGEIFS(C769:C865,D769:D865,1)))</f>
        <v>0.136936456701031</v>
      </c>
      <c r="F817" s="10" t="n">
        <f aca="false">IF(B817="","",(B817-E817)/Resumen!$B$5)</f>
        <v>2.85946270317631</v>
      </c>
      <c r="G817" s="10" t="n">
        <f aca="false">IF(OR(F817="",C817=""),0,(F817-C817)*0.9)</f>
        <v>0.253226432858676</v>
      </c>
      <c r="H817" s="26" t="n">
        <f aca="false">IF(A817&lt;Resumen!$B$11,"",IF(H816="",0,H816)+G817/Resumen!$B$9)</f>
        <v>1.19483406979481</v>
      </c>
      <c r="I817" s="26" t="n">
        <f aca="false">IF(H817="","",H817-AVERAGE(H769:H865))</f>
        <v>0.0716831282923056</v>
      </c>
      <c r="J817" s="27" t="n">
        <f aca="false">IF(I817="","",Resumen!$B$10-(MAX(I769:I865)-I817))</f>
        <v>1.32283776357495</v>
      </c>
    </row>
    <row r="818" customFormat="false" ht="15" hidden="false" customHeight="false" outlineLevel="0" collapsed="false">
      <c r="A818" s="24" t="n">
        <v>46269.8958333333</v>
      </c>
      <c r="B818" s="10" t="n">
        <v>3.1102</v>
      </c>
      <c r="C818" s="10" t="n">
        <v>2.1798</v>
      </c>
      <c r="D818" s="10" t="n">
        <f aca="false">IF(OR(B818="",C818="",B818&lt;=0.05,C818&lt;=0.05),0,1)</f>
        <v>1</v>
      </c>
      <c r="E818" s="25" t="n">
        <f aca="false">IF(OR(A818&lt;Resumen!$B$6,A818&gt;=Resumen!$B$7),0,MAX(0,AVERAGEIFS(B770:B866,D770:D866,1)-Resumen!$B$5*AVERAGEIFS(C770:C866,D770:D866,1)))</f>
        <v>0.153019396907217</v>
      </c>
      <c r="F818" s="10" t="n">
        <f aca="false">IF(B818="","",(B818-E818)/Resumen!$B$5)</f>
        <v>2.34883288569721</v>
      </c>
      <c r="G818" s="10" t="n">
        <f aca="false">IF(OR(F818="",C818=""),0,(F818-C818)*0.9)</f>
        <v>0.152129597127486</v>
      </c>
      <c r="H818" s="26" t="n">
        <f aca="false">IF(A818&lt;Resumen!$B$11,"",IF(H817="",0,H817)+G818/Resumen!$B$9)</f>
        <v>1.20202506696914</v>
      </c>
      <c r="I818" s="26" t="n">
        <f aca="false">IF(H818="","",H818-AVERAGE(H770:H866))</f>
        <v>0.0831321821469127</v>
      </c>
      <c r="J818" s="27" t="n">
        <f aca="false">IF(I818="","",Resumen!$B$10-(MAX(I770:I866)-I818))</f>
        <v>1.33428681742956</v>
      </c>
    </row>
    <row r="819" customFormat="false" ht="15" hidden="false" customHeight="false" outlineLevel="0" collapsed="false">
      <c r="A819" s="24" t="n">
        <v>46269.90625</v>
      </c>
      <c r="B819" s="10" t="n">
        <v>4.3439</v>
      </c>
      <c r="C819" s="10" t="n">
        <v>3.2377</v>
      </c>
      <c r="D819" s="10" t="n">
        <f aca="false">IF(OR(B819="",C819="",B819&lt;=0.05,C819&lt;=0.05),0,1)</f>
        <v>1</v>
      </c>
      <c r="E819" s="25" t="n">
        <f aca="false">IF(OR(A819&lt;Resumen!$B$6,A819&gt;=Resumen!$B$7),0,MAX(0,AVERAGEIFS(B771:B867,D771:D867,1)-Resumen!$B$5*AVERAGEIFS(C771:C867,D771:D867,1)))</f>
        <v>0.157317726804124</v>
      </c>
      <c r="F819" s="10" t="n">
        <f aca="false">IF(B819="","",(B819-E819)/Resumen!$B$5)</f>
        <v>3.32532348943278</v>
      </c>
      <c r="G819" s="10" t="n">
        <f aca="false">IF(OR(F819="",C819=""),0,(F819-C819)*0.9)</f>
        <v>0.0788611404895063</v>
      </c>
      <c r="H819" s="26" t="n">
        <f aca="false">IF(A819&lt;Resumen!$B$11,"",IF(H818="",0,H818)+G819/Resumen!$B$9)</f>
        <v>1.20575274553486</v>
      </c>
      <c r="I819" s="26" t="n">
        <f aca="false">IF(H819="","",H819-AVERAGE(H771:H867))</f>
        <v>0.0911545834778855</v>
      </c>
      <c r="J819" s="27" t="n">
        <f aca="false">IF(I819="","",Resumen!$B$10-(MAX(I771:I867)-I819))</f>
        <v>1.34546546283238</v>
      </c>
    </row>
    <row r="820" customFormat="false" ht="15" hidden="false" customHeight="false" outlineLevel="0" collapsed="false">
      <c r="A820" s="24" t="n">
        <v>46269.9166666667</v>
      </c>
      <c r="B820" s="10" t="n">
        <v>3.3784</v>
      </c>
      <c r="C820" s="10" t="n">
        <v>2.3361</v>
      </c>
      <c r="D820" s="10" t="n">
        <f aca="false">IF(OR(B820="",C820="",B820&lt;=0.05,C820&lt;=0.05),0,1)</f>
        <v>1</v>
      </c>
      <c r="E820" s="25" t="n">
        <f aca="false">IF(OR(A820&lt;Resumen!$B$6,A820&gt;=Resumen!$B$7),0,MAX(0,AVERAGEIFS(B772:B868,D772:D868,1)-Resumen!$B$5*AVERAGEIFS(C772:C868,D772:D868,1)))</f>
        <v>0.161979345360825</v>
      </c>
      <c r="F820" s="10" t="n">
        <f aca="false">IF(B820="","",(B820-E820)/Resumen!$B$5)</f>
        <v>2.55474237858552</v>
      </c>
      <c r="G820" s="10" t="n">
        <f aca="false">IF(OR(F820="",C820=""),0,(F820-C820)*0.9)</f>
        <v>0.196778140726972</v>
      </c>
      <c r="H820" s="26" t="n">
        <f aca="false">IF(A820&lt;Resumen!$B$11,"",IF(H819="",0,H819)+G820/Resumen!$B$9)</f>
        <v>1.21505422979996</v>
      </c>
      <c r="I820" s="26" t="n">
        <f aca="false">IF(H820="","",H820-AVERAGE(H772:H868))</f>
        <v>0.10477664310811</v>
      </c>
      <c r="J820" s="27" t="n">
        <f aca="false">IF(I820="","",Resumen!$B$10-(MAX(I772:I868)-I820))</f>
        <v>1.40159372723944</v>
      </c>
    </row>
    <row r="821" customFormat="false" ht="15" hidden="false" customHeight="false" outlineLevel="0" collapsed="false">
      <c r="A821" s="24" t="n">
        <v>46269.9270833333</v>
      </c>
      <c r="B821" s="10" t="n">
        <v>3.3882</v>
      </c>
      <c r="C821" s="10" t="n">
        <v>2.3107</v>
      </c>
      <c r="D821" s="10" t="n">
        <f aca="false">IF(OR(B821="",C821="",B821&lt;=0.05,C821&lt;=0.05),0,1)</f>
        <v>1</v>
      </c>
      <c r="E821" s="25" t="n">
        <f aca="false">IF(OR(A821&lt;Resumen!$B$6,A821&gt;=Resumen!$B$7),0,MAX(0,AVERAGEIFS(B773:B869,D773:D869,1)-Resumen!$B$5*AVERAGEIFS(C773:C869,D773:D869,1)))</f>
        <v>0.175988861855671</v>
      </c>
      <c r="F821" s="10" t="n">
        <f aca="false">IF(B821="","",(B821-E821)/Resumen!$B$5)</f>
        <v>2.55139883887556</v>
      </c>
      <c r="G821" s="10" t="n">
        <f aca="false">IF(OR(F821="",C821=""),0,(F821-C821)*0.9)</f>
        <v>0.216628954988003</v>
      </c>
      <c r="H821" s="26" t="n">
        <f aca="false">IF(A821&lt;Resumen!$B$11,"",IF(H820="",0,H820)+G821/Resumen!$B$9)</f>
        <v>1.22529404001841</v>
      </c>
      <c r="I821" s="26" t="n">
        <f aca="false">IF(H821="","",H821-AVERAGE(H773:H869))</f>
        <v>0.11904874158768</v>
      </c>
      <c r="J821" s="27" t="n">
        <f aca="false">IF(I821="","",Resumen!$B$10-(MAX(I773:I869)-I821))</f>
        <v>1.4433952068972</v>
      </c>
    </row>
    <row r="822" customFormat="false" ht="15" hidden="false" customHeight="false" outlineLevel="0" collapsed="false">
      <c r="A822" s="24" t="n">
        <v>46269.9375</v>
      </c>
      <c r="B822" s="10" t="n">
        <v>3.2289</v>
      </c>
      <c r="C822" s="10" t="n">
        <v>1.8347</v>
      </c>
      <c r="D822" s="10" t="n">
        <f aca="false">IF(OR(B822="",C822="",B822&lt;=0.05,C822&lt;=0.05),0,1)</f>
        <v>1</v>
      </c>
      <c r="E822" s="25" t="n">
        <f aca="false">IF(OR(A822&lt;Resumen!$B$6,A822&gt;=Resumen!$B$7),0,MAX(0,AVERAGEIFS(B774:B870,D774:D870,1)-Resumen!$B$5*AVERAGEIFS(C774:C870,D774:D870,1)))</f>
        <v>0.185092181443299</v>
      </c>
      <c r="F822" s="10" t="n">
        <f aca="false">IF(B822="","",(B822-E822)/Resumen!$B$5)</f>
        <v>2.41763925222931</v>
      </c>
      <c r="G822" s="10" t="n">
        <f aca="false">IF(OR(F822="",C822=""),0,(F822-C822)*0.9)</f>
        <v>0.524645327006379</v>
      </c>
      <c r="H822" s="26" t="n">
        <f aca="false">IF(A822&lt;Resumen!$B$11,"",IF(H821="",0,H821)+G822/Resumen!$B$9)</f>
        <v>1.25009344220748</v>
      </c>
      <c r="I822" s="26" t="n">
        <f aca="false">IF(H822="","",H822-AVERAGE(H774:H870))</f>
        <v>0.147757624595588</v>
      </c>
      <c r="J822" s="27" t="n">
        <f aca="false">IF(I822="","",Resumen!$B$10-(MAX(I774:I870)-I822))</f>
        <v>1.53036306033171</v>
      </c>
    </row>
    <row r="823" customFormat="false" ht="15" hidden="false" customHeight="false" outlineLevel="0" collapsed="false">
      <c r="A823" s="24" t="n">
        <v>46269.9479166667</v>
      </c>
      <c r="B823" s="10" t="n">
        <v>2.8119</v>
      </c>
      <c r="C823" s="10" t="n">
        <v>1.8291</v>
      </c>
      <c r="D823" s="10" t="n">
        <f aca="false">IF(OR(B823="",C823="",B823&lt;=0.05,C823&lt;=0.05),0,1)</f>
        <v>1</v>
      </c>
      <c r="E823" s="25" t="n">
        <f aca="false">IF(OR(A823&lt;Resumen!$B$6,A823&gt;=Resumen!$B$7),0,MAX(0,AVERAGEIFS(B775:B871,D775:D871,1)-Resumen!$B$5*AVERAGEIFS(C775:C871,D775:D871,1)))</f>
        <v>0.197574741237114</v>
      </c>
      <c r="F823" s="10" t="n">
        <f aca="false">IF(B823="","",(B823-E823)/Resumen!$B$5)</f>
        <v>2.07650933976401</v>
      </c>
      <c r="G823" s="10" t="n">
        <f aca="false">IF(OR(F823="",C823=""),0,(F823-C823)*0.9)</f>
        <v>0.222668405787607</v>
      </c>
      <c r="H823" s="26" t="n">
        <f aca="false">IF(A823&lt;Resumen!$B$11,"",IF(H822="",0,H822)+G823/Resumen!$B$9)</f>
        <v>1.26061873056073</v>
      </c>
      <c r="I823" s="26" t="n">
        <f aca="false">IF(H823="","",H823-AVERAGE(H775:H871))</f>
        <v>0.161953586685099</v>
      </c>
      <c r="J823" s="27" t="n">
        <f aca="false">IF(I823="","",Resumen!$B$10-(MAX(I775:I871)-I823))</f>
        <v>1.62196126034639</v>
      </c>
    </row>
    <row r="824" customFormat="false" ht="15" hidden="false" customHeight="false" outlineLevel="0" collapsed="false">
      <c r="A824" s="24" t="n">
        <v>46269.9583333333</v>
      </c>
      <c r="B824" s="10" t="n">
        <v>3.0437</v>
      </c>
      <c r="C824" s="10" t="n">
        <v>2.1552</v>
      </c>
      <c r="D824" s="10" t="n">
        <f aca="false">IF(OR(B824="",C824="",B824&lt;=0.05,C824&lt;=0.05),0,1)</f>
        <v>1</v>
      </c>
      <c r="E824" s="25" t="n">
        <f aca="false">IF(OR(A824&lt;Resumen!$B$6,A824&gt;=Resumen!$B$7),0,MAX(0,AVERAGEIFS(B776:B872,D776:D872,1)-Resumen!$B$5*AVERAGEIFS(C776:C872,D776:D872,1)))</f>
        <v>0.229991927835052</v>
      </c>
      <c r="F824" s="10" t="n">
        <f aca="false">IF(B824="","",(B824-E824)/Resumen!$B$5)</f>
        <v>2.2348753551747</v>
      </c>
      <c r="G824" s="10" t="n">
        <f aca="false">IF(OR(F824="",C824=""),0,(F824-C824)*0.9)</f>
        <v>0.0717078196572306</v>
      </c>
      <c r="H824" s="26" t="n">
        <f aca="false">IF(A824&lt;Resumen!$B$11,"",IF(H823="",0,H823)+G824/Resumen!$B$9)</f>
        <v>1.26400827959175</v>
      </c>
      <c r="I824" s="26" t="n">
        <f aca="false">IF(H824="","",H824-AVERAGE(H776:H872))</f>
        <v>0.168102012587445</v>
      </c>
      <c r="J824" s="27" t="n">
        <f aca="false">IF(I824="","",Resumen!$B$10-(MAX(I776:I872)-I824))</f>
        <v>1.67688063778446</v>
      </c>
    </row>
    <row r="825" customFormat="false" ht="15" hidden="false" customHeight="false" outlineLevel="0" collapsed="false">
      <c r="A825" s="24" t="n">
        <v>46269.96875</v>
      </c>
      <c r="B825" s="10" t="n">
        <v>2.9713</v>
      </c>
      <c r="C825" s="10" t="n">
        <v>1.735</v>
      </c>
      <c r="D825" s="10" t="n">
        <f aca="false">IF(OR(B825="",C825="",B825&lt;=0.05,C825&lt;=0.05),0,1)</f>
        <v>1</v>
      </c>
      <c r="E825" s="25" t="n">
        <f aca="false">IF(OR(A825&lt;Resumen!$B$6,A825&gt;=Resumen!$B$7),0,MAX(0,AVERAGEIFS(B777:B873,D777:D873,1)-Resumen!$B$5*AVERAGEIFS(C777:C873,D777:D873,1)))</f>
        <v>0.250307763917526</v>
      </c>
      <c r="F825" s="10" t="n">
        <f aca="false">IF(B825="","",(B825-E825)/Resumen!$B$5)</f>
        <v>2.1612329119003</v>
      </c>
      <c r="G825" s="10" t="n">
        <f aca="false">IF(OR(F825="",C825=""),0,(F825-C825)*0.9)</f>
        <v>0.383609620710268</v>
      </c>
      <c r="H825" s="26" t="n">
        <f aca="false">IF(A825&lt;Resumen!$B$11,"",IF(H824="",0,H824)+G825/Resumen!$B$9)</f>
        <v>1.28214108051056</v>
      </c>
      <c r="I825" s="26" t="n">
        <f aca="false">IF(H825="","",H825-AVERAGE(H777:H873))</f>
        <v>0.188490372485651</v>
      </c>
      <c r="J825" s="27" t="n">
        <f aca="false">IF(I825="","",Resumen!$B$10-(MAX(I777:I873)-I825))</f>
        <v>1.74348460967205</v>
      </c>
    </row>
    <row r="826" customFormat="false" ht="15" hidden="false" customHeight="false" outlineLevel="0" collapsed="false">
      <c r="A826" s="24" t="n">
        <v>46269.9791666667</v>
      </c>
      <c r="B826" s="10" t="n">
        <v>3.0618</v>
      </c>
      <c r="C826" s="10" t="n">
        <v>1.8671</v>
      </c>
      <c r="D826" s="10" t="n">
        <f aca="false">IF(OR(B826="",C826="",B826&lt;=0.05,C826&lt;=0.05),0,1)</f>
        <v>1</v>
      </c>
      <c r="E826" s="25" t="n">
        <f aca="false">IF(OR(A826&lt;Resumen!$B$6,A826&gt;=Resumen!$B$7),0,MAX(0,AVERAGEIFS(B778:B874,D778:D874,1)-Resumen!$B$5*AVERAGEIFS(C778:C874,D778:D874,1)))</f>
        <v>0.260539383505154</v>
      </c>
      <c r="F826" s="10" t="n">
        <f aca="false">IF(B826="","",(B826-E826)/Resumen!$B$5)</f>
        <v>2.22498857545262</v>
      </c>
      <c r="G826" s="10" t="n">
        <f aca="false">IF(OR(F826="",C826=""),0,(F826-C826)*0.9)</f>
        <v>0.322099717907356</v>
      </c>
      <c r="H826" s="26" t="n">
        <f aca="false">IF(A826&lt;Resumen!$B$11,"",IF(H825="",0,H825)+G826/Resumen!$B$9)</f>
        <v>1.29736637660716</v>
      </c>
      <c r="I826" s="26" t="n">
        <f aca="false">IF(H826="","",H826-AVERAGE(H778:H874))</f>
        <v>0.205807247942255</v>
      </c>
      <c r="J826" s="27" t="n">
        <f aca="false">IF(I826="","",Resumen!$B$10-(MAX(I778:I874)-I826))</f>
        <v>1.81864196802481</v>
      </c>
    </row>
    <row r="827" customFormat="false" ht="15" hidden="false" customHeight="false" outlineLevel="0" collapsed="false">
      <c r="A827" s="24" t="n">
        <v>46269.9895833333</v>
      </c>
      <c r="B827" s="10" t="n">
        <v>2.8798</v>
      </c>
      <c r="C827" s="10" t="n">
        <v>1.892</v>
      </c>
      <c r="D827" s="10" t="n">
        <f aca="false">IF(OR(B827="",C827="",B827&lt;=0.05,C827&lt;=0.05),0,1)</f>
        <v>1</v>
      </c>
      <c r="E827" s="25" t="n">
        <f aca="false">IF(OR(A827&lt;Resumen!$B$6,A827&gt;=Resumen!$B$7),0,MAX(0,AVERAGEIFS(B779:B875,D779:D875,1)-Resumen!$B$5*AVERAGEIFS(C779:C875,D779:D875,1)))</f>
        <v>0.290463315463918</v>
      </c>
      <c r="F827" s="10" t="n">
        <f aca="false">IF(B827="","",(B827-E827)/Resumen!$B$5)</f>
        <v>2.05666138565217</v>
      </c>
      <c r="G827" s="10" t="n">
        <f aca="false">IF(OR(F827="",C827=""),0,(F827-C827)*0.9)</f>
        <v>0.148195247086953</v>
      </c>
      <c r="H827" s="26" t="n">
        <f aca="false">IF(A827&lt;Resumen!$B$11,"",IF(H826="",0,H826)+G827/Resumen!$B$9)</f>
        <v>1.30437140142266</v>
      </c>
      <c r="I827" s="26" t="n">
        <f aca="false">IF(H827="","",H827-AVERAGE(H779:H875))</f>
        <v>0.214073618949977</v>
      </c>
      <c r="J827" s="27" t="n">
        <f aca="false">IF(I827="","",Resumen!$B$10-(MAX(I779:I875)-I827))</f>
        <v>1.82690833903253</v>
      </c>
    </row>
    <row r="828" customFormat="false" ht="15" hidden="false" customHeight="false" outlineLevel="0" collapsed="false">
      <c r="A828" s="24" t="n">
        <v>46270</v>
      </c>
      <c r="B828" s="10" t="n">
        <v>3.1327</v>
      </c>
      <c r="C828" s="10" t="n">
        <v>1.9672</v>
      </c>
      <c r="D828" s="10" t="n">
        <f aca="false">IF(OR(B828="",C828="",B828&lt;=0.05,C828&lt;=0.05),0,1)</f>
        <v>1</v>
      </c>
      <c r="E828" s="25" t="n">
        <f aca="false">IF(OR(A828&lt;Resumen!$B$6,A828&gt;=Resumen!$B$7),0,MAX(0,AVERAGEIFS(B780:B876,D780:D876,1)-Resumen!$B$5*AVERAGEIFS(C780:C876,D780:D876,1)))</f>
        <v>0.296980927835052</v>
      </c>
      <c r="F828" s="10" t="n">
        <f aca="false">IF(B828="","",(B828-E828)/Resumen!$B$5)</f>
        <v>2.25235827812943</v>
      </c>
      <c r="G828" s="10" t="n">
        <f aca="false">IF(OR(F828="",C828=""),0,(F828-C828)*0.9)</f>
        <v>0.256642450316484</v>
      </c>
      <c r="H828" s="26" t="n">
        <f aca="false">IF(A828&lt;Resumen!$B$11,"",IF(H827="",0,H827)+G828/Resumen!$B$9)</f>
        <v>1.31650260514557</v>
      </c>
      <c r="I828" s="26" t="n">
        <f aca="false">IF(H828="","",H828-AVERAGE(H780:H876))</f>
        <v>0.227426789466686</v>
      </c>
      <c r="J828" s="27" t="n">
        <f aca="false">IF(I828="","",Resumen!$B$10-(MAX(I780:I876)-I828))</f>
        <v>1.84026150954924</v>
      </c>
    </row>
    <row r="829" customFormat="false" ht="15" hidden="false" customHeight="false" outlineLevel="0" collapsed="false">
      <c r="A829" s="24" t="n">
        <v>46270.0104166667</v>
      </c>
      <c r="B829" s="10" t="n">
        <v>2.7929</v>
      </c>
      <c r="C829" s="10" t="n">
        <v>1.6977</v>
      </c>
      <c r="D829" s="10" t="n">
        <f aca="false">IF(OR(B829="",C829="",B829&lt;=0.05,C829&lt;=0.05),0,1)</f>
        <v>1</v>
      </c>
      <c r="E829" s="25" t="n">
        <f aca="false">IF(OR(A829&lt;Resumen!$B$6,A829&gt;=Resumen!$B$7),0,MAX(0,AVERAGEIFS(B781:B877,D781:D877,1)-Resumen!$B$5*AVERAGEIFS(C781:C877,D781:D877,1)))</f>
        <v>0.3529065</v>
      </c>
      <c r="F829" s="10" t="n">
        <f aca="false">IF(B829="","",(B829-E829)/Resumen!$B$5)</f>
        <v>1.93804090548054</v>
      </c>
      <c r="G829" s="10" t="n">
        <f aca="false">IF(OR(F829="",C829=""),0,(F829-C829)*0.9)</f>
        <v>0.216306814932486</v>
      </c>
      <c r="H829" s="26" t="n">
        <f aca="false">IF(A829&lt;Resumen!$B$11,"",IF(H828="",0,H828)+G829/Resumen!$B$9)</f>
        <v>1.32672718816122</v>
      </c>
      <c r="I829" s="26" t="n">
        <f aca="false">IF(H829="","",H829-AVERAGE(H781:H877))</f>
        <v>0.237165279917443</v>
      </c>
      <c r="J829" s="27" t="n">
        <f aca="false">IF(I829="","",Resumen!$B$10-(MAX(I781:I877)-I829))</f>
        <v>1.85</v>
      </c>
    </row>
    <row r="830" customFormat="false" ht="15" hidden="false" customHeight="false" outlineLevel="0" collapsed="false">
      <c r="A830" s="24" t="n">
        <v>46270.0208333333</v>
      </c>
      <c r="B830" s="10" t="n">
        <v>2.1737</v>
      </c>
      <c r="C830" s="10" t="n">
        <v>1.7997</v>
      </c>
      <c r="D830" s="10" t="n">
        <f aca="false">IF(OR(B830="",C830="",B830&lt;=0.05,C830&lt;=0.05),0,1)</f>
        <v>1</v>
      </c>
      <c r="E830" s="25" t="n">
        <f aca="false">IF(OR(A830&lt;Resumen!$B$6,A830&gt;=Resumen!$B$7),0,MAX(0,AVERAGEIFS(B782:B878,D782:D878,1)-Resumen!$B$5*AVERAGEIFS(C782:C878,D782:D878,1)))</f>
        <v>0.365571729896907</v>
      </c>
      <c r="F830" s="10" t="n">
        <f aca="false">IF(B830="","",(B830-E830)/Resumen!$B$5)</f>
        <v>1.43616224789761</v>
      </c>
      <c r="G830" s="10" t="n">
        <f aca="false">IF(OR(F830="",C830=""),0,(F830-C830)*0.9)</f>
        <v>-0.327183976892149</v>
      </c>
      <c r="H830" s="26" t="n">
        <f aca="false">IF(A830&lt;Resumen!$B$11,"",IF(H829="",0,H829)+G830/Resumen!$B$9)</f>
        <v>1.31126156478654</v>
      </c>
      <c r="I830" s="26" t="n">
        <f aca="false">IF(H830="","",H830-AVERAGE(H782:H878))</f>
        <v>0.220967351321214</v>
      </c>
      <c r="J830" s="27" t="n">
        <f aca="false">IF(I830="","",Resumen!$B$10-(MAX(I782:I878)-I830))</f>
        <v>1.83380207140377</v>
      </c>
    </row>
    <row r="831" customFormat="false" ht="15" hidden="false" customHeight="false" outlineLevel="0" collapsed="false">
      <c r="A831" s="24" t="n">
        <v>46270.03125</v>
      </c>
      <c r="B831" s="10" t="n">
        <v>2.5289</v>
      </c>
      <c r="C831" s="10" t="n">
        <v>1.547</v>
      </c>
      <c r="D831" s="10" t="n">
        <f aca="false">IF(OR(B831="",C831="",B831&lt;=0.05,C831&lt;=0.05),0,1)</f>
        <v>1</v>
      </c>
      <c r="E831" s="25" t="n">
        <f aca="false">IF(OR(A831&lt;Resumen!$B$6,A831&gt;=Resumen!$B$7),0,MAX(0,AVERAGEIFS(B783:B879,D783:D879,1)-Resumen!$B$5*AVERAGEIFS(C783:C879,D783:D879,1)))</f>
        <v>0.40472105257732</v>
      </c>
      <c r="F831" s="10" t="n">
        <f aca="false">IF(B831="","",(B831-E831)/Resumen!$B$5)</f>
        <v>1.68719535140801</v>
      </c>
      <c r="G831" s="10" t="n">
        <f aca="false">IF(OR(F831="",C831=""),0,(F831-C831)*0.9)</f>
        <v>0.126175816267206</v>
      </c>
      <c r="H831" s="26" t="n">
        <f aca="false">IF(A831&lt;Resumen!$B$11,"",IF(H830="",0,H830)+G831/Resumen!$B$9)</f>
        <v>1.31722575555137</v>
      </c>
      <c r="I831" s="26" t="n">
        <f aca="false">IF(H831="","",H831-AVERAGE(H783:H879))</f>
        <v>0.225059630679047</v>
      </c>
      <c r="J831" s="27" t="n">
        <f aca="false">IF(I831="","",Resumen!$B$10-(MAX(I783:I879)-I831))</f>
        <v>1.8378943507616</v>
      </c>
    </row>
    <row r="832" customFormat="false" ht="15" hidden="false" customHeight="false" outlineLevel="0" collapsed="false">
      <c r="A832" s="24" t="n">
        <v>46270.0416666667</v>
      </c>
      <c r="B832" s="10" t="n">
        <v>2.8601</v>
      </c>
      <c r="C832" s="10" t="n">
        <v>1.6833</v>
      </c>
      <c r="D832" s="10" t="n">
        <f aca="false">IF(OR(B832="",C832="",B832&lt;=0.05,C832&lt;=0.05),0,1)</f>
        <v>1</v>
      </c>
      <c r="E832" s="25" t="n">
        <f aca="false">IF(OR(A832&lt;Resumen!$B$6,A832&gt;=Resumen!$B$7),0,MAX(0,AVERAGEIFS(B784:B880,D784:D880,1)-Resumen!$B$5*AVERAGEIFS(C784:C880,D784:D880,1)))</f>
        <v>0.421490195876289</v>
      </c>
      <c r="F832" s="10" t="n">
        <f aca="false">IF(B832="","",(B832-E832)/Resumen!$B$5)</f>
        <v>1.93694186189334</v>
      </c>
      <c r="G832" s="10" t="n">
        <f aca="false">IF(OR(F832="",C832=""),0,(F832-C832)*0.9)</f>
        <v>0.228277675704003</v>
      </c>
      <c r="H832" s="26" t="n">
        <f aca="false">IF(A832&lt;Resumen!$B$11,"",IF(H831="",0,H831)+G832/Resumen!$B$9)</f>
        <v>1.32801618786661</v>
      </c>
      <c r="I832" s="26" t="n">
        <f aca="false">IF(H832="","",H832-AVERAGE(H784:H880))</f>
        <v>0.23359547599251</v>
      </c>
      <c r="J832" s="27" t="n">
        <f aca="false">IF(I832="","",Resumen!$B$10-(MAX(I784:I880)-I832))</f>
        <v>1.84643019607507</v>
      </c>
    </row>
    <row r="833" customFormat="false" ht="15" hidden="false" customHeight="false" outlineLevel="0" collapsed="false">
      <c r="A833" s="24" t="n">
        <v>46270.0520833333</v>
      </c>
      <c r="B833" s="10" t="n">
        <v>2.6527</v>
      </c>
      <c r="C833" s="10" t="n">
        <v>1.7542</v>
      </c>
      <c r="D833" s="10" t="n">
        <f aca="false">IF(OR(B833="",C833="",B833&lt;=0.05,C833&lt;=0.05),0,1)</f>
        <v>1</v>
      </c>
      <c r="E833" s="25" t="n">
        <f aca="false">IF(OR(A833&lt;Resumen!$B$6,A833&gt;=Resumen!$B$7),0,MAX(0,AVERAGEIFS(B785:B881,D785:D881,1)-Resumen!$B$5*AVERAGEIFS(C785:C881,D785:D881,1)))</f>
        <v>0.454119896907217</v>
      </c>
      <c r="F833" s="10" t="n">
        <f aca="false">IF(B833="","",(B833-E833)/Resumen!$B$5)</f>
        <v>1.7462907887949</v>
      </c>
      <c r="G833" s="10" t="n">
        <f aca="false">IF(OR(F833="",C833=""),0,(F833-C833)*0.9)</f>
        <v>-0.00711829008458702</v>
      </c>
      <c r="H833" s="26" t="n">
        <f aca="false">IF(A833&lt;Resumen!$B$11,"",IF(H832="",0,H832)+G833/Resumen!$B$9)</f>
        <v>1.32767971419646</v>
      </c>
      <c r="I833" s="26" t="n">
        <f aca="false">IF(H833="","",H833-AVERAGE(H785:H881))</f>
        <v>0.230086041151063</v>
      </c>
      <c r="J833" s="27" t="n">
        <f aca="false">IF(I833="","",Resumen!$B$10-(MAX(I785:I881)-I833))</f>
        <v>1.84292076123362</v>
      </c>
    </row>
    <row r="834" customFormat="false" ht="15" hidden="false" customHeight="false" outlineLevel="0" collapsed="false">
      <c r="A834" s="24" t="n">
        <v>46270.0625</v>
      </c>
      <c r="B834" s="10" t="n">
        <v>2.7884</v>
      </c>
      <c r="C834" s="10" t="n">
        <v>1.7262</v>
      </c>
      <c r="D834" s="10" t="n">
        <f aca="false">IF(OR(B834="",C834="",B834&lt;=0.05,C834&lt;=0.05),0,1)</f>
        <v>1</v>
      </c>
      <c r="E834" s="25" t="n">
        <f aca="false">IF(OR(A834&lt;Resumen!$B$6,A834&gt;=Resumen!$B$7),0,MAX(0,AVERAGEIFS(B786:B882,D786:D882,1)-Resumen!$B$5*AVERAGEIFS(C786:C882,D786:D882,1)))</f>
        <v>0.489087227835052</v>
      </c>
      <c r="F834" s="10" t="n">
        <f aca="false">IF(B834="","",(B834-E834)/Resumen!$B$5)</f>
        <v>1.82630085160044</v>
      </c>
      <c r="G834" s="10" t="n">
        <f aca="false">IF(OR(F834="",C834=""),0,(F834-C834)*0.9)</f>
        <v>0.0900907664403918</v>
      </c>
      <c r="H834" s="26" t="n">
        <f aca="false">IF(A834&lt;Resumen!$B$11,"",IF(H833="",0,H833)+G834/Resumen!$B$9)</f>
        <v>1.33193820471466</v>
      </c>
      <c r="I834" s="26" t="n">
        <f aca="false">IF(H834="","",H834-AVERAGE(H786:H882))</f>
        <v>0.230174154560306</v>
      </c>
      <c r="J834" s="27" t="n">
        <f aca="false">IF(I834="","",Resumen!$B$10-(MAX(I786:I882)-I834))</f>
        <v>1.84300887464286</v>
      </c>
    </row>
    <row r="835" customFormat="false" ht="15" hidden="false" customHeight="false" outlineLevel="0" collapsed="false">
      <c r="A835" s="24" t="n">
        <v>46270.0729166667</v>
      </c>
      <c r="B835" s="10" t="n">
        <v>2.6097</v>
      </c>
      <c r="C835" s="10" t="n">
        <v>1.7408</v>
      </c>
      <c r="D835" s="10" t="n">
        <f aca="false">IF(OR(B835="",C835="",B835&lt;=0.05,C835&lt;=0.05),0,1)</f>
        <v>1</v>
      </c>
      <c r="E835" s="25" t="n">
        <f aca="false">IF(OR(A835&lt;Resumen!$B$6,A835&gt;=Resumen!$B$7),0,MAX(0,AVERAGEIFS(B787:B883,D787:D883,1)-Resumen!$B$5*AVERAGEIFS(C787:C883,D787:D883,1)))</f>
        <v>0.514496630927835</v>
      </c>
      <c r="F835" s="10" t="n">
        <f aca="false">IF(B835="","",(B835-E835)/Resumen!$B$5)</f>
        <v>1.66418059497392</v>
      </c>
      <c r="G835" s="10" t="n">
        <f aca="false">IF(OR(F835="",C835=""),0,(F835-C835)*0.9)</f>
        <v>-0.0689574645234716</v>
      </c>
      <c r="H835" s="26" t="n">
        <f aca="false">IF(A835&lt;Resumen!$B$11,"",IF(H834="",0,H834)+G835/Resumen!$B$9)</f>
        <v>1.3286786619176</v>
      </c>
      <c r="I835" s="26" t="n">
        <f aca="false">IF(H835="","",H835-AVERAGE(H787:H883))</f>
        <v>0.222070316377472</v>
      </c>
      <c r="J835" s="27" t="n">
        <f aca="false">IF(I835="","",Resumen!$B$10-(MAX(I787:I883)-I835))</f>
        <v>1.83490503646003</v>
      </c>
    </row>
    <row r="836" customFormat="false" ht="15" hidden="false" customHeight="false" outlineLevel="0" collapsed="false">
      <c r="A836" s="24" t="n">
        <v>46270.0833333333</v>
      </c>
      <c r="B836" s="10" t="n">
        <v>2.7525</v>
      </c>
      <c r="C836" s="10" t="n">
        <v>1.787</v>
      </c>
      <c r="D836" s="10" t="n">
        <f aca="false">IF(OR(B836="",C836="",B836&lt;=0.05,C836&lt;=0.05),0,1)</f>
        <v>1</v>
      </c>
      <c r="E836" s="25" t="n">
        <f aca="false">IF(OR(A836&lt;Resumen!$B$6,A836&gt;=Resumen!$B$7),0,MAX(0,AVERAGEIFS(B788:B884,D788:D884,1)-Resumen!$B$5*AVERAGEIFS(C788:C884,D788:D884,1)))</f>
        <v>0.545167830927836</v>
      </c>
      <c r="F836" s="10" t="n">
        <f aca="false">IF(B836="","",(B836-E836)/Resumen!$B$5)</f>
        <v>1.75324239004938</v>
      </c>
      <c r="G836" s="10" t="n">
        <f aca="false">IF(OR(F836="",C836=""),0,(F836-C836)*0.9)</f>
        <v>-0.0303818489555614</v>
      </c>
      <c r="H836" s="26" t="n">
        <f aca="false">IF(A836&lt;Resumen!$B$11,"",IF(H835="",0,H835)+G836/Resumen!$B$9)</f>
        <v>1.32724254564493</v>
      </c>
      <c r="I836" s="26" t="n">
        <f aca="false">IF(H836="","",H836-AVERAGE(H788:H884))</f>
        <v>0.214937871089416</v>
      </c>
      <c r="J836" s="27" t="n">
        <f aca="false">IF(I836="","",Resumen!$B$10-(MAX(I788:I884)-I836))</f>
        <v>1.82777259117197</v>
      </c>
    </row>
    <row r="837" customFormat="false" ht="15" hidden="false" customHeight="false" outlineLevel="0" collapsed="false">
      <c r="A837" s="24" t="n">
        <v>46270.09375</v>
      </c>
      <c r="B837" s="10" t="n">
        <v>3.0804</v>
      </c>
      <c r="C837" s="10" t="n">
        <v>1.6985</v>
      </c>
      <c r="D837" s="10" t="n">
        <f aca="false">IF(OR(B837="",C837="",B837&lt;=0.05,C837&lt;=0.05),0,1)</f>
        <v>1</v>
      </c>
      <c r="E837" s="25" t="n">
        <f aca="false">IF(OR(A837&lt;Resumen!$B$6,A837&gt;=Resumen!$B$7),0,MAX(0,AVERAGEIFS(B789:B885,D789:D885,1)-Resumen!$B$5*AVERAGEIFS(C789:C885,D789:D885,1)))</f>
        <v>0.570422026804125</v>
      </c>
      <c r="F837" s="10" t="n">
        <f aca="false">IF(B837="","",(B837-E837)/Resumen!$B$5)</f>
        <v>1.99362825511984</v>
      </c>
      <c r="G837" s="10" t="n">
        <f aca="false">IF(OR(F837="",C837=""),0,(F837-C837)*0.9)</f>
        <v>0.265615429607854</v>
      </c>
      <c r="H837" s="26" t="n">
        <f aca="false">IF(A837&lt;Resumen!$B$11,"",IF(H836="",0,H836)+G837/Resumen!$B$9)</f>
        <v>1.33979789213787</v>
      </c>
      <c r="I837" s="26" t="n">
        <f aca="false">IF(H837="","",H837-AVERAGE(H789:H885))</f>
        <v>0.221128449666797</v>
      </c>
      <c r="J837" s="27" t="n">
        <f aca="false">IF(I837="","",Resumen!$B$10-(MAX(I789:I885)-I837))</f>
        <v>1.83396316974935</v>
      </c>
    </row>
    <row r="838" customFormat="false" ht="15" hidden="false" customHeight="false" outlineLevel="0" collapsed="false">
      <c r="A838" s="24" t="n">
        <v>46270.1041666667</v>
      </c>
      <c r="B838" s="10" t="n">
        <v>3.0702</v>
      </c>
      <c r="C838" s="10" t="n">
        <v>1.737</v>
      </c>
      <c r="D838" s="10" t="n">
        <f aca="false">IF(OR(B838="",C838="",B838&lt;=0.05,C838&lt;=0.05),0,1)</f>
        <v>1</v>
      </c>
      <c r="E838" s="25" t="n">
        <f aca="false">IF(OR(A838&lt;Resumen!$B$6,A838&gt;=Resumen!$B$7),0,MAX(0,AVERAGEIFS(B790:B886,D790:D886,1)-Resumen!$B$5*AVERAGEIFS(C790:C886,D790:D886,1)))</f>
        <v>0.582045698969073</v>
      </c>
      <c r="F838" s="10" t="n">
        <f aca="false">IF(B838="","",(B838-E838)/Resumen!$B$5)</f>
        <v>1.97629412313815</v>
      </c>
      <c r="G838" s="10" t="n">
        <f aca="false">IF(OR(F838="",C838=""),0,(F838-C838)*0.9)</f>
        <v>0.215364710824332</v>
      </c>
      <c r="H838" s="26" t="n">
        <f aca="false">IF(A838&lt;Resumen!$B$11,"",IF(H837="",0,H837)+G838/Resumen!$B$9)</f>
        <v>1.34997794293817</v>
      </c>
      <c r="I838" s="26" t="n">
        <f aca="false">IF(H838="","",H838-AVERAGE(H790:H886))</f>
        <v>0.224733920677608</v>
      </c>
      <c r="J838" s="27" t="n">
        <f aca="false">IF(I838="","",Resumen!$B$10-(MAX(I790:I886)-I838))</f>
        <v>1.83756864076017</v>
      </c>
    </row>
    <row r="839" customFormat="false" ht="15" hidden="false" customHeight="false" outlineLevel="0" collapsed="false">
      <c r="A839" s="24" t="n">
        <v>46270.1145833333</v>
      </c>
      <c r="B839" s="10" t="n">
        <v>2.5497</v>
      </c>
      <c r="C839" s="10" t="n">
        <v>1.6642</v>
      </c>
      <c r="D839" s="10" t="n">
        <f aca="false">IF(OR(B839="",C839="",B839&lt;=0.05,C839&lt;=0.05),0,1)</f>
        <v>1</v>
      </c>
      <c r="E839" s="25" t="n">
        <f aca="false">IF(OR(A839&lt;Resumen!$B$6,A839&gt;=Resumen!$B$7),0,MAX(0,AVERAGEIFS(B791:B887,D791:D887,1)-Resumen!$B$5*AVERAGEIFS(C791:C887,D791:D887,1)))</f>
        <v>0.578210250515464</v>
      </c>
      <c r="F839" s="10" t="n">
        <f aca="false">IF(B839="","",(B839-E839)/Resumen!$B$5)</f>
        <v>1.56591719577803</v>
      </c>
      <c r="G839" s="10" t="n">
        <f aca="false">IF(OR(F839="",C839=""),0,(F839-C839)*0.9)</f>
        <v>-0.0884545237997757</v>
      </c>
      <c r="H839" s="26" t="n">
        <f aca="false">IF(A839&lt;Resumen!$B$11,"",IF(H838="",0,H838)+G839/Resumen!$B$9)</f>
        <v>1.34579679579316</v>
      </c>
      <c r="I839" s="26" t="n">
        <f aca="false">IF(H839="","",H839-AVERAGE(H791:H887))</f>
        <v>0.214290080495203</v>
      </c>
      <c r="J839" s="27" t="n">
        <f aca="false">IF(I839="","",Resumen!$B$10-(MAX(I791:I887)-I839))</f>
        <v>1.82712480057776</v>
      </c>
    </row>
    <row r="840" customFormat="false" ht="15" hidden="false" customHeight="false" outlineLevel="0" collapsed="false">
      <c r="A840" s="24" t="n">
        <v>46270.125</v>
      </c>
      <c r="B840" s="10" t="n">
        <v>2.8133</v>
      </c>
      <c r="C840" s="10" t="n">
        <v>1.8532</v>
      </c>
      <c r="D840" s="10" t="n">
        <f aca="false">IF(OR(B840="",C840="",B840&lt;=0.05,C840&lt;=0.05),0,1)</f>
        <v>1</v>
      </c>
      <c r="E840" s="25" t="n">
        <f aca="false">IF(OR(A840&lt;Resumen!$B$6,A840&gt;=Resumen!$B$7),0,MAX(0,AVERAGEIFS(B792:B888,D792:D888,1)-Resumen!$B$5*AVERAGEIFS(C792:C888,D792:D888,1)))</f>
        <v>0.586009116494845</v>
      </c>
      <c r="F840" s="10" t="n">
        <f aca="false">IF(B840="","",(B840-E840)/Resumen!$B$5)</f>
        <v>1.7690952212114</v>
      </c>
      <c r="G840" s="10" t="n">
        <f aca="false">IF(OR(F840="",C840=""),0,(F840-C840)*0.9)</f>
        <v>-0.0756943009097382</v>
      </c>
      <c r="H840" s="26" t="n">
        <f aca="false">IF(A840&lt;Resumen!$B$11,"",IF(H839="",0,H839)+G840/Resumen!$B$9)</f>
        <v>1.34221881021881</v>
      </c>
      <c r="I840" s="26" t="n">
        <f aca="false">IF(H840="","",H840-AVERAGE(H792:H888))</f>
        <v>0.204367057727097</v>
      </c>
      <c r="J840" s="27" t="n">
        <f aca="false">IF(I840="","",Resumen!$B$10-(MAX(I792:I888)-I840))</f>
        <v>1.81720177780965</v>
      </c>
    </row>
    <row r="841" customFormat="false" ht="15" hidden="false" customHeight="false" outlineLevel="0" collapsed="false">
      <c r="A841" s="24" t="n">
        <v>46270.1354166667</v>
      </c>
      <c r="B841" s="10" t="n">
        <v>2.6913</v>
      </c>
      <c r="C841" s="10" t="n">
        <v>1.667</v>
      </c>
      <c r="D841" s="10" t="n">
        <f aca="false">IF(OR(B841="",C841="",B841&lt;=0.05,C841&lt;=0.05),0,1)</f>
        <v>1</v>
      </c>
      <c r="E841" s="25" t="n">
        <f aca="false">IF(OR(A841&lt;Resumen!$B$6,A841&gt;=Resumen!$B$7),0,MAX(0,AVERAGEIFS(B793:B889,D793:D889,1)-Resumen!$B$5*AVERAGEIFS(C793:C889,D793:D889,1)))</f>
        <v>0.604127072164949</v>
      </c>
      <c r="F841" s="10" t="n">
        <f aca="false">IF(B841="","",(B841-E841)/Resumen!$B$5)</f>
        <v>1.65780216666803</v>
      </c>
      <c r="G841" s="10" t="n">
        <f aca="false">IF(OR(F841="",C841=""),0,(F841-C841)*0.9)</f>
        <v>-0.0082780499987722</v>
      </c>
      <c r="H841" s="26" t="n">
        <f aca="false">IF(A841&lt;Resumen!$B$11,"",IF(H840="",0,H840)+G841/Resumen!$B$9)</f>
        <v>1.34182751598498</v>
      </c>
      <c r="I841" s="26" t="n">
        <f aca="false">IF(H841="","",H841-AVERAGE(H793:H889))</f>
        <v>0.197200765340802</v>
      </c>
      <c r="J841" s="27" t="n">
        <f aca="false">IF(I841="","",Resumen!$B$10-(MAX(I793:I889)-I841))</f>
        <v>1.81003548542336</v>
      </c>
    </row>
    <row r="842" customFormat="false" ht="15" hidden="false" customHeight="false" outlineLevel="0" collapsed="false">
      <c r="A842" s="24" t="n">
        <v>46270.1458333333</v>
      </c>
      <c r="B842" s="10" t="n">
        <v>2.7101</v>
      </c>
      <c r="C842" s="10" t="n">
        <v>1.641</v>
      </c>
      <c r="D842" s="10" t="n">
        <f aca="false">IF(OR(B842="",C842="",B842&lt;=0.05,C842&lt;=0.05),0,1)</f>
        <v>1</v>
      </c>
      <c r="E842" s="25" t="n">
        <f aca="false">IF(OR(A842&lt;Resumen!$B$6,A842&gt;=Resumen!$B$7),0,MAX(0,AVERAGEIFS(B794:B890,D794:D890,1)-Resumen!$B$5*AVERAGEIFS(C794:C890,D794:D890,1)))</f>
        <v>0.637398897938144</v>
      </c>
      <c r="F842" s="10" t="n">
        <f aca="false">IF(B842="","",(B842-E842)/Resumen!$B$5)</f>
        <v>1.64630746788074</v>
      </c>
      <c r="G842" s="10" t="n">
        <f aca="false">IF(OR(F842="",C842=""),0,(F842-C842)*0.9)</f>
        <v>0.00477672109266909</v>
      </c>
      <c r="H842" s="26" t="n">
        <f aca="false">IF(A842&lt;Resumen!$B$11,"",IF(H841="",0,H841)+G842/Resumen!$B$9)</f>
        <v>1.34205330628831</v>
      </c>
      <c r="I842" s="26" t="n">
        <f aca="false">IF(H842="","",H842-AVERAGE(H794:H890))</f>
        <v>0.189709968213112</v>
      </c>
      <c r="J842" s="27" t="n">
        <f aca="false">IF(I842="","",Resumen!$B$10-(MAX(I794:I890)-I842))</f>
        <v>1.80254468829567</v>
      </c>
    </row>
    <row r="843" customFormat="false" ht="15" hidden="false" customHeight="false" outlineLevel="0" collapsed="false">
      <c r="A843" s="24" t="n">
        <v>46270.15625</v>
      </c>
      <c r="B843" s="10" t="n">
        <v>2.8588</v>
      </c>
      <c r="C843" s="10" t="n">
        <v>1.7273</v>
      </c>
      <c r="D843" s="10" t="n">
        <f aca="false">IF(OR(B843="",C843="",B843&lt;=0.05,C843&lt;=0.05),0,1)</f>
        <v>1</v>
      </c>
      <c r="E843" s="25" t="n">
        <f aca="false">IF(OR(A843&lt;Resumen!$B$6,A843&gt;=Resumen!$B$7),0,MAX(0,AVERAGEIFS(B795:B891,D795:D891,1)-Resumen!$B$5*AVERAGEIFS(C795:C891,D795:D891,1)))</f>
        <v>0.650043427835051</v>
      </c>
      <c r="F843" s="10" t="n">
        <f aca="false">IF(B843="","",(B843-E843)/Resumen!$B$5)</f>
        <v>1.75437376661235</v>
      </c>
      <c r="G843" s="10" t="n">
        <f aca="false">IF(OR(F843="",C843=""),0,(F843-C843)*0.9)</f>
        <v>0.0243663899511154</v>
      </c>
      <c r="H843" s="26" t="n">
        <f aca="false">IF(A843&lt;Resumen!$B$11,"",IF(H842="",0,H842)+G843/Resumen!$B$9)</f>
        <v>1.34320507849172</v>
      </c>
      <c r="I843" s="26" t="n">
        <f aca="false">IF(H843="","",H843-AVERAGE(H795:H891))</f>
        <v>0.182902160862189</v>
      </c>
      <c r="J843" s="27" t="n">
        <f aca="false">IF(I843="","",Resumen!$B$10-(MAX(I795:I891)-I843))</f>
        <v>1.79573688094475</v>
      </c>
    </row>
    <row r="844" customFormat="false" ht="15" hidden="false" customHeight="false" outlineLevel="0" collapsed="false">
      <c r="A844" s="24" t="n">
        <v>46270.1666666667</v>
      </c>
      <c r="B844" s="10" t="n">
        <v>2.6296</v>
      </c>
      <c r="C844" s="10" t="n">
        <v>1.6952</v>
      </c>
      <c r="D844" s="10" t="n">
        <f aca="false">IF(OR(B844="",C844="",B844&lt;=0.05,C844&lt;=0.05),0,1)</f>
        <v>1</v>
      </c>
      <c r="E844" s="25" t="n">
        <f aca="false">IF(OR(A844&lt;Resumen!$B$6,A844&gt;=Resumen!$B$7),0,MAX(0,AVERAGEIFS(B796:B892,D796:D892,1)-Resumen!$B$5*AVERAGEIFS(C796:C892,D796:D892,1)))</f>
        <v>0.670813174226804</v>
      </c>
      <c r="F844" s="10" t="n">
        <f aca="false">IF(B844="","",(B844-E844)/Resumen!$B$5)</f>
        <v>1.55582750259984</v>
      </c>
      <c r="G844" s="10" t="n">
        <f aca="false">IF(OR(F844="",C844=""),0,(F844-C844)*0.9)</f>
        <v>-0.125435247660146</v>
      </c>
      <c r="H844" s="26" t="n">
        <f aca="false">IF(A844&lt;Resumen!$B$11,"",IF(H843="",0,H843)+G844/Resumen!$B$9)</f>
        <v>1.33727589358282</v>
      </c>
      <c r="I844" s="26" t="n">
        <f aca="false">IF(H844="","",H844-AVERAGE(H796:H892))</f>
        <v>0.168496171023952</v>
      </c>
      <c r="J844" s="27" t="n">
        <f aca="false">IF(I844="","",Resumen!$B$10-(MAX(I796:I892)-I844))</f>
        <v>1.78133089110651</v>
      </c>
    </row>
    <row r="845" customFormat="false" ht="15" hidden="false" customHeight="false" outlineLevel="0" collapsed="false">
      <c r="A845" s="24" t="n">
        <v>46270.1770833333</v>
      </c>
      <c r="B845" s="10" t="n">
        <v>3.4644</v>
      </c>
      <c r="C845" s="10" t="n">
        <v>1.9513</v>
      </c>
      <c r="D845" s="10" t="n">
        <f aca="false">IF(OR(B845="",C845="",B845&lt;=0.05,C845&lt;=0.05),0,1)</f>
        <v>1</v>
      </c>
      <c r="E845" s="25" t="n">
        <f aca="false">IF(OR(A845&lt;Resumen!$B$6,A845&gt;=Resumen!$B$7),0,MAX(0,AVERAGEIFS(B797:B893,D797:D893,1)-Resumen!$B$5*AVERAGEIFS(C797:C893,D797:D893,1)))</f>
        <v>0.680794545360825</v>
      </c>
      <c r="F845" s="10" t="n">
        <f aca="false">IF(B845="","",(B845-E845)/Resumen!$B$5)</f>
        <v>2.21096541273961</v>
      </c>
      <c r="G845" s="10" t="n">
        <f aca="false">IF(OR(F845="",C845=""),0,(F845-C845)*0.9)</f>
        <v>0.233698871465653</v>
      </c>
      <c r="H845" s="26" t="n">
        <f aca="false">IF(A845&lt;Resumen!$B$11,"",IF(H844="",0,H844)+G845/Resumen!$B$9)</f>
        <v>1.34832257980354</v>
      </c>
      <c r="I845" s="26" t="n">
        <f aca="false">IF(H845="","",H845-AVERAGE(H797:H893))</f>
        <v>0.170912523751314</v>
      </c>
      <c r="J845" s="27" t="n">
        <f aca="false">IF(I845="","",Resumen!$B$10-(MAX(I797:I893)-I845))</f>
        <v>1.78374724383387</v>
      </c>
    </row>
    <row r="846" customFormat="false" ht="15" hidden="false" customHeight="false" outlineLevel="0" collapsed="false">
      <c r="A846" s="24" t="n">
        <v>46270.1875</v>
      </c>
      <c r="B846" s="10" t="n">
        <v>2.9167</v>
      </c>
      <c r="C846" s="10" t="n">
        <v>1.8367</v>
      </c>
      <c r="D846" s="10" t="n">
        <f aca="false">IF(OR(B846="",C846="",B846&lt;=0.05,C846&lt;=0.05),0,1)</f>
        <v>1</v>
      </c>
      <c r="E846" s="25" t="n">
        <f aca="false">IF(OR(A846&lt;Resumen!$B$6,A846&gt;=Resumen!$B$7),0,MAX(0,AVERAGEIFS(B798:B894,D798:D894,1)-Resumen!$B$5*AVERAGEIFS(C798:C894,D798:D894,1)))</f>
        <v>0.68969293814433</v>
      </c>
      <c r="F846" s="10" t="n">
        <f aca="false">IF(B846="","",(B846-E846)/Resumen!$B$5)</f>
        <v>1.76886978701801</v>
      </c>
      <c r="G846" s="10" t="n">
        <f aca="false">IF(OR(F846="",C846=""),0,(F846-C846)*0.9)</f>
        <v>-0.0610471916837943</v>
      </c>
      <c r="H846" s="26" t="n">
        <f aca="false">IF(A846&lt;Resumen!$B$11,"",IF(H845="",0,H845)+G846/Resumen!$B$9)</f>
        <v>1.34543694682227</v>
      </c>
      <c r="I846" s="26" t="n">
        <f aca="false">IF(H846="","",H846-AVERAGE(H798:H894))</f>
        <v>0.159278992822511</v>
      </c>
      <c r="J846" s="27" t="n">
        <f aca="false">IF(I846="","",Resumen!$B$10-(MAX(I798:I894)-I846))</f>
        <v>1.77211371290507</v>
      </c>
    </row>
    <row r="847" customFormat="false" ht="15" hidden="false" customHeight="false" outlineLevel="0" collapsed="false">
      <c r="A847" s="24" t="n">
        <v>46270.1979166667</v>
      </c>
      <c r="B847" s="10" t="n">
        <v>2.5523</v>
      </c>
      <c r="C847" s="10" t="n">
        <v>1.8141</v>
      </c>
      <c r="D847" s="10" t="n">
        <f aca="false">IF(OR(B847="",C847="",B847&lt;=0.05,C847&lt;=0.05),0,1)</f>
        <v>1</v>
      </c>
      <c r="E847" s="25" t="n">
        <f aca="false">IF(OR(A847&lt;Resumen!$B$6,A847&gt;=Resumen!$B$7),0,MAX(0,AVERAGEIFS(B799:B895,D799:D895,1)-Resumen!$B$5*AVERAGEIFS(C799:C895,D799:D895,1)))</f>
        <v>0.702352164948453</v>
      </c>
      <c r="F847" s="10" t="n">
        <f aca="false">IF(B847="","",(B847-E847)/Resumen!$B$5)</f>
        <v>1.46937874110528</v>
      </c>
      <c r="G847" s="10" t="n">
        <f aca="false">IF(OR(F847="",C847=""),0,(F847-C847)*0.9)</f>
        <v>-0.310249133005249</v>
      </c>
      <c r="H847" s="26" t="n">
        <f aca="false">IF(A847&lt;Resumen!$B$11,"",IF(H846="",0,H846)+G847/Resumen!$B$9)</f>
        <v>1.33077181471844</v>
      </c>
      <c r="I847" s="26" t="n">
        <f aca="false">IF(H847="","",H847-AVERAGE(H799:H895))</f>
        <v>0.13562180950696</v>
      </c>
      <c r="J847" s="27" t="n">
        <f aca="false">IF(I847="","",Resumen!$B$10-(MAX(I799:I895)-I847))</f>
        <v>1.74845652958952</v>
      </c>
    </row>
    <row r="848" customFormat="false" ht="15" hidden="false" customHeight="false" outlineLevel="0" collapsed="false">
      <c r="A848" s="24" t="n">
        <v>46270.2083333333</v>
      </c>
      <c r="B848" s="10" t="n">
        <v>3.1687</v>
      </c>
      <c r="C848" s="10" t="n">
        <v>1.7252</v>
      </c>
      <c r="D848" s="10" t="n">
        <f aca="false">IF(OR(B848="",C848="",B848&lt;=0.05,C848&lt;=0.05),0,1)</f>
        <v>1</v>
      </c>
      <c r="E848" s="25" t="n">
        <f aca="false">IF(OR(A848&lt;Resumen!$B$6,A848&gt;=Resumen!$B$7),0,MAX(0,AVERAGEIFS(B800:B896,D800:D896,1)-Resumen!$B$5*AVERAGEIFS(C800:C896,D800:D896,1)))</f>
        <v>0.727351538144331</v>
      </c>
      <c r="F848" s="10" t="n">
        <f aca="false">IF(B848="","",(B848-E848)/Resumen!$B$5)</f>
        <v>1.93911712617607</v>
      </c>
      <c r="G848" s="10" t="n">
        <f aca="false">IF(OR(F848="",C848=""),0,(F848-C848)*0.9)</f>
        <v>0.192525413558461</v>
      </c>
      <c r="H848" s="26" t="n">
        <f aca="false">IF(A848&lt;Resumen!$B$11,"",IF(H847="",0,H847)+G848/Resumen!$B$9)</f>
        <v>1.33987227729131</v>
      </c>
      <c r="I848" s="26" t="n">
        <f aca="false">IF(H848="","",H848-AVERAGE(H800:H896))</f>
        <v>0.135018374922164</v>
      </c>
      <c r="J848" s="27" t="n">
        <f aca="false">IF(I848="","",Resumen!$B$10-(MAX(I800:I896)-I848))</f>
        <v>1.74785309500472</v>
      </c>
    </row>
    <row r="849" customFormat="false" ht="15" hidden="false" customHeight="false" outlineLevel="0" collapsed="false">
      <c r="A849" s="24" t="n">
        <v>46270.21875</v>
      </c>
      <c r="B849" s="10" t="n">
        <v>3.1476</v>
      </c>
      <c r="C849" s="10" t="n">
        <v>2.0187</v>
      </c>
      <c r="D849" s="10" t="n">
        <f aca="false">IF(OR(B849="",C849="",B849&lt;=0.05,C849&lt;=0.05),0,1)</f>
        <v>1</v>
      </c>
      <c r="E849" s="25" t="n">
        <f aca="false">IF(OR(A849&lt;Resumen!$B$6,A849&gt;=Resumen!$B$7),0,MAX(0,AVERAGEIFS(B801:B897,D801:D897,1)-Resumen!$B$5*AVERAGEIFS(C801:C897,D801:D897,1)))</f>
        <v>0.723994313402062</v>
      </c>
      <c r="F849" s="10" t="n">
        <f aca="false">IF(B849="","",(B849-E849)/Resumen!$B$5)</f>
        <v>1.92502437378708</v>
      </c>
      <c r="G849" s="10" t="n">
        <f aca="false">IF(OR(F849="",C849=""),0,(F849-C849)*0.9)</f>
        <v>-0.0843080635916249</v>
      </c>
      <c r="H849" s="26" t="n">
        <f aca="false">IF(A849&lt;Resumen!$B$11,"",IF(H848="",0,H848)+G849/Resumen!$B$9)</f>
        <v>1.33588712871728</v>
      </c>
      <c r="I849" s="26" t="n">
        <f aca="false">IF(H849="","",H849-AVERAGE(H801:H897))</f>
        <v>0.121573087377005</v>
      </c>
      <c r="J849" s="27" t="n">
        <f aca="false">IF(I849="","",Resumen!$B$10-(MAX(I801:I897)-I849))</f>
        <v>1.73440780745956</v>
      </c>
    </row>
    <row r="850" customFormat="false" ht="15" hidden="false" customHeight="false" outlineLevel="0" collapsed="false">
      <c r="A850" s="24" t="n">
        <v>46270.2291666667</v>
      </c>
      <c r="B850" s="10" t="n">
        <v>3.0905</v>
      </c>
      <c r="C850" s="10" t="n">
        <v>2.0079</v>
      </c>
      <c r="D850" s="10" t="n">
        <f aca="false">IF(OR(B850="",C850="",B850&lt;=0.05,C850&lt;=0.05),0,1)</f>
        <v>1</v>
      </c>
      <c r="E850" s="25" t="n">
        <f aca="false">IF(OR(A850&lt;Resumen!$B$6,A850&gt;=Resumen!$B$7),0,MAX(0,AVERAGEIFS(B802:B898,D802:D898,1)-Resumen!$B$5*AVERAGEIFS(C802:C898,D802:D898,1)))</f>
        <v>0.710423021649485</v>
      </c>
      <c r="F850" s="10" t="n">
        <f aca="false">IF(B850="","",(B850-E850)/Resumen!$B$5)</f>
        <v>1.89045034023075</v>
      </c>
      <c r="G850" s="10" t="n">
        <f aca="false">IF(OR(F850="",C850=""),0,(F850-C850)*0.9)</f>
        <v>-0.105704693792324</v>
      </c>
      <c r="H850" s="26" t="n">
        <f aca="false">IF(A850&lt;Resumen!$B$11,"",IF(H849="",0,H849)+G850/Resumen!$B$9)</f>
        <v>1.33089058518646</v>
      </c>
      <c r="I850" s="26" t="n">
        <f aca="false">IF(H850="","",H850-AVERAGE(H802:H898))</f>
        <v>0.107708389614763</v>
      </c>
      <c r="J850" s="27" t="n">
        <f aca="false">IF(I850="","",Resumen!$B$10-(MAX(I802:I898)-I850))</f>
        <v>1.72054310969732</v>
      </c>
    </row>
    <row r="851" customFormat="false" ht="15" hidden="false" customHeight="false" outlineLevel="0" collapsed="false">
      <c r="A851" s="24" t="n">
        <v>46270.2395833333</v>
      </c>
      <c r="B851" s="10" t="n">
        <v>3.0835</v>
      </c>
      <c r="C851" s="10" t="n">
        <v>1.9792</v>
      </c>
      <c r="D851" s="10" t="n">
        <f aca="false">IF(OR(B851="",C851="",B851&lt;=0.05,C851&lt;=0.05),0,1)</f>
        <v>1</v>
      </c>
      <c r="E851" s="25" t="n">
        <f aca="false">IF(OR(A851&lt;Resumen!$B$6,A851&gt;=Resumen!$B$7),0,MAX(0,AVERAGEIFS(B803:B899,D803:D899,1)-Resumen!$B$5*AVERAGEIFS(C803:C899,D803:D899,1)))</f>
        <v>0.696297565979381</v>
      </c>
      <c r="F851" s="10" t="n">
        <f aca="false">IF(B851="","",(B851-E851)/Resumen!$B$5)</f>
        <v>1.89610995553663</v>
      </c>
      <c r="G851" s="10" t="n">
        <f aca="false">IF(OR(F851="",C851=""),0,(F851-C851)*0.9)</f>
        <v>-0.0747810400170318</v>
      </c>
      <c r="H851" s="26" t="n">
        <f aca="false">IF(A851&lt;Resumen!$B$11,"",IF(H850="",0,H850)+G851/Resumen!$B$9)</f>
        <v>1.32735576844068</v>
      </c>
      <c r="I851" s="26" t="n">
        <f aca="false">IF(H851="","",H851-AVERAGE(H803:H899))</f>
        <v>0.0959231832577652</v>
      </c>
      <c r="J851" s="27" t="n">
        <f aca="false">IF(I851="","",Resumen!$B$10-(MAX(I803:I899)-I851))</f>
        <v>1.70875790334032</v>
      </c>
    </row>
    <row r="852" customFormat="false" ht="15" hidden="false" customHeight="false" outlineLevel="0" collapsed="false">
      <c r="A852" s="24" t="n">
        <v>46270.25</v>
      </c>
      <c r="B852" s="10" t="n">
        <v>3.4811</v>
      </c>
      <c r="C852" s="10" t="n">
        <v>2.1878</v>
      </c>
      <c r="D852" s="10" t="n">
        <f aca="false">IF(OR(B852="",C852="",B852&lt;=0.05,C852&lt;=0.05),0,1)</f>
        <v>1</v>
      </c>
      <c r="E852" s="25" t="n">
        <f aca="false">IF(OR(A852&lt;Resumen!$B$6,A852&gt;=Resumen!$B$7),0,MAX(0,AVERAGEIFS(B804:B900,D804:D900,1)-Resumen!$B$5*AVERAGEIFS(C804:C900,D804:D900,1)))</f>
        <v>0.661545586597939</v>
      </c>
      <c r="F852" s="10" t="n">
        <f aca="false">IF(B852="","",(B852-E852)/Resumen!$B$5)</f>
        <v>2.2395189939651</v>
      </c>
      <c r="G852" s="10" t="n">
        <f aca="false">IF(OR(F852="",C852=""),0,(F852-C852)*0.9)</f>
        <v>0.0465470945685901</v>
      </c>
      <c r="H852" s="26" t="n">
        <f aca="false">IF(A852&lt;Resumen!$B$11,"",IF(H851="",0,H851)+G852/Resumen!$B$9)</f>
        <v>1.32955599792814</v>
      </c>
      <c r="I852" s="26" t="n">
        <f aca="false">IF(H852="","",H852-AVERAGE(H804:H900))</f>
        <v>0.091185210237434</v>
      </c>
      <c r="J852" s="27" t="n">
        <f aca="false">IF(I852="","",Resumen!$B$10-(MAX(I804:I900)-I852))</f>
        <v>1.70401993031999</v>
      </c>
    </row>
    <row r="853" customFormat="false" ht="15" hidden="false" customHeight="false" outlineLevel="0" collapsed="false">
      <c r="A853" s="24" t="n">
        <v>46270.2604166667</v>
      </c>
      <c r="B853" s="10" t="n">
        <v>3.3422</v>
      </c>
      <c r="C853" s="10" t="n">
        <v>3.0109</v>
      </c>
      <c r="D853" s="10" t="n">
        <f aca="false">IF(OR(B853="",C853="",B853&lt;=0.05,C853&lt;=0.05),0,1)</f>
        <v>1</v>
      </c>
      <c r="E853" s="25" t="n">
        <f aca="false">IF(OR(A853&lt;Resumen!$B$6,A853&gt;=Resumen!$B$7),0,MAX(0,AVERAGEIFS(B805:B901,D805:D901,1)-Resumen!$B$5*AVERAGEIFS(C805:C901,D805:D901,1)))</f>
        <v>0.664929765979382</v>
      </c>
      <c r="F853" s="10" t="n">
        <f aca="false">IF(B853="","",(B853-E853)/Resumen!$B$5)</f>
        <v>2.12650534870581</v>
      </c>
      <c r="G853" s="10" t="n">
        <f aca="false">IF(OR(F853="",C853=""),0,(F853-C853)*0.9)</f>
        <v>-0.795955186164768</v>
      </c>
      <c r="H853" s="26" t="n">
        <f aca="false">IF(A853&lt;Resumen!$B$11,"",IF(H852="",0,H852)+G853/Resumen!$B$9)</f>
        <v>1.29193207988276</v>
      </c>
      <c r="I853" s="26" t="n">
        <f aca="false">IF(H853="","",H853-AVERAGE(H805:H901))</f>
        <v>0.0466457872255008</v>
      </c>
      <c r="J853" s="27" t="n">
        <f aca="false">IF(I853="","",Resumen!$B$10-(MAX(I805:I901)-I853))</f>
        <v>1.65948050730806</v>
      </c>
    </row>
    <row r="854" customFormat="false" ht="15" hidden="false" customHeight="false" outlineLevel="0" collapsed="false">
      <c r="A854" s="24" t="n">
        <v>46270.2708333333</v>
      </c>
      <c r="B854" s="10" t="n">
        <v>3.8921</v>
      </c>
      <c r="C854" s="10" t="n">
        <v>2.2027</v>
      </c>
      <c r="D854" s="10" t="n">
        <f aca="false">IF(OR(B854="",C854="",B854&lt;=0.05,C854&lt;=0.05),0,1)</f>
        <v>1</v>
      </c>
      <c r="E854" s="25" t="n">
        <f aca="false">IF(OR(A854&lt;Resumen!$B$6,A854&gt;=Resumen!$B$7),0,MAX(0,AVERAGEIFS(B806:B902,D806:D902,1)-Resumen!$B$5*AVERAGEIFS(C806:C902,D806:D902,1)))</f>
        <v>0.647919103092784</v>
      </c>
      <c r="F854" s="10" t="n">
        <f aca="false">IF(B854="","",(B854-E854)/Resumen!$B$5)</f>
        <v>2.57679181644735</v>
      </c>
      <c r="G854" s="10" t="n">
        <f aca="false">IF(OR(F854="",C854=""),0,(F854-C854)*0.9)</f>
        <v>0.336682634802617</v>
      </c>
      <c r="H854" s="26" t="n">
        <f aca="false">IF(A854&lt;Resumen!$B$11,"",IF(H853="",0,H853)+G854/Resumen!$B$9)</f>
        <v>1.30784669427224</v>
      </c>
      <c r="I854" s="26" t="n">
        <f aca="false">IF(H854="","",H854-AVERAGE(H806:H902))</f>
        <v>0.0563596049583173</v>
      </c>
      <c r="J854" s="27" t="n">
        <f aca="false">IF(I854="","",Resumen!$B$10-(MAX(I806:I902)-I854))</f>
        <v>1.66919432504087</v>
      </c>
    </row>
    <row r="855" customFormat="false" ht="15" hidden="false" customHeight="false" outlineLevel="0" collapsed="false">
      <c r="A855" s="24" t="n">
        <v>46270.28125</v>
      </c>
      <c r="B855" s="10" t="n">
        <v>4.2699</v>
      </c>
      <c r="C855" s="10" t="n">
        <v>2.804</v>
      </c>
      <c r="D855" s="10" t="n">
        <f aca="false">IF(OR(B855="",C855="",B855&lt;=0.05,C855&lt;=0.05),0,1)</f>
        <v>1</v>
      </c>
      <c r="E855" s="25" t="n">
        <f aca="false">IF(OR(A855&lt;Resumen!$B$6,A855&gt;=Resumen!$B$7),0,MAX(0,AVERAGEIFS(B807:B903,D807:D903,1)-Resumen!$B$5*AVERAGEIFS(C807:C903,D807:D903,1)))</f>
        <v>0.623593749484536</v>
      </c>
      <c r="F855" s="10" t="n">
        <f aca="false">IF(B855="","",(B855-E855)/Resumen!$B$5)</f>
        <v>2.8961924150242</v>
      </c>
      <c r="G855" s="10" t="n">
        <f aca="false">IF(OR(F855="",C855=""),0,(F855-C855)*0.9)</f>
        <v>0.0829731735217778</v>
      </c>
      <c r="H855" s="26" t="n">
        <f aca="false">IF(A855&lt;Resumen!$B$11,"",IF(H854="",0,H854)+G855/Resumen!$B$9)</f>
        <v>1.31176874407455</v>
      </c>
      <c r="I855" s="26" t="n">
        <f aca="false">IF(H855="","",H855-AVERAGE(H807:H903))</f>
        <v>0.0550447725296788</v>
      </c>
      <c r="J855" s="27" t="n">
        <f aca="false">IF(I855="","",Resumen!$B$10-(MAX(I807:I903)-I855))</f>
        <v>1.66787949261224</v>
      </c>
    </row>
    <row r="856" customFormat="false" ht="15" hidden="false" customHeight="false" outlineLevel="0" collapsed="false">
      <c r="A856" s="24" t="n">
        <v>46270.2916666667</v>
      </c>
      <c r="B856" s="10" t="n">
        <v>4.8107</v>
      </c>
      <c r="C856" s="10" t="n">
        <v>3.2003</v>
      </c>
      <c r="D856" s="10" t="n">
        <f aca="false">IF(OR(B856="",C856="",B856&lt;=0.05,C856&lt;=0.05),0,1)</f>
        <v>1</v>
      </c>
      <c r="E856" s="25" t="n">
        <f aca="false">IF(OR(A856&lt;Resumen!$B$6,A856&gt;=Resumen!$B$7),0,MAX(0,AVERAGEIFS(B808:B904,D808:D904,1)-Resumen!$B$5*AVERAGEIFS(C808:C904,D808:D904,1)))</f>
        <v>0.600215593814433</v>
      </c>
      <c r="F856" s="10" t="n">
        <f aca="false">IF(B856="","",(B856-E856)/Resumen!$B$5)</f>
        <v>3.34430850372166</v>
      </c>
      <c r="G856" s="10" t="n">
        <f aca="false">IF(OR(F856="",C856=""),0,(F856-C856)*0.9)</f>
        <v>0.129607653349491</v>
      </c>
      <c r="H856" s="26" t="n">
        <f aca="false">IF(A856&lt;Resumen!$B$11,"",IF(H855="",0,H855)+G856/Resumen!$B$9)</f>
        <v>1.31789515396852</v>
      </c>
      <c r="I856" s="26" t="n">
        <f aca="false">IF(H856="","",H856-AVERAGE(H808:H904))</f>
        <v>0.0568648081782741</v>
      </c>
      <c r="J856" s="27" t="n">
        <f aca="false">IF(I856="","",Resumen!$B$10-(MAX(I808:I904)-I856))</f>
        <v>1.66969952826083</v>
      </c>
    </row>
    <row r="857" customFormat="false" ht="15" hidden="false" customHeight="false" outlineLevel="0" collapsed="false">
      <c r="A857" s="24" t="n">
        <v>46270.3020833333</v>
      </c>
      <c r="B857" s="10" t="n">
        <v>5.0774</v>
      </c>
      <c r="C857" s="10" t="n">
        <v>2.8778</v>
      </c>
      <c r="D857" s="10" t="n">
        <f aca="false">IF(OR(B857="",C857="",B857&lt;=0.05,C857&lt;=0.05),0,1)</f>
        <v>1</v>
      </c>
      <c r="E857" s="25" t="n">
        <f aca="false">IF(OR(A857&lt;Resumen!$B$6,A857&gt;=Resumen!$B$7),0,MAX(0,AVERAGEIFS(B809:B905,D809:D905,1)-Resumen!$B$5*AVERAGEIFS(C809:C905,D809:D905,1)))</f>
        <v>0.577533757731959</v>
      </c>
      <c r="F857" s="10" t="n">
        <f aca="false">IF(B857="","",(B857-E857)/Resumen!$B$5)</f>
        <v>3.57415904866405</v>
      </c>
      <c r="G857" s="10" t="n">
        <f aca="false">IF(OR(F857="",C857=""),0,(F857-C857)*0.9)</f>
        <v>0.626723143797647</v>
      </c>
      <c r="H857" s="26" t="n">
        <f aca="false">IF(A857&lt;Resumen!$B$11,"",IF(H856="",0,H856)+G857/Resumen!$B$9)</f>
        <v>1.34751966123883</v>
      </c>
      <c r="I857" s="26" t="n">
        <f aca="false">IF(H857="","",H857-AVERAGE(H809:H905))</f>
        <v>0.0830899177857272</v>
      </c>
      <c r="J857" s="27" t="n">
        <f aca="false">IF(I857="","",Resumen!$B$10-(MAX(I809:I905)-I857))</f>
        <v>1.69592463786828</v>
      </c>
    </row>
    <row r="858" customFormat="false" ht="15" hidden="false" customHeight="false" outlineLevel="0" collapsed="false">
      <c r="A858" s="24" t="n">
        <v>46270.3125</v>
      </c>
      <c r="B858" s="10" t="n">
        <v>4.5865</v>
      </c>
      <c r="C858" s="10" t="n">
        <v>3.5815</v>
      </c>
      <c r="D858" s="10" t="n">
        <f aca="false">IF(OR(B858="",C858="",B858&lt;=0.05,C858&lt;=0.05),0,1)</f>
        <v>1</v>
      </c>
      <c r="E858" s="25" t="n">
        <f aca="false">IF(OR(A858&lt;Resumen!$B$6,A858&gt;=Resumen!$B$7),0,MAX(0,AVERAGEIFS(B810:B906,D810:D906,1)-Resumen!$B$5*AVERAGEIFS(C810:C906,D810:D906,1)))</f>
        <v>0.562961964948454</v>
      </c>
      <c r="F858" s="10" t="n">
        <f aca="false">IF(B858="","",(B858-E858)/Resumen!$B$5)</f>
        <v>3.19582052029511</v>
      </c>
      <c r="G858" s="10" t="n">
        <f aca="false">IF(OR(F858="",C858=""),0,(F858-C858)*0.9)</f>
        <v>-0.347111531734399</v>
      </c>
      <c r="H858" s="26" t="n">
        <f aca="false">IF(A858&lt;Resumen!$B$11,"",IF(H857="",0,H857)+G858/Resumen!$B$9)</f>
        <v>1.33111208446871</v>
      </c>
      <c r="I858" s="26" t="n">
        <f aca="false">IF(H858="","",H858-AVERAGE(H810:H906))</f>
        <v>0.0639024381352442</v>
      </c>
      <c r="J858" s="27" t="n">
        <f aca="false">IF(I858="","",Resumen!$B$10-(MAX(I810:I906)-I858))</f>
        <v>1.6767371582178</v>
      </c>
    </row>
    <row r="859" customFormat="false" ht="15" hidden="false" customHeight="false" outlineLevel="0" collapsed="false">
      <c r="A859" s="24" t="n">
        <v>46270.3229166667</v>
      </c>
      <c r="B859" s="10" t="n">
        <v>5.0766</v>
      </c>
      <c r="C859" s="10" t="n">
        <v>4.2263</v>
      </c>
      <c r="D859" s="10" t="n">
        <f aca="false">IF(OR(B859="",C859="",B859&lt;=0.05,C859&lt;=0.05),0,1)</f>
        <v>1</v>
      </c>
      <c r="E859" s="25" t="n">
        <f aca="false">IF(OR(A859&lt;Resumen!$B$6,A859&gt;=Resumen!$B$7),0,MAX(0,AVERAGEIFS(B811:B907,D811:D907,1)-Resumen!$B$5*AVERAGEIFS(C811:C907,D811:D907,1)))</f>
        <v>0.533021487628866</v>
      </c>
      <c r="F859" s="10" t="n">
        <f aca="false">IF(B859="","",(B859-E859)/Resumen!$B$5)</f>
        <v>3.60887888194689</v>
      </c>
      <c r="G859" s="10" t="n">
        <f aca="false">IF(OR(F859="",C859=""),0,(F859-C859)*0.9)</f>
        <v>-0.555679006247799</v>
      </c>
      <c r="H859" s="26" t="n">
        <f aca="false">IF(A859&lt;Resumen!$B$11,"",IF(H858="",0,H858)+G859/Resumen!$B$9)</f>
        <v>1.30484575471296</v>
      </c>
      <c r="I859" s="26" t="n">
        <f aca="false">IF(H859="","",H859-AVERAGE(H811:H907))</f>
        <v>0.0360033243702613</v>
      </c>
      <c r="J859" s="27" t="n">
        <f aca="false">IF(I859="","",Resumen!$B$10-(MAX(I811:I907)-I859))</f>
        <v>1.64883804445282</v>
      </c>
    </row>
    <row r="860" customFormat="false" ht="15" hidden="false" customHeight="false" outlineLevel="0" collapsed="false">
      <c r="A860" s="24" t="n">
        <v>46270.3333333333</v>
      </c>
      <c r="B860" s="10" t="n">
        <v>5.3347</v>
      </c>
      <c r="C860" s="10" t="n">
        <v>4.5149</v>
      </c>
      <c r="D860" s="10" t="n">
        <f aca="false">IF(OR(B860="",C860="",B860&lt;=0.05,C860&lt;=0.05),0,1)</f>
        <v>1</v>
      </c>
      <c r="E860" s="25" t="n">
        <f aca="false">IF(OR(A860&lt;Resumen!$B$6,A860&gt;=Resumen!$B$7),0,MAX(0,AVERAGEIFS(B812:B908,D812:D908,1)-Resumen!$B$5*AVERAGEIFS(C812:C908,D812:D908,1)))</f>
        <v>0.507592018556702</v>
      </c>
      <c r="F860" s="10" t="n">
        <f aca="false">IF(B860="","",(B860-E860)/Resumen!$B$5)</f>
        <v>3.83408100194067</v>
      </c>
      <c r="G860" s="10" t="n">
        <f aca="false">IF(OR(F860="",C860=""),0,(F860-C860)*0.9)</f>
        <v>-0.6127370982534</v>
      </c>
      <c r="H860" s="26" t="n">
        <f aca="false">IF(A860&lt;Resumen!$B$11,"",IF(H859="",0,H859)+G860/Resumen!$B$9)</f>
        <v>1.27588235228935</v>
      </c>
      <c r="I860" s="26" t="n">
        <f aca="false">IF(H860="","",H860-AVERAGE(H812:H908))</f>
        <v>0.0064064591411519</v>
      </c>
      <c r="J860" s="27" t="n">
        <f aca="false">IF(I860="","",Resumen!$B$10-(MAX(I812:I908)-I860))</f>
        <v>1.61924117922371</v>
      </c>
    </row>
    <row r="861" customFormat="false" ht="15" hidden="false" customHeight="false" outlineLevel="0" collapsed="false">
      <c r="A861" s="24" t="n">
        <v>46270.34375</v>
      </c>
      <c r="B861" s="10" t="n">
        <v>5.1457</v>
      </c>
      <c r="C861" s="10" t="n">
        <v>3.8754</v>
      </c>
      <c r="D861" s="10" t="n">
        <f aca="false">IF(OR(B861="",C861="",B861&lt;=0.05,C861&lt;=0.05),0,1)</f>
        <v>1</v>
      </c>
      <c r="E861" s="25" t="n">
        <f aca="false">IF(OR(A861&lt;Resumen!$B$6,A861&gt;=Resumen!$B$7),0,MAX(0,AVERAGEIFS(B813:B909,D813:D909,1)-Resumen!$B$5*AVERAGEIFS(C813:C909,D813:D909,1)))</f>
        <v>0.514823712371134</v>
      </c>
      <c r="F861" s="10" t="n">
        <f aca="false">IF(B861="","",(B861-E861)/Resumen!$B$5)</f>
        <v>3.67821786150029</v>
      </c>
      <c r="G861" s="10" t="n">
        <f aca="false">IF(OR(F861="",C861=""),0,(F861-C861)*0.9)</f>
        <v>-0.177463924649738</v>
      </c>
      <c r="H861" s="26" t="n">
        <f aca="false">IF(A861&lt;Resumen!$B$11,"",IF(H860="",0,H860)+G861/Resumen!$B$9)</f>
        <v>1.26749382957716</v>
      </c>
      <c r="I861" s="26" t="n">
        <f aca="false">IF(H861="","",H861-AVERAGE(H813:H909))</f>
        <v>-0.0027192886528169</v>
      </c>
      <c r="J861" s="27" t="n">
        <f aca="false">IF(I861="","",Resumen!$B$10-(MAX(I813:I909)-I861))</f>
        <v>1.61011543142974</v>
      </c>
    </row>
    <row r="862" customFormat="false" ht="15" hidden="false" customHeight="false" outlineLevel="0" collapsed="false">
      <c r="A862" s="24" t="n">
        <v>46270.3541666667</v>
      </c>
      <c r="B862" s="10" t="n">
        <v>5.1945</v>
      </c>
      <c r="C862" s="10" t="n">
        <v>3.2775</v>
      </c>
      <c r="D862" s="10" t="n">
        <f aca="false">IF(OR(B862="",C862="",B862&lt;=0.05,C862&lt;=0.05),0,1)</f>
        <v>1</v>
      </c>
      <c r="E862" s="25" t="n">
        <f aca="false">IF(OR(A862&lt;Resumen!$B$6,A862&gt;=Resumen!$B$7),0,MAX(0,AVERAGEIFS(B814:B910,D814:D910,1)-Resumen!$B$5*AVERAGEIFS(C814:C910,D814:D910,1)))</f>
        <v>0.51888863402062</v>
      </c>
      <c r="F862" s="10" t="n">
        <f aca="false">IF(B862="","",(B862-E862)/Resumen!$B$5)</f>
        <v>3.71375009212024</v>
      </c>
      <c r="G862" s="10" t="n">
        <f aca="false">IF(OR(F862="",C862=""),0,(F862-C862)*0.9)</f>
        <v>0.392625082908215</v>
      </c>
      <c r="H862" s="26" t="n">
        <f aca="false">IF(A862&lt;Resumen!$B$11,"",IF(H861="",0,H861)+G862/Resumen!$B$9)</f>
        <v>1.28605278138583</v>
      </c>
      <c r="I862" s="26" t="n">
        <f aca="false">IF(H862="","",H862-AVERAGE(H814:H910))</f>
        <v>0.0151077140286631</v>
      </c>
      <c r="J862" s="27" t="n">
        <f aca="false">IF(I862="","",Resumen!$B$10-(MAX(I814:I910)-I862))</f>
        <v>1.62794243411122</v>
      </c>
    </row>
    <row r="863" customFormat="false" ht="15" hidden="false" customHeight="false" outlineLevel="0" collapsed="false">
      <c r="A863" s="24" t="n">
        <v>46270.3645833333</v>
      </c>
      <c r="B863" s="10" t="n">
        <v>4.9342</v>
      </c>
      <c r="C863" s="10" t="n">
        <v>3.6114</v>
      </c>
      <c r="D863" s="10" t="n">
        <f aca="false">IF(OR(B863="",C863="",B863&lt;=0.05,C863&lt;=0.05),0,1)</f>
        <v>1</v>
      </c>
      <c r="E863" s="25" t="n">
        <f aca="false">IF(OR(A863&lt;Resumen!$B$6,A863&gt;=Resumen!$B$7),0,MAX(0,AVERAGEIFS(B815:B911,D815:D911,1)-Resumen!$B$5*AVERAGEIFS(C815:C911,D815:D911,1)))</f>
        <v>0.507012756701032</v>
      </c>
      <c r="F863" s="10" t="n">
        <f aca="false">IF(B863="","",(B863-E863)/Resumen!$B$5)</f>
        <v>3.51643148792611</v>
      </c>
      <c r="G863" s="10" t="n">
        <f aca="false">IF(OR(F863="",C863=""),0,(F863-C863)*0.9)</f>
        <v>-0.0854716608665039</v>
      </c>
      <c r="H863" s="26" t="n">
        <f aca="false">IF(A863&lt;Resumen!$B$11,"",IF(H862="",0,H862)+G863/Resumen!$B$9)</f>
        <v>1.28201263086035</v>
      </c>
      <c r="I863" s="26" t="n">
        <f aca="false">IF(H863="","",H863-AVERAGE(H815:H911))</f>
        <v>0.0108727604182342</v>
      </c>
      <c r="J863" s="27" t="n">
        <f aca="false">IF(I863="","",Resumen!$B$10-(MAX(I815:I911)-I863))</f>
        <v>1.62370748050079</v>
      </c>
    </row>
    <row r="864" customFormat="false" ht="15" hidden="false" customHeight="false" outlineLevel="0" collapsed="false">
      <c r="A864" s="24" t="n">
        <v>46270.375</v>
      </c>
      <c r="B864" s="10" t="n">
        <v>4.9862</v>
      </c>
      <c r="C864" s="10" t="n">
        <v>4.1343</v>
      </c>
      <c r="D864" s="10" t="n">
        <f aca="false">IF(OR(B864="",C864="",B864&lt;=0.05,C864&lt;=0.05),0,1)</f>
        <v>1</v>
      </c>
      <c r="E864" s="25" t="n">
        <f aca="false">IF(OR(A864&lt;Resumen!$B$6,A864&gt;=Resumen!$B$7),0,MAX(0,AVERAGEIFS(B816:B912,D816:D912,1)-Resumen!$B$5*AVERAGEIFS(C816:C912,D816:D912,1)))</f>
        <v>0.509275038144331</v>
      </c>
      <c r="F864" s="10" t="n">
        <f aca="false">IF(B864="","",(B864-E864)/Resumen!$B$5)</f>
        <v>3.55593722148981</v>
      </c>
      <c r="G864" s="10" t="n">
        <f aca="false">IF(OR(F864="",C864=""),0,(F864-C864)*0.9)</f>
        <v>-0.520526500659172</v>
      </c>
      <c r="H864" s="26" t="n">
        <f aca="false">IF(A864&lt;Resumen!$B$11,"",IF(H863="",0,H863)+G864/Resumen!$B$9)</f>
        <v>1.25740792102033</v>
      </c>
      <c r="I864" s="26" t="n">
        <f aca="false">IF(H864="","",H864-AVERAGE(H816:H912))</f>
        <v>-0.0138675302643767</v>
      </c>
      <c r="J864" s="27" t="n">
        <f aca="false">IF(I864="","",Resumen!$B$10-(MAX(I816:I912)-I864))</f>
        <v>1.59896718981818</v>
      </c>
    </row>
    <row r="865" customFormat="false" ht="15" hidden="false" customHeight="false" outlineLevel="0" collapsed="false">
      <c r="A865" s="24" t="n">
        <v>46270.3854166667</v>
      </c>
      <c r="B865" s="10" t="n">
        <v>5.0862</v>
      </c>
      <c r="C865" s="10" t="n">
        <v>3.7629</v>
      </c>
      <c r="D865" s="10" t="n">
        <f aca="false">IF(OR(B865="",C865="",B865&lt;=0.05,C865&lt;=0.05),0,1)</f>
        <v>1</v>
      </c>
      <c r="E865" s="25" t="n">
        <f aca="false">IF(OR(A865&lt;Resumen!$B$6,A865&gt;=Resumen!$B$7),0,MAX(0,AVERAGEIFS(B817:B913,D817:D913,1)-Resumen!$B$5*AVERAGEIFS(C817:C913,D817:D913,1)))</f>
        <v>0.519127963917526</v>
      </c>
      <c r="F865" s="10" t="n">
        <f aca="false">IF(B865="","",(B865-E865)/Resumen!$B$5)</f>
        <v>3.62753934557782</v>
      </c>
      <c r="G865" s="10" t="n">
        <f aca="false">IF(OR(F865="",C865=""),0,(F865-C865)*0.9)</f>
        <v>-0.121824588979963</v>
      </c>
      <c r="H865" s="26" t="n">
        <f aca="false">IF(A865&lt;Resumen!$B$11,"",IF(H864="",0,H864)+G865/Resumen!$B$9)</f>
        <v>1.25164940793898</v>
      </c>
      <c r="I865" s="26" t="n">
        <f aca="false">IF(H865="","",H865-AVERAGE(H817:H913))</f>
        <v>-0.0199551789240107</v>
      </c>
      <c r="J865" s="27" t="n">
        <f aca="false">IF(I865="","",Resumen!$B$10-(MAX(I817:I913)-I865))</f>
        <v>1.59287954115855</v>
      </c>
    </row>
    <row r="866" customFormat="false" ht="15" hidden="false" customHeight="false" outlineLevel="0" collapsed="false">
      <c r="A866" s="24" t="n">
        <v>46270.3958333333</v>
      </c>
      <c r="B866" s="10" t="n">
        <v>5.093</v>
      </c>
      <c r="C866" s="10" t="n">
        <v>3.4653</v>
      </c>
      <c r="D866" s="10" t="n">
        <f aca="false">IF(OR(B866="",C866="",B866&lt;=0.05,C866&lt;=0.05),0,1)</f>
        <v>1</v>
      </c>
      <c r="E866" s="25" t="n">
        <f aca="false">IF(OR(A866&lt;Resumen!$B$6,A866&gt;=Resumen!$B$7),0,MAX(0,AVERAGEIFS(B818:B914,D818:D914,1)-Resumen!$B$5*AVERAGEIFS(C818:C914,D818:D914,1)))</f>
        <v>0.517891293814434</v>
      </c>
      <c r="F866" s="10" t="n">
        <f aca="false">IF(B866="","",(B866-E866)/Resumen!$B$5)</f>
        <v>3.6339227213547</v>
      </c>
      <c r="G866" s="10" t="n">
        <f aca="false">IF(OR(F866="",C866=""),0,(F866-C866)*0.9)</f>
        <v>0.15176044921923</v>
      </c>
      <c r="H866" s="26" t="n">
        <f aca="false">IF(A866&lt;Resumen!$B$11,"",IF(H865="",0,H865)+G866/Resumen!$B$9)</f>
        <v>1.25882295590148</v>
      </c>
      <c r="I866" s="26" t="n">
        <f aca="false">IF(H866="","",H866-AVERAGE(H818:H914))</f>
        <v>-0.0129274566311948</v>
      </c>
      <c r="J866" s="27" t="n">
        <f aca="false">IF(I866="","",Resumen!$B$10-(MAX(I818:I914)-I866))</f>
        <v>1.59990726345136</v>
      </c>
    </row>
    <row r="867" customFormat="false" ht="15" hidden="false" customHeight="false" outlineLevel="0" collapsed="false">
      <c r="A867" s="24" t="n">
        <v>46270.40625</v>
      </c>
      <c r="B867" s="10" t="n">
        <v>4.8692</v>
      </c>
      <c r="C867" s="10" t="n">
        <v>3.1723</v>
      </c>
      <c r="D867" s="10" t="n">
        <f aca="false">IF(OR(B867="",C867="",B867&lt;=0.05,C867&lt;=0.05),0,1)</f>
        <v>1</v>
      </c>
      <c r="E867" s="25" t="n">
        <f aca="false">IF(OR(A867&lt;Resumen!$B$6,A867&gt;=Resumen!$B$7),0,MAX(0,AVERAGEIFS(B819:B915,D819:D915,1)-Resumen!$B$5*AVERAGEIFS(C819:C915,D819:D915,1)))</f>
        <v>0.52219332886598</v>
      </c>
      <c r="F867" s="10" t="n">
        <f aca="false">IF(B867="","",(B867-E867)/Resumen!$B$5)</f>
        <v>3.45274556881177</v>
      </c>
      <c r="G867" s="10" t="n">
        <f aca="false">IF(OR(F867="",C867=""),0,(F867-C867)*0.9)</f>
        <v>0.252401011930594</v>
      </c>
      <c r="H867" s="26" t="n">
        <f aca="false">IF(A867&lt;Resumen!$B$11,"",IF(H866="",0,H866)+G867/Resumen!$B$9)</f>
        <v>1.27075367154039</v>
      </c>
      <c r="I867" s="26" t="n">
        <f aca="false">IF(H867="","",H867-AVERAGE(H819:H915))</f>
        <v>-0.00115742891973114</v>
      </c>
      <c r="J867" s="27" t="n">
        <f aca="false">IF(I867="","",Resumen!$B$10-(MAX(I819:I915)-I867))</f>
        <v>1.61167729116283</v>
      </c>
    </row>
    <row r="868" customFormat="false" ht="15" hidden="false" customHeight="false" outlineLevel="0" collapsed="false">
      <c r="A868" s="24" t="n">
        <v>46270.4166666667</v>
      </c>
      <c r="B868" s="10" t="n">
        <v>5.128</v>
      </c>
      <c r="C868" s="10" t="n">
        <v>3.706</v>
      </c>
      <c r="D868" s="10" t="n">
        <f aca="false">IF(OR(B868="",C868="",B868&lt;=0.05,C868&lt;=0.05),0,1)</f>
        <v>1</v>
      </c>
      <c r="E868" s="25" t="n">
        <f aca="false">IF(OR(A868&lt;Resumen!$B$6,A868&gt;=Resumen!$B$7),0,MAX(0,AVERAGEIFS(B820:B916,D820:D916,1)-Resumen!$B$5*AVERAGEIFS(C820:C916,D820:D916,1)))</f>
        <v>0.526390647422681</v>
      </c>
      <c r="F868" s="10" t="n">
        <f aca="false">IF(B868="","",(B868-E868)/Resumen!$B$5)</f>
        <v>3.65497168592321</v>
      </c>
      <c r="G868" s="10" t="n">
        <f aca="false">IF(OR(F868="",C868=""),0,(F868-C868)*0.9)</f>
        <v>-0.0459254826691118</v>
      </c>
      <c r="H868" s="26" t="n">
        <f aca="false">IF(A868&lt;Resumen!$B$11,"",IF(H867="",0,H867)+G868/Resumen!$B$9)</f>
        <v>1.26858282495735</v>
      </c>
      <c r="I868" s="26" t="n">
        <f aca="false">IF(H868="","",H868-AVERAGE(H820:H916))</f>
        <v>-0.00349768394907568</v>
      </c>
      <c r="J868" s="27" t="n">
        <f aca="false">IF(I868="","",Resumen!$B$10-(MAX(I820:I916)-I868))</f>
        <v>1.60933703613348</v>
      </c>
    </row>
    <row r="869" customFormat="false" ht="15" hidden="false" customHeight="false" outlineLevel="0" collapsed="false">
      <c r="A869" s="24" t="n">
        <v>46270.4270833333</v>
      </c>
      <c r="B869" s="10" t="n">
        <v>4.8556</v>
      </c>
      <c r="C869" s="10" t="n">
        <v>3.6827</v>
      </c>
      <c r="D869" s="10" t="n">
        <f aca="false">IF(OR(B869="",C869="",B869&lt;=0.05,C869&lt;=0.05),0,1)</f>
        <v>1</v>
      </c>
      <c r="E869" s="25" t="n">
        <f aca="false">IF(OR(A869&lt;Resumen!$B$6,A869&gt;=Resumen!$B$7),0,MAX(0,AVERAGEIFS(B821:B917,D821:D917,1)-Resumen!$B$5*AVERAGEIFS(C821:C917,D821:D917,1)))</f>
        <v>0.531353045360825</v>
      </c>
      <c r="F869" s="10" t="n">
        <f aca="false">IF(B869="","",(B869-E869)/Resumen!$B$5)</f>
        <v>3.43466795443938</v>
      </c>
      <c r="G869" s="10" t="n">
        <f aca="false">IF(OR(F869="",C869=""),0,(F869-C869)*0.9)</f>
        <v>-0.223228841004561</v>
      </c>
      <c r="H869" s="26" t="n">
        <f aca="false">IF(A869&lt;Resumen!$B$11,"",IF(H868="",0,H868)+G869/Resumen!$B$9)</f>
        <v>1.25803104545355</v>
      </c>
      <c r="I869" s="26" t="n">
        <f aca="false">IF(H869="","",H869-AVERAGE(H821:H917))</f>
        <v>-0.0142558218475428</v>
      </c>
      <c r="J869" s="27" t="n">
        <f aca="false">IF(I869="","",Resumen!$B$10-(MAX(I821:I917)-I869))</f>
        <v>1.59857889823501</v>
      </c>
    </row>
    <row r="870" customFormat="false" ht="15" hidden="false" customHeight="false" outlineLevel="0" collapsed="false">
      <c r="A870" s="24" t="n">
        <v>46270.4375</v>
      </c>
      <c r="B870" s="10" t="n">
        <v>5.1557</v>
      </c>
      <c r="C870" s="10" t="n">
        <v>3.9451</v>
      </c>
      <c r="D870" s="10" t="n">
        <f aca="false">IF(OR(B870="",C870="",B870&lt;=0.05,C870&lt;=0.05),0,1)</f>
        <v>1</v>
      </c>
      <c r="E870" s="25" t="n">
        <f aca="false">IF(OR(A870&lt;Resumen!$B$6,A870&gt;=Resumen!$B$7),0,MAX(0,AVERAGEIFS(B822:B918,D822:D918,1)-Resumen!$B$5*AVERAGEIFS(C822:C918,D822:D918,1)))</f>
        <v>0.530485378350516</v>
      </c>
      <c r="F870" s="10" t="n">
        <f aca="false">IF(B870="","",(B870-E870)/Resumen!$B$5)</f>
        <v>3.67372090679069</v>
      </c>
      <c r="G870" s="10" t="n">
        <f aca="false">IF(OR(F870="",C870=""),0,(F870-C870)*0.9)</f>
        <v>-0.244241183888375</v>
      </c>
      <c r="H870" s="26" t="n">
        <f aca="false">IF(A870&lt;Resumen!$B$11,"",IF(H869="",0,H869)+G870/Resumen!$B$9)</f>
        <v>1.24648603582782</v>
      </c>
      <c r="I870" s="26" t="n">
        <f aca="false">IF(H870="","",H870-AVERAGE(H822:H918))</f>
        <v>-0.0258497617307796</v>
      </c>
      <c r="J870" s="27" t="n">
        <f aca="false">IF(I870="","",Resumen!$B$10-(MAX(I822:I918)-I870))</f>
        <v>1.58698495835178</v>
      </c>
    </row>
    <row r="871" customFormat="false" ht="15" hidden="false" customHeight="false" outlineLevel="0" collapsed="false">
      <c r="A871" s="24" t="n">
        <v>46270.4479166667</v>
      </c>
      <c r="B871" s="10" t="n">
        <v>4.8381</v>
      </c>
      <c r="C871" s="10" t="n">
        <v>4.1433</v>
      </c>
      <c r="D871" s="10" t="n">
        <f aca="false">IF(OR(B871="",C871="",B871&lt;=0.05,C871&lt;=0.05),0,1)</f>
        <v>1</v>
      </c>
      <c r="E871" s="25" t="n">
        <f aca="false">IF(OR(A871&lt;Resumen!$B$6,A871&gt;=Resumen!$B$7),0,MAX(0,AVERAGEIFS(B823:B919,D823:D919,1)-Resumen!$B$5*AVERAGEIFS(C823:C919,D823:D919,1)))</f>
        <v>0.525277842268042</v>
      </c>
      <c r="F871" s="10" t="n">
        <f aca="false">IF(B871="","",(B871-E871)/Resumen!$B$5)</f>
        <v>3.42559345332165</v>
      </c>
      <c r="G871" s="10" t="n">
        <f aca="false">IF(OR(F871="",C871=""),0,(F871-C871)*0.9)</f>
        <v>-0.645935892010515</v>
      </c>
      <c r="H871" s="26" t="n">
        <f aca="false">IF(A871&lt;Resumen!$B$11,"",IF(H870="",0,H870)+G871/Resumen!$B$9)</f>
        <v>1.21595336327791</v>
      </c>
      <c r="I871" s="26" t="n">
        <f aca="false">IF(H871="","",H871-AVERAGE(H823:H919))</f>
        <v>-0.0561327819287989</v>
      </c>
      <c r="J871" s="27" t="n">
        <f aca="false">IF(I871="","",Resumen!$B$10-(MAX(I823:I919)-I871))</f>
        <v>1.55670193815376</v>
      </c>
    </row>
    <row r="872" customFormat="false" ht="15" hidden="false" customHeight="false" outlineLevel="0" collapsed="false">
      <c r="A872" s="24" t="n">
        <v>46270.4583333333</v>
      </c>
      <c r="B872" s="10" t="n">
        <v>6.42</v>
      </c>
      <c r="C872" s="10" t="n">
        <v>4.3022</v>
      </c>
      <c r="D872" s="10" t="n">
        <f aca="false">IF(OR(B872="",C872="",B872&lt;=0.05,C872&lt;=0.05),0,1)</f>
        <v>1</v>
      </c>
      <c r="E872" s="25" t="n">
        <f aca="false">IF(OR(A872&lt;Resumen!$B$6,A872&gt;=Resumen!$B$7),0,MAX(0,AVERAGEIFS(B824:B920,D824:D920,1)-Resumen!$B$5*AVERAGEIFS(C824:C920,D824:D920,1)))</f>
        <v>0.527021606185568</v>
      </c>
      <c r="F872" s="10" t="n">
        <f aca="false">IF(B872="","",(B872-E872)/Resumen!$B$5)</f>
        <v>4.680681806048</v>
      </c>
      <c r="G872" s="10" t="n">
        <f aca="false">IF(OR(F872="",C872=""),0,(F872-C872)*0.9)</f>
        <v>0.340633625443201</v>
      </c>
      <c r="H872" s="26" t="n">
        <f aca="false">IF(A872&lt;Resumen!$B$11,"",IF(H871="",0,H871)+G872/Resumen!$B$9)</f>
        <v>1.2320547366089</v>
      </c>
      <c r="I872" s="26" t="n">
        <f aca="false">IF(H872="","",H872-AVERAGE(H824:H920))</f>
        <v>-0.0397181497088035</v>
      </c>
      <c r="J872" s="27" t="n">
        <f aca="false">IF(I872="","",Resumen!$B$10-(MAX(I824:I920)-I872))</f>
        <v>1.57311657037375</v>
      </c>
    </row>
    <row r="873" customFormat="false" ht="15" hidden="false" customHeight="false" outlineLevel="0" collapsed="false">
      <c r="A873" s="24" t="n">
        <v>46270.46875</v>
      </c>
      <c r="B873" s="10" t="n">
        <v>5.9061</v>
      </c>
      <c r="C873" s="10" t="n">
        <v>4.153</v>
      </c>
      <c r="D873" s="10" t="n">
        <f aca="false">IF(OR(B873="",C873="",B873&lt;=0.05,C873&lt;=0.05),0,1)</f>
        <v>1</v>
      </c>
      <c r="E873" s="25" t="n">
        <f aca="false">IF(OR(A873&lt;Resumen!$B$6,A873&gt;=Resumen!$B$7),0,MAX(0,AVERAGEIFS(B825:B921,D825:D921,1)-Resumen!$B$5*AVERAGEIFS(C825:C921,D825:D921,1)))</f>
        <v>0.525788898969072</v>
      </c>
      <c r="F873" s="10" t="n">
        <f aca="false">IF(B873="","",(B873-E873)/Resumen!$B$5)</f>
        <v>4.27347982607699</v>
      </c>
      <c r="G873" s="10" t="n">
        <f aca="false">IF(OR(F873="",C873=""),0,(F873-C873)*0.9)</f>
        <v>0.108431843469291</v>
      </c>
      <c r="H873" s="26" t="n">
        <f aca="false">IF(A873&lt;Resumen!$B$11,"",IF(H872="",0,H872)+G873/Resumen!$B$9)</f>
        <v>1.23718018947749</v>
      </c>
      <c r="I873" s="26" t="n">
        <f aca="false">IF(H873="","",H873-AVERAGE(H825:H921))</f>
        <v>-0.0341333596913183</v>
      </c>
      <c r="J873" s="27" t="n">
        <f aca="false">IF(I873="","",Resumen!$B$10-(MAX(I825:I921)-I873))</f>
        <v>1.57870136039124</v>
      </c>
    </row>
    <row r="874" customFormat="false" ht="15" hidden="false" customHeight="false" outlineLevel="0" collapsed="false">
      <c r="A874" s="24" t="n">
        <v>46270.4791666667</v>
      </c>
      <c r="B874" s="10" t="n">
        <v>4.8259</v>
      </c>
      <c r="C874" s="10" t="n">
        <v>4.0093</v>
      </c>
      <c r="D874" s="10" t="n">
        <f aca="false">IF(OR(B874="",C874="",B874&lt;=0.05,C874&lt;=0.05),0,1)</f>
        <v>1</v>
      </c>
      <c r="E874" s="25" t="n">
        <f aca="false">IF(OR(A874&lt;Resumen!$B$6,A874&gt;=Resumen!$B$7),0,MAX(0,AVERAGEIFS(B826:B922,D826:D922,1)-Resumen!$B$5*AVERAGEIFS(C826:C922,D826:D922,1)))</f>
        <v>0.521739756701031</v>
      </c>
      <c r="F874" s="10" t="n">
        <f aca="false">IF(B874="","",(B874-E874)/Resumen!$B$5)</f>
        <v>3.41871345774342</v>
      </c>
      <c r="G874" s="10" t="n">
        <f aca="false">IF(OR(F874="",C874=""),0,(F874-C874)*0.9)</f>
        <v>-0.531527888030919</v>
      </c>
      <c r="H874" s="26" t="n">
        <f aca="false">IF(A874&lt;Resumen!$B$11,"",IF(H873="",0,H873)+G874/Resumen!$B$9)</f>
        <v>1.21205545626925</v>
      </c>
      <c r="I874" s="26" t="n">
        <f aca="false">IF(H874="","",H874-AVERAGE(H826:H922))</f>
        <v>-0.058567257146656</v>
      </c>
      <c r="J874" s="27" t="n">
        <f aca="false">IF(I874="","",Resumen!$B$10-(MAX(I826:I922)-I874))</f>
        <v>1.5542674629359</v>
      </c>
    </row>
    <row r="875" customFormat="false" ht="15" hidden="false" customHeight="false" outlineLevel="0" collapsed="false">
      <c r="A875" s="24" t="n">
        <v>46270.4895833333</v>
      </c>
      <c r="B875" s="10" t="n">
        <v>5.4037</v>
      </c>
      <c r="C875" s="10" t="n">
        <v>4.1822</v>
      </c>
      <c r="D875" s="10" t="n">
        <f aca="false">IF(OR(B875="",C875="",B875&lt;=0.05,C875&lt;=0.05),0,1)</f>
        <v>1</v>
      </c>
      <c r="E875" s="25" t="n">
        <f aca="false">IF(OR(A875&lt;Resumen!$B$6,A875&gt;=Resumen!$B$7),0,MAX(0,AVERAGEIFS(B827:B923,D827:D923,1)-Resumen!$B$5*AVERAGEIFS(C827:C923,D827:D923,1)))</f>
        <v>0.519316359793815</v>
      </c>
      <c r="F875" s="10" t="n">
        <f aca="false">IF(B875="","",(B875-E875)/Resumen!$B$5)</f>
        <v>3.87957397951246</v>
      </c>
      <c r="G875" s="10" t="n">
        <f aca="false">IF(OR(F875="",C875=""),0,(F875-C875)*0.9)</f>
        <v>-0.272363418438787</v>
      </c>
      <c r="H875" s="26" t="n">
        <f aca="false">IF(A875&lt;Resumen!$B$11,"",IF(H874="",0,H874)+G875/Resumen!$B$9)</f>
        <v>1.19918113983533</v>
      </c>
      <c r="I875" s="26" t="n">
        <f aca="false">IF(H875="","",H875-AVERAGE(H827:H923))</f>
        <v>-0.0705763130993351</v>
      </c>
      <c r="J875" s="27" t="n">
        <f aca="false">IF(I875="","",Resumen!$B$10-(MAX(I827:I923)-I875))</f>
        <v>1.54225840698322</v>
      </c>
    </row>
    <row r="876" customFormat="false" ht="15" hidden="false" customHeight="false" outlineLevel="0" collapsed="false">
      <c r="A876" s="24" t="n">
        <v>46270.5</v>
      </c>
      <c r="B876" s="10" t="n">
        <v>4.9957</v>
      </c>
      <c r="C876" s="10" t="n">
        <v>4.276</v>
      </c>
      <c r="D876" s="10" t="n">
        <f aca="false">IF(OR(B876="",C876="",B876&lt;=0.05,C876&lt;=0.05),0,1)</f>
        <v>1</v>
      </c>
      <c r="E876" s="25" t="n">
        <f aca="false">IF(OR(A876&lt;Resumen!$B$6,A876&gt;=Resumen!$B$7),0,MAX(0,AVERAGEIFS(B828:B924,D828:D924,1)-Resumen!$B$5*AVERAGEIFS(C828:C924,D828:D924,1)))</f>
        <v>0.519164110309279</v>
      </c>
      <c r="F876" s="10" t="n">
        <f aca="false">IF(B876="","",(B876-E876)/Resumen!$B$5)</f>
        <v>3.55562818879327</v>
      </c>
      <c r="G876" s="10" t="n">
        <f aca="false">IF(OR(F876="",C876=""),0,(F876-C876)*0.9)</f>
        <v>-0.648334630086061</v>
      </c>
      <c r="H876" s="26" t="n">
        <f aca="false">IF(A876&lt;Resumen!$B$11,"",IF(H875="",0,H875)+G876/Resumen!$B$9)</f>
        <v>1.16853508159948</v>
      </c>
      <c r="I876" s="26" t="n">
        <f aca="false">IF(H876="","",H876-AVERAGE(H828:H924))</f>
        <v>-0.100267478448693</v>
      </c>
      <c r="J876" s="27" t="n">
        <f aca="false">IF(I876="","",Resumen!$B$10-(MAX(I828:I924)-I876))</f>
        <v>1.51256724163386</v>
      </c>
    </row>
    <row r="877" customFormat="false" ht="15" hidden="false" customHeight="false" outlineLevel="0" collapsed="false">
      <c r="A877" s="24" t="n">
        <v>46270.5104166667</v>
      </c>
      <c r="B877" s="10" t="n">
        <v>5.0894</v>
      </c>
      <c r="C877" s="10" t="n">
        <v>3.0592</v>
      </c>
      <c r="D877" s="10" t="n">
        <f aca="false">IF(OR(B877="",C877="",B877&lt;=0.05,C877&lt;=0.05),0,1)</f>
        <v>1</v>
      </c>
      <c r="E877" s="25" t="n">
        <f aca="false">IF(OR(A877&lt;Resumen!$B$6,A877&gt;=Resumen!$B$7),0,MAX(0,AVERAGEIFS(B829:B925,D829:D925,1)-Resumen!$B$5*AVERAGEIFS(C829:C925,D829:D925,1)))</f>
        <v>0.521547725773197</v>
      </c>
      <c r="F877" s="10" t="n">
        <f aca="false">IF(B877="","",(B877-E877)/Resumen!$B$5)</f>
        <v>3.6281590740483</v>
      </c>
      <c r="G877" s="10" t="n">
        <f aca="false">IF(OR(F877="",C877=""),0,(F877-C877)*0.9)</f>
        <v>0.512063166643466</v>
      </c>
      <c r="H877" s="26" t="n">
        <f aca="false">IF(A877&lt;Resumen!$B$11,"",IF(H876="",0,H876)+G877/Resumen!$B$9)</f>
        <v>1.19273973903588</v>
      </c>
      <c r="I877" s="26" t="n">
        <f aca="false">IF(H877="","",H877-AVERAGE(H829:H925))</f>
        <v>-0.0751044962932963</v>
      </c>
      <c r="J877" s="27" t="n">
        <f aca="false">IF(I877="","",Resumen!$B$10-(MAX(I829:I925)-I877))</f>
        <v>1.53773022378926</v>
      </c>
    </row>
    <row r="878" customFormat="false" ht="15" hidden="false" customHeight="false" outlineLevel="0" collapsed="false">
      <c r="A878" s="24" t="n">
        <v>46270.5208333333</v>
      </c>
      <c r="B878" s="10" t="n">
        <v>4.8579</v>
      </c>
      <c r="C878" s="10" t="n">
        <v>3.4103</v>
      </c>
      <c r="D878" s="10" t="n">
        <f aca="false">IF(OR(B878="",C878="",B878&lt;=0.05,C878&lt;=0.05),0,1)</f>
        <v>1</v>
      </c>
      <c r="E878" s="25" t="n">
        <f aca="false">IF(OR(A878&lt;Resumen!$B$6,A878&gt;=Resumen!$B$7),0,MAX(0,AVERAGEIFS(B830:B926,D830:D926,1)-Resumen!$B$5*AVERAGEIFS(C830:C926,D830:D926,1)))</f>
        <v>0.521738064948454</v>
      </c>
      <c r="F878" s="10" t="n">
        <f aca="false">IF(B878="","",(B878-E878)/Resumen!$B$5)</f>
        <v>3.44413179908781</v>
      </c>
      <c r="G878" s="10" t="n">
        <f aca="false">IF(OR(F878="",C878=""),0,(F878-C878)*0.9)</f>
        <v>0.0304486191790245</v>
      </c>
      <c r="H878" s="26" t="n">
        <f aca="false">IF(A878&lt;Resumen!$B$11,"",IF(H877="",0,H877)+G878/Resumen!$B$9)</f>
        <v>1.1941790114629</v>
      </c>
      <c r="I878" s="26" t="n">
        <f aca="false">IF(H878="","",H878-AVERAGE(H830:H926))</f>
        <v>-0.0726522129935656</v>
      </c>
      <c r="J878" s="27" t="n">
        <f aca="false">IF(I878="","",Resumen!$B$10-(MAX(I830:I926)-I878))</f>
        <v>1.54375231101392</v>
      </c>
    </row>
    <row r="879" customFormat="false" ht="15" hidden="false" customHeight="false" outlineLevel="0" collapsed="false">
      <c r="A879" s="24" t="n">
        <v>46270.53125</v>
      </c>
      <c r="B879" s="10" t="n">
        <v>6.021</v>
      </c>
      <c r="C879" s="10" t="n">
        <v>3.5732</v>
      </c>
      <c r="D879" s="10" t="n">
        <f aca="false">IF(OR(B879="",C879="",B879&lt;=0.05,C879&lt;=0.05),0,1)</f>
        <v>1</v>
      </c>
      <c r="E879" s="25" t="n">
        <f aca="false">IF(OR(A879&lt;Resumen!$B$6,A879&gt;=Resumen!$B$7),0,MAX(0,AVERAGEIFS(B831:B927,D831:D927,1)-Resumen!$B$5*AVERAGEIFS(C831:C927,D831:D927,1)))</f>
        <v>0.52607902371134</v>
      </c>
      <c r="F879" s="10" t="n">
        <f aca="false">IF(B879="","",(B879-E879)/Resumen!$B$5)</f>
        <v>4.36451229252475</v>
      </c>
      <c r="G879" s="10" t="n">
        <f aca="false">IF(OR(F879="",C879=""),0,(F879-C879)*0.9)</f>
        <v>0.712181063272275</v>
      </c>
      <c r="H879" s="26" t="n">
        <f aca="false">IF(A879&lt;Resumen!$B$11,"",IF(H878="",0,H878)+G879/Resumen!$B$9)</f>
        <v>1.22784301971836</v>
      </c>
      <c r="I879" s="26" t="n">
        <f aca="false">IF(H879="","",H879-AVERAGE(H831:H927))</f>
        <v>-0.0380698796580967</v>
      </c>
      <c r="J879" s="27" t="n">
        <f aca="false">IF(I879="","",Resumen!$B$10-(MAX(I831:I927)-I879))</f>
        <v>1.57833464434939</v>
      </c>
    </row>
    <row r="880" customFormat="false" ht="15" hidden="false" customHeight="false" outlineLevel="0" collapsed="false">
      <c r="A880" s="24" t="n">
        <v>46270.5416666667</v>
      </c>
      <c r="B880" s="10" t="n">
        <v>4.8198</v>
      </c>
      <c r="C880" s="10" t="n">
        <v>4.0088</v>
      </c>
      <c r="D880" s="10" t="n">
        <f aca="false">IF(OR(B880="",C880="",B880&lt;=0.05,C880&lt;=0.05),0,1)</f>
        <v>1</v>
      </c>
      <c r="E880" s="25" t="n">
        <f aca="false">IF(OR(A880&lt;Resumen!$B$6,A880&gt;=Resumen!$B$7),0,MAX(0,AVERAGEIFS(B832:B928,D832:D928,1)-Resumen!$B$5*AVERAGEIFS(C832:C928,D832:D928,1)))</f>
        <v>0.528080956701032</v>
      </c>
      <c r="F880" s="10" t="n">
        <f aca="false">IF(B880="","",(B880-E880)/Resumen!$B$5)</f>
        <v>3.40883164678234</v>
      </c>
      <c r="G880" s="10" t="n">
        <f aca="false">IF(OR(F880="",C880=""),0,(F880-C880)*0.9)</f>
        <v>-0.539971517895893</v>
      </c>
      <c r="H880" s="26" t="n">
        <f aca="false">IF(A880&lt;Resumen!$B$11,"",IF(H879="",0,H879)+G880/Resumen!$B$9)</f>
        <v>1.20231916549983</v>
      </c>
      <c r="I880" s="26" t="n">
        <f aca="false">IF(H880="","",H880-AVERAGE(H832:H928))</f>
        <v>-0.0627089358095021</v>
      </c>
      <c r="J880" s="27" t="n">
        <f aca="false">IF(I880="","",Resumen!$B$10-(MAX(I832:I928)-I880))</f>
        <v>1.55369558819799</v>
      </c>
    </row>
    <row r="881" customFormat="false" ht="15" hidden="false" customHeight="false" outlineLevel="0" collapsed="false">
      <c r="A881" s="24" t="n">
        <v>46270.5520833333</v>
      </c>
      <c r="B881" s="10" t="n">
        <v>4.7934</v>
      </c>
      <c r="C881" s="10" t="n">
        <v>3.4171</v>
      </c>
      <c r="D881" s="10" t="n">
        <f aca="false">IF(OR(B881="",C881="",B881&lt;=0.05,C881&lt;=0.05),0,1)</f>
        <v>1</v>
      </c>
      <c r="E881" s="25" t="n">
        <f aca="false">IF(OR(A881&lt;Resumen!$B$6,A881&gt;=Resumen!$B$7),0,MAX(0,AVERAGEIFS(B833:B929,D833:D929,1)-Resumen!$B$5*AVERAGEIFS(C833:C929,D833:D929,1)))</f>
        <v>0.528754396907218</v>
      </c>
      <c r="F881" s="10" t="n">
        <f aca="false">IF(B881="","",(B881-E881)/Resumen!$B$5)</f>
        <v>3.38732772286957</v>
      </c>
      <c r="G881" s="10" t="n">
        <f aca="false">IF(OR(F881="",C881=""),0,(F881-C881)*0.9)</f>
        <v>-0.0267950494173911</v>
      </c>
      <c r="H881" s="26" t="n">
        <f aca="false">IF(A881&lt;Resumen!$B$11,"",IF(H880="",0,H880)+G881/Resumen!$B$9)</f>
        <v>1.20105259325955</v>
      </c>
      <c r="I881" s="26" t="n">
        <f aca="false">IF(H881="","",H881-AVERAGE(H833:H929))</f>
        <v>-0.0630816911799996</v>
      </c>
      <c r="J881" s="27" t="n">
        <f aca="false">IF(I881="","",Resumen!$B$10-(MAX(I833:I929)-I881))</f>
        <v>1.55674415425969</v>
      </c>
    </row>
    <row r="882" customFormat="false" ht="15" hidden="false" customHeight="false" outlineLevel="0" collapsed="false">
      <c r="A882" s="24" t="n">
        <v>46270.5625</v>
      </c>
      <c r="B882" s="10" t="n">
        <v>4.8116</v>
      </c>
      <c r="C882" s="10" t="n">
        <v>3.2349</v>
      </c>
      <c r="D882" s="10" t="n">
        <f aca="false">IF(OR(B882="",C882="",B882&lt;=0.05,C882&lt;=0.05),0,1)</f>
        <v>1</v>
      </c>
      <c r="E882" s="25" t="n">
        <f aca="false">IF(OR(A882&lt;Resumen!$B$6,A882&gt;=Resumen!$B$7),0,MAX(0,AVERAGEIFS(B834:B930,D834:D930,1)-Resumen!$B$5*AVERAGEIFS(C834:C930,D834:D930,1)))</f>
        <v>0.528603607216495</v>
      </c>
      <c r="F882" s="10" t="n">
        <f aca="false">IF(B882="","",(B882-E882)/Resumen!$B$5)</f>
        <v>3.40190340967713</v>
      </c>
      <c r="G882" s="10" t="n">
        <f aca="false">IF(OR(F882="",C882=""),0,(F882-C882)*0.9)</f>
        <v>0.150303068709416</v>
      </c>
      <c r="H882" s="26" t="n">
        <f aca="false">IF(A882&lt;Resumen!$B$11,"",IF(H881="",0,H881)+G882/Resumen!$B$9)</f>
        <v>1.20815725246322</v>
      </c>
      <c r="I882" s="26" t="n">
        <f aca="false">IF(H882="","",H882-AVERAGE(H834:H930))</f>
        <v>-0.0550583554961255</v>
      </c>
      <c r="J882" s="27" t="n">
        <f aca="false">IF(I882="","",Resumen!$B$10-(MAX(I834:I930)-I882))</f>
        <v>1.56476748994357</v>
      </c>
    </row>
    <row r="883" customFormat="false" ht="15" hidden="false" customHeight="false" outlineLevel="0" collapsed="false">
      <c r="A883" s="24" t="n">
        <v>46270.5729166667</v>
      </c>
      <c r="B883" s="10" t="n">
        <v>5.1036</v>
      </c>
      <c r="C883" s="10" t="n">
        <v>2.905</v>
      </c>
      <c r="D883" s="10" t="n">
        <f aca="false">IF(OR(B883="",C883="",B883&lt;=0.05,C883&lt;=0.05),0,1)</f>
        <v>1</v>
      </c>
      <c r="E883" s="25" t="n">
        <f aca="false">IF(OR(A883&lt;Resumen!$B$6,A883&gt;=Resumen!$B$7),0,MAX(0,AVERAGEIFS(B835:B931,D835:D931,1)-Resumen!$B$5*AVERAGEIFS(C835:C931,D835:D931,1)))</f>
        <v>0.530131685567011</v>
      </c>
      <c r="F883" s="10" t="n">
        <f aca="false">IF(B883="","",(B883-E883)/Resumen!$B$5)</f>
        <v>3.63261978906512</v>
      </c>
      <c r="G883" s="10" t="n">
        <f aca="false">IF(OR(F883="",C883=""),0,(F883-C883)*0.9)</f>
        <v>0.654857810158611</v>
      </c>
      <c r="H883" s="26" t="n">
        <f aca="false">IF(A883&lt;Resumen!$B$11,"",IF(H882="",0,H882)+G883/Resumen!$B$9)</f>
        <v>1.2391116541796</v>
      </c>
      <c r="I883" s="26" t="n">
        <f aca="false">IF(H883="","",H883-AVERAGE(H835:H931))</f>
        <v>-0.0232308224718234</v>
      </c>
      <c r="J883" s="27" t="n">
        <f aca="false">IF(I883="","",Resumen!$B$10-(MAX(I835:I931)-I883))</f>
        <v>1.60203525685057</v>
      </c>
    </row>
    <row r="884" customFormat="false" ht="15" hidden="false" customHeight="false" outlineLevel="0" collapsed="false">
      <c r="A884" s="24" t="n">
        <v>46270.5833333333</v>
      </c>
      <c r="B884" s="10" t="n">
        <v>3.3958</v>
      </c>
      <c r="C884" s="10" t="n">
        <v>2.4285</v>
      </c>
      <c r="D884" s="10" t="n">
        <f aca="false">IF(OR(B884="",C884="",B884&lt;=0.05,C884&lt;=0.05),0,1)</f>
        <v>1</v>
      </c>
      <c r="E884" s="25" t="n">
        <f aca="false">IF(OR(A884&lt;Resumen!$B$6,A884&gt;=Resumen!$B$7),0,MAX(0,AVERAGEIFS(B836:B932,D836:D932,1)-Resumen!$B$5*AVERAGEIFS(C836:C932,D836:D932,1)))</f>
        <v>0.529219963917526</v>
      </c>
      <c r="F884" s="10" t="n">
        <f aca="false">IF(B884="","",(B884-E884)/Resumen!$B$5)</f>
        <v>2.27687056082802</v>
      </c>
      <c r="G884" s="10" t="n">
        <f aca="false">IF(OR(F884="",C884=""),0,(F884-C884)*0.9)</f>
        <v>-0.136466495254784</v>
      </c>
      <c r="H884" s="26" t="n">
        <f aca="false">IF(A884&lt;Resumen!$B$11,"",IF(H883="",0,H883)+G884/Resumen!$B$9)</f>
        <v>1.23266103444289</v>
      </c>
      <c r="I884" s="26" t="n">
        <f aca="false">IF(H884="","",H884-AVERAGE(H836:H932))</f>
        <v>-0.0287845652822674</v>
      </c>
      <c r="J884" s="27" t="n">
        <f aca="false">IF(I884="","",Resumen!$B$10-(MAX(I836:I932)-I884))</f>
        <v>1.59648151404012</v>
      </c>
    </row>
    <row r="885" customFormat="false" ht="15" hidden="false" customHeight="false" outlineLevel="0" collapsed="false">
      <c r="A885" s="24" t="n">
        <v>46270.59375</v>
      </c>
      <c r="B885" s="10" t="n">
        <v>4.8106</v>
      </c>
      <c r="C885" s="10" t="n">
        <v>3.0954</v>
      </c>
      <c r="D885" s="10" t="n">
        <f aca="false">IF(OR(B885="",C885="",B885&lt;=0.05,C885&lt;=0.05),0,1)</f>
        <v>1</v>
      </c>
      <c r="E885" s="25" t="n">
        <f aca="false">IF(OR(A885&lt;Resumen!$B$6,A885&gt;=Resumen!$B$7),0,MAX(0,AVERAGEIFS(B837:B933,D837:D933,1)-Resumen!$B$5*AVERAGEIFS(C837:C933,D837:D933,1)))</f>
        <v>0.530805932989692</v>
      </c>
      <c r="F885" s="10" t="n">
        <f aca="false">IF(B885="","",(B885-E885)/Resumen!$B$5)</f>
        <v>3.39935986259754</v>
      </c>
      <c r="G885" s="10" t="n">
        <f aca="false">IF(OR(F885="",C885=""),0,(F885-C885)*0.9)</f>
        <v>0.27356387633779</v>
      </c>
      <c r="H885" s="26" t="n">
        <f aca="false">IF(A885&lt;Resumen!$B$11,"",IF(H884="",0,H884)+G885/Resumen!$B$9)</f>
        <v>1.24559209518904</v>
      </c>
      <c r="I885" s="26" t="n">
        <f aca="false">IF(H885="","",H885-AVERAGE(H837:H933))</f>
        <v>-0.0150267911770199</v>
      </c>
      <c r="J885" s="27" t="n">
        <f aca="false">IF(I885="","",Resumen!$B$10-(MAX(I837:I933)-I885))</f>
        <v>1.61023928814537</v>
      </c>
    </row>
    <row r="886" customFormat="false" ht="15" hidden="false" customHeight="false" outlineLevel="0" collapsed="false">
      <c r="A886" s="24" t="n">
        <v>46270.6041666667</v>
      </c>
      <c r="B886" s="10" t="n">
        <v>4.3647</v>
      </c>
      <c r="C886" s="10" t="n">
        <v>2.7671</v>
      </c>
      <c r="D886" s="10" t="n">
        <f aca="false">IF(OR(B886="",C886="",B886&lt;=0.05,C886&lt;=0.05),0,1)</f>
        <v>1</v>
      </c>
      <c r="E886" s="25" t="n">
        <f aca="false">IF(OR(A886&lt;Resumen!$B$6,A886&gt;=Resumen!$B$7),0,MAX(0,AVERAGEIFS(B838:B934,D838:D934,1)-Resumen!$B$5*AVERAGEIFS(C838:C934,D838:D934,1)))</f>
        <v>0.52520070515464</v>
      </c>
      <c r="F886" s="10" t="n">
        <f aca="false">IF(B886="","",(B886-E886)/Resumen!$B$5)</f>
        <v>3.04964201337995</v>
      </c>
      <c r="G886" s="10" t="n">
        <f aca="false">IF(OR(F886="",C886=""),0,(F886-C886)*0.9)</f>
        <v>0.254287812041957</v>
      </c>
      <c r="H886" s="26" t="n">
        <f aca="false">IF(A886&lt;Resumen!$B$11,"",IF(H885="",0,H885)+G886/Resumen!$B$9)</f>
        <v>1.25761199777464</v>
      </c>
      <c r="I886" s="26" t="n">
        <f aca="false">IF(H886="","",H886-AVERAGE(H838:H934))</f>
        <v>-0.00201611284480152</v>
      </c>
      <c r="J886" s="27" t="n">
        <f aca="false">IF(I886="","",Resumen!$B$10-(MAX(I838:I934)-I886))</f>
        <v>1.62324996647759</v>
      </c>
    </row>
    <row r="887" customFormat="false" ht="15" hidden="false" customHeight="false" outlineLevel="0" collapsed="false">
      <c r="A887" s="24" t="n">
        <v>46270.6145833333</v>
      </c>
      <c r="B887" s="10" t="n">
        <v>4.0986</v>
      </c>
      <c r="C887" s="10" t="n">
        <v>3.237</v>
      </c>
      <c r="D887" s="10" t="n">
        <f aca="false">IF(OR(B887="",C887="",B887&lt;=0.05,C887&lt;=0.05),0,1)</f>
        <v>1</v>
      </c>
      <c r="E887" s="25" t="n">
        <f aca="false">IF(OR(A887&lt;Resumen!$B$6,A887&gt;=Resumen!$B$7),0,MAX(0,AVERAGEIFS(B839:B935,D839:D935,1)-Resumen!$B$5*AVERAGEIFS(C839:C935,D839:D935,1)))</f>
        <v>0.52327777628866</v>
      </c>
      <c r="F887" s="10" t="n">
        <f aca="false">IF(B887="","",(B887-E887)/Resumen!$B$5)</f>
        <v>2.83981113876993</v>
      </c>
      <c r="G887" s="10" t="n">
        <f aca="false">IF(OR(F887="",C887=""),0,(F887-C887)*0.9)</f>
        <v>-0.357469975107064</v>
      </c>
      <c r="H887" s="26" t="n">
        <f aca="false">IF(A887&lt;Resumen!$B$11,"",IF(H886="",0,H886)+G887/Resumen!$B$9)</f>
        <v>1.24071478888539</v>
      </c>
      <c r="I887" s="26" t="n">
        <f aca="false">IF(H887="","",H887-AVERAGE(H839:H935))</f>
        <v>-0.0178870012002896</v>
      </c>
      <c r="J887" s="27" t="n">
        <f aca="false">IF(I887="","",Resumen!$B$10-(MAX(I839:I935)-I887))</f>
        <v>1.61782291830451</v>
      </c>
    </row>
    <row r="888" customFormat="false" ht="15" hidden="false" customHeight="false" outlineLevel="0" collapsed="false">
      <c r="A888" s="24" t="n">
        <v>46270.625</v>
      </c>
      <c r="B888" s="10" t="n">
        <v>3.698</v>
      </c>
      <c r="C888" s="10" t="n">
        <v>3.1704</v>
      </c>
      <c r="D888" s="10" t="n">
        <f aca="false">IF(OR(B888="",C888="",B888&lt;=0.05,C888&lt;=0.05),0,1)</f>
        <v>1</v>
      </c>
      <c r="E888" s="25" t="n">
        <f aca="false">IF(OR(A888&lt;Resumen!$B$6,A888&gt;=Resumen!$B$7),0,MAX(0,AVERAGEIFS(B840:B936,D840:D936,1)-Resumen!$B$5*AVERAGEIFS(C840:C936,D840:D936,1)))</f>
        <v>0.520109124742269</v>
      </c>
      <c r="F888" s="10" t="n">
        <f aca="false">IF(B888="","",(B888-E888)/Resumen!$B$5)</f>
        <v>2.52413890012528</v>
      </c>
      <c r="G888" s="10" t="n">
        <f aca="false">IF(OR(F888="",C888=""),0,(F888-C888)*0.9)</f>
        <v>-0.581634989887245</v>
      </c>
      <c r="H888" s="26" t="n">
        <f aca="false">IF(A888&lt;Resumen!$B$11,"",IF(H887="",0,H887)+G888/Resumen!$B$9)</f>
        <v>1.21322154859722</v>
      </c>
      <c r="I888" s="26" t="n">
        <f aca="false">IF(H888="","",H888-AVERAGE(H840:H936))</f>
        <v>-0.0442720346026362</v>
      </c>
      <c r="J888" s="27" t="n">
        <f aca="false">IF(I888="","",Resumen!$B$10-(MAX(I840:I936)-I888))</f>
        <v>1.60136090767027</v>
      </c>
    </row>
    <row r="889" customFormat="false" ht="15" hidden="false" customHeight="false" outlineLevel="0" collapsed="false">
      <c r="A889" s="24" t="n">
        <v>46270.6354166667</v>
      </c>
      <c r="B889" s="10" t="n">
        <v>4.5458</v>
      </c>
      <c r="C889" s="10" t="n">
        <v>2.8954</v>
      </c>
      <c r="D889" s="10" t="n">
        <f aca="false">IF(OR(B889="",C889="",B889&lt;=0.05,C889&lt;=0.05),0,1)</f>
        <v>1</v>
      </c>
      <c r="E889" s="25" t="n">
        <f aca="false">IF(OR(A889&lt;Resumen!$B$6,A889&gt;=Resumen!$B$7),0,MAX(0,AVERAGEIFS(B841:B937,D841:D937,1)-Resumen!$B$5*AVERAGEIFS(C841:C937,D841:D937,1)))</f>
        <v>0.52317624329897</v>
      </c>
      <c r="F889" s="10" t="n">
        <f aca="false">IF(B889="","",(B889-E889)/Resumen!$B$5)</f>
        <v>3.1950943262121</v>
      </c>
      <c r="G889" s="10" t="n">
        <f aca="false">IF(OR(F889="",C889=""),0,(F889-C889)*0.9)</f>
        <v>0.269724893590888</v>
      </c>
      <c r="H889" s="26" t="n">
        <f aca="false">IF(A889&lt;Resumen!$B$11,"",IF(H888="",0,H888)+G889/Resumen!$B$9)</f>
        <v>1.22597114489065</v>
      </c>
      <c r="I889" s="26" t="n">
        <f aca="false">IF(H889="","",H889-AVERAGE(H841:H937))</f>
        <v>-0.0305433803254467</v>
      </c>
      <c r="J889" s="27" t="n">
        <f aca="false">IF(I889="","",Resumen!$B$10-(MAX(I841:I937)-I889))</f>
        <v>1.62225585433375</v>
      </c>
    </row>
    <row r="890" customFormat="false" ht="15" hidden="false" customHeight="false" outlineLevel="0" collapsed="false">
      <c r="A890" s="24" t="n">
        <v>46270.6458333333</v>
      </c>
      <c r="B890" s="10" t="n">
        <v>4.7002</v>
      </c>
      <c r="C890" s="10" t="n">
        <v>2.6592</v>
      </c>
      <c r="D890" s="10" t="n">
        <f aca="false">IF(OR(B890="",C890="",B890&lt;=0.05,C890&lt;=0.05),0,1)</f>
        <v>1</v>
      </c>
      <c r="E890" s="25" t="n">
        <f aca="false">IF(OR(A890&lt;Resumen!$B$6,A890&gt;=Resumen!$B$7),0,MAX(0,AVERAGEIFS(B842:B938,D842:D938,1)-Resumen!$B$5*AVERAGEIFS(C842:C938,D842:D938,1)))</f>
        <v>0.524398150515464</v>
      </c>
      <c r="F890" s="10" t="n">
        <f aca="false">IF(B890="","",(B890-E890)/Resumen!$B$5)</f>
        <v>3.31676080181456</v>
      </c>
      <c r="G890" s="10" t="n">
        <f aca="false">IF(OR(F890="",C890=""),0,(F890-C890)*0.9)</f>
        <v>0.591804721633108</v>
      </c>
      <c r="H890" s="26" t="n">
        <f aca="false">IF(A890&lt;Resumen!$B$11,"",IF(H889="",0,H889)+G890/Resumen!$B$9)</f>
        <v>1.25394509710884</v>
      </c>
      <c r="I890" s="26" t="n">
        <f aca="false">IF(H890="","",H890-AVERAGE(H842:H938))</f>
        <v>-0.00166117213000683</v>
      </c>
      <c r="J890" s="27" t="n">
        <f aca="false">IF(I890="","",Resumen!$B$10-(MAX(I842:I938)-I890))</f>
        <v>1.65862885965688</v>
      </c>
    </row>
    <row r="891" customFormat="false" ht="15" hidden="false" customHeight="false" outlineLevel="0" collapsed="false">
      <c r="A891" s="24" t="n">
        <v>46270.65625</v>
      </c>
      <c r="B891" s="10" t="n">
        <v>4.6946</v>
      </c>
      <c r="C891" s="10" t="n">
        <v>2.9963</v>
      </c>
      <c r="D891" s="10" t="n">
        <f aca="false">IF(OR(B891="",C891="",B891&lt;=0.05,C891&lt;=0.05),0,1)</f>
        <v>1</v>
      </c>
      <c r="E891" s="25" t="n">
        <f aca="false">IF(OR(A891&lt;Resumen!$B$6,A891&gt;=Resumen!$B$7),0,MAX(0,AVERAGEIFS(B843:B939,D843:D939,1)-Resumen!$B$5*AVERAGEIFS(C843:C939,D843:D939,1)))</f>
        <v>0.528975174226804</v>
      </c>
      <c r="F891" s="10" t="n">
        <f aca="false">IF(B891="","",(B891-E891)/Resumen!$B$5)</f>
        <v>3.30867738345766</v>
      </c>
      <c r="G891" s="10" t="n">
        <f aca="false">IF(OR(F891="",C891=""),0,(F891-C891)*0.9)</f>
        <v>0.281139645111896</v>
      </c>
      <c r="H891" s="26" t="n">
        <f aca="false">IF(A891&lt;Resumen!$B$11,"",IF(H890="",0,H890)+G891/Resumen!$B$9)</f>
        <v>1.26723425603493</v>
      </c>
      <c r="I891" s="26" t="n">
        <f aca="false">IF(H891="","",H891-AVERAGE(H843:H939))</f>
        <v>0.0123365744956427</v>
      </c>
      <c r="J891" s="27" t="n">
        <f aca="false">IF(I891="","",Resumen!$B$10-(MAX(I843:I939)-I891))</f>
        <v>1.67943441363345</v>
      </c>
    </row>
    <row r="892" customFormat="false" ht="15" hidden="false" customHeight="false" outlineLevel="0" collapsed="false">
      <c r="A892" s="24" t="n">
        <v>46270.6666666667</v>
      </c>
      <c r="B892" s="10" t="n">
        <v>3.9567</v>
      </c>
      <c r="C892" s="10" t="n">
        <v>2.8702</v>
      </c>
      <c r="D892" s="10" t="n">
        <f aca="false">IF(OR(B892="",C892="",B892&lt;=0.05,C892&lt;=0.05),0,1)</f>
        <v>1</v>
      </c>
      <c r="E892" s="25" t="n">
        <f aca="false">IF(OR(A892&lt;Resumen!$B$6,A892&gt;=Resumen!$B$7),0,MAX(0,AVERAGEIFS(B844:B940,D844:D940,1)-Resumen!$B$5*AVERAGEIFS(C844:C940,D844:D940,1)))</f>
        <v>0.529894746391753</v>
      </c>
      <c r="F892" s="10" t="n">
        <f aca="false">IF(B892="","",(B892-E892)/Resumen!$B$5)</f>
        <v>2.72184690516938</v>
      </c>
      <c r="G892" s="10" t="n">
        <f aca="false">IF(OR(F892="",C892=""),0,(F892-C892)*0.9)</f>
        <v>-0.133517785347559</v>
      </c>
      <c r="H892" s="26" t="n">
        <f aca="false">IF(A892&lt;Resumen!$B$11,"",IF(H891="",0,H891)+G892/Resumen!$B$9)</f>
        <v>1.26092301854213</v>
      </c>
      <c r="I892" s="26" t="n">
        <f aca="false">IF(H892="","",H892-AVERAGE(H844:H940))</f>
        <v>0.00665166278552376</v>
      </c>
      <c r="J892" s="27" t="n">
        <f aca="false">IF(I892="","",Resumen!$B$10-(MAX(I844:I940)-I892))</f>
        <v>1.68573913903421</v>
      </c>
    </row>
    <row r="893" customFormat="false" ht="15" hidden="false" customHeight="false" outlineLevel="0" collapsed="false">
      <c r="A893" s="24" t="n">
        <v>46270.6770833333</v>
      </c>
      <c r="B893" s="10" t="n">
        <v>3.1802</v>
      </c>
      <c r="C893" s="10" t="n">
        <v>2.5116</v>
      </c>
      <c r="D893" s="10" t="n">
        <f aca="false">IF(OR(B893="",C893="",B893&lt;=0.05,C893&lt;=0.05),0,1)</f>
        <v>1</v>
      </c>
      <c r="E893" s="25" t="n">
        <f aca="false">IF(OR(A893&lt;Resumen!$B$6,A893&gt;=Resumen!$B$7),0,MAX(0,AVERAGEIFS(B845:B941,D845:D941,1)-Resumen!$B$5*AVERAGEIFS(C845:C941,D845:D941,1)))</f>
        <v>0.527466930927836</v>
      </c>
      <c r="F893" s="10" t="n">
        <f aca="false">IF(B893="","",(B893-E893)/Resumen!$B$5)</f>
        <v>2.10701594048623</v>
      </c>
      <c r="G893" s="10" t="n">
        <f aca="false">IF(OR(F893="",C893=""),0,(F893-C893)*0.9)</f>
        <v>-0.364125653562392</v>
      </c>
      <c r="H893" s="26" t="n">
        <f aca="false">IF(A893&lt;Resumen!$B$11,"",IF(H892="",0,H892)+G893/Resumen!$B$9)</f>
        <v>1.24371120312088</v>
      </c>
      <c r="I893" s="26" t="n">
        <f aca="false">IF(H893="","",H893-AVERAGE(H845:H941))</f>
        <v>-0.009909922018013</v>
      </c>
      <c r="J893" s="27" t="n">
        <f aca="false">IF(I893="","",Resumen!$B$10-(MAX(I845:I941)-I893))</f>
        <v>1.66917755423067</v>
      </c>
    </row>
    <row r="894" customFormat="false" ht="15" hidden="false" customHeight="false" outlineLevel="0" collapsed="false">
      <c r="A894" s="24" t="n">
        <v>46270.6875</v>
      </c>
      <c r="B894" s="10" t="n">
        <v>4.3936</v>
      </c>
      <c r="C894" s="10" t="n">
        <v>2.6033</v>
      </c>
      <c r="D894" s="10" t="n">
        <f aca="false">IF(OR(B894="",C894="",B894&lt;=0.05,C894&lt;=0.05),0,1)</f>
        <v>1</v>
      </c>
      <c r="E894" s="25" t="n">
        <f aca="false">IF(OR(A894&lt;Resumen!$B$6,A894&gt;=Resumen!$B$7),0,MAX(0,AVERAGEIFS(B846:B942,D846:D942,1)-Resumen!$B$5*AVERAGEIFS(C846:C942,D846:D942,1)))</f>
        <v>0.52565823814433</v>
      </c>
      <c r="F894" s="10" t="n">
        <f aca="false">IF(B894="","",(B894-E894)/Resumen!$B$5)</f>
        <v>3.07223332951205</v>
      </c>
      <c r="G894" s="10" t="n">
        <f aca="false">IF(OR(F894="",C894=""),0,(F894-C894)*0.9)</f>
        <v>0.422039996560845</v>
      </c>
      <c r="H894" s="26" t="n">
        <f aca="false">IF(A894&lt;Resumen!$B$11,"",IF(H893="",0,H893)+G894/Resumen!$B$9)</f>
        <v>1.26366056524388</v>
      </c>
      <c r="I894" s="26" t="n">
        <f aca="false">IF(H894="","",H894-AVERAGE(H846:H942))</f>
        <v>0.0106897372352632</v>
      </c>
      <c r="J894" s="27" t="n">
        <f aca="false">IF(I894="","",Resumen!$B$10-(MAX(I846:I942)-I894))</f>
        <v>1.70141074441275</v>
      </c>
    </row>
    <row r="895" customFormat="false" ht="15" hidden="false" customHeight="false" outlineLevel="0" collapsed="false">
      <c r="A895" s="24" t="n">
        <v>46270.6979166667</v>
      </c>
      <c r="B895" s="10" t="n">
        <v>3.4801</v>
      </c>
      <c r="C895" s="10" t="n">
        <v>2.4334</v>
      </c>
      <c r="D895" s="10" t="n">
        <f aca="false">IF(OR(B895="",C895="",B895&lt;=0.05,C895&lt;=0.05),0,1)</f>
        <v>1</v>
      </c>
      <c r="E895" s="25" t="n">
        <f aca="false">IF(OR(A895&lt;Resumen!$B$6,A895&gt;=Resumen!$B$7),0,MAX(0,AVERAGEIFS(B847:B943,D847:D943,1)-Resumen!$B$5*AVERAGEIFS(C847:C943,D847:D943,1)))</f>
        <v>0.527067550515464</v>
      </c>
      <c r="F895" s="10" t="n">
        <f aca="false">IF(B895="","",(B895-E895)/Resumen!$B$5)</f>
        <v>2.34553808537294</v>
      </c>
      <c r="G895" s="10" t="n">
        <f aca="false">IF(OR(F895="",C895=""),0,(F895-C895)*0.9)</f>
        <v>-0.0790757231643505</v>
      </c>
      <c r="H895" s="26" t="n">
        <f aca="false">IF(A895&lt;Resumen!$B$11,"",IF(H894="",0,H894)+G895/Resumen!$B$9)</f>
        <v>1.25992274359333</v>
      </c>
      <c r="I895" s="26" t="n">
        <f aca="false">IF(H895="","",H895-AVERAGE(H847:H943))</f>
        <v>0.0074858112842402</v>
      </c>
      <c r="J895" s="27" t="n">
        <f aca="false">IF(I895="","",Resumen!$B$10-(MAX(I847:I943)-I895))</f>
        <v>1.72186400177728</v>
      </c>
    </row>
    <row r="896" customFormat="false" ht="15" hidden="false" customHeight="false" outlineLevel="0" collapsed="false">
      <c r="A896" s="24" t="n">
        <v>46270.7083333333</v>
      </c>
      <c r="B896" s="10" t="n">
        <v>4.3373</v>
      </c>
      <c r="C896" s="10" t="n">
        <v>2.2409</v>
      </c>
      <c r="D896" s="10" t="n">
        <f aca="false">IF(OR(B896="",C896="",B896&lt;=0.05,C896&lt;=0.05),0,1)</f>
        <v>1</v>
      </c>
      <c r="E896" s="25" t="n">
        <f aca="false">IF(OR(A896&lt;Resumen!$B$6,A896&gt;=Resumen!$B$7),0,MAX(0,AVERAGEIFS(B848:B944,D848:D944,1)-Resumen!$B$5*AVERAGEIFS(C848:C944,D848:D944,1)))</f>
        <v>0.531693224742269</v>
      </c>
      <c r="F896" s="10" t="n">
        <f aca="false">IF(B896="","",(B896-E896)/Resumen!$B$5)</f>
        <v>3.02272182308001</v>
      </c>
      <c r="G896" s="10" t="n">
        <f aca="false">IF(OR(F896="",C896=""),0,(F896-C896)*0.9)</f>
        <v>0.703639640772009</v>
      </c>
      <c r="H896" s="26" t="n">
        <f aca="false">IF(A896&lt;Resumen!$B$11,"",IF(H895="",0,H895)+G896/Resumen!$B$9)</f>
        <v>1.29318300828919</v>
      </c>
      <c r="I896" s="26" t="n">
        <f aca="false">IF(H896="","",H896-AVERAGE(H848:H944))</f>
        <v>0.0410511064390169</v>
      </c>
      <c r="J896" s="27" t="n">
        <f aca="false">IF(I896="","",Resumen!$B$10-(MAX(I848:I944)-I896))</f>
        <v>1.75603273151685</v>
      </c>
    </row>
    <row r="897" customFormat="false" ht="15" hidden="false" customHeight="false" outlineLevel="0" collapsed="false">
      <c r="A897" s="24" t="n">
        <v>46270.71875</v>
      </c>
      <c r="B897" s="10" t="n">
        <v>4.4521</v>
      </c>
      <c r="C897" s="10" t="n">
        <v>2.8985</v>
      </c>
      <c r="D897" s="10" t="n">
        <f aca="false">IF(OR(B897="",C897="",B897&lt;=0.05,C897&lt;=0.05),0,1)</f>
        <v>1</v>
      </c>
      <c r="E897" s="25" t="n">
        <f aca="false">IF(OR(A897&lt;Resumen!$B$6,A897&gt;=Resumen!$B$7),0,MAX(0,AVERAGEIFS(B849:B945,D849:D945,1)-Resumen!$B$5*AVERAGEIFS(C849:C945,D849:D945,1)))</f>
        <v>0.530193659793814</v>
      </c>
      <c r="F897" s="10" t="n">
        <f aca="false">IF(B897="","",(B897-E897)/Resumen!$B$5)</f>
        <v>3.11509637824161</v>
      </c>
      <c r="G897" s="10" t="n">
        <f aca="false">IF(OR(F897="",C897=""),0,(F897-C897)*0.9)</f>
        <v>0.194936740417448</v>
      </c>
      <c r="H897" s="26" t="n">
        <f aca="false">IF(A897&lt;Resumen!$B$11,"",IF(H896="",0,H896)+G897/Resumen!$B$9)</f>
        <v>1.30239745160582</v>
      </c>
      <c r="I897" s="26" t="n">
        <f aca="false">IF(H897="","",H897-AVERAGE(H849:H945))</f>
        <v>0.0505360581411414</v>
      </c>
      <c r="J897" s="27" t="n">
        <f aca="false">IF(I897="","",Resumen!$B$10-(MAX(I849:I945)-I897))</f>
        <v>1.77896297076414</v>
      </c>
    </row>
    <row r="898" customFormat="false" ht="15" hidden="false" customHeight="false" outlineLevel="0" collapsed="false">
      <c r="A898" s="24" t="n">
        <v>46270.7291666667</v>
      </c>
      <c r="B898" s="10" t="n">
        <v>4.018</v>
      </c>
      <c r="C898" s="10" t="n">
        <v>3.3425</v>
      </c>
      <c r="D898" s="10" t="n">
        <f aca="false">IF(OR(B898="",C898="",B898&lt;=0.05,C898&lt;=0.05),0,1)</f>
        <v>1</v>
      </c>
      <c r="E898" s="25" t="n">
        <f aca="false">IF(OR(A898&lt;Resumen!$B$6,A898&gt;=Resumen!$B$7),0,MAX(0,AVERAGEIFS(B850:B946,D850:D946,1)-Resumen!$B$5*AVERAGEIFS(C850:C946,D850:D946,1)))</f>
        <v>0.530002287628866</v>
      </c>
      <c r="F898" s="10" t="n">
        <f aca="false">IF(B898="","",(B898-E898)/Resumen!$B$5)</f>
        <v>2.77045092324951</v>
      </c>
      <c r="G898" s="10" t="n">
        <f aca="false">IF(OR(F898="",C898=""),0,(F898-C898)*0.9)</f>
        <v>-0.51484416907544</v>
      </c>
      <c r="H898" s="26" t="n">
        <f aca="false">IF(A898&lt;Resumen!$B$11,"",IF(H897="",0,H897)+G898/Resumen!$B$9)</f>
        <v>1.2780613392717</v>
      </c>
      <c r="I898" s="26" t="n">
        <f aca="false">IF(H898="","",H898-AVERAGE(H850:H946))</f>
        <v>0.0263934747390482</v>
      </c>
      <c r="J898" s="27" t="n">
        <f aca="false">IF(I898="","",Resumen!$B$10-(MAX(I850:I946)-I898))</f>
        <v>1.76868508512428</v>
      </c>
    </row>
    <row r="899" customFormat="false" ht="15" hidden="false" customHeight="false" outlineLevel="0" collapsed="false">
      <c r="A899" s="24" t="n">
        <v>46270.7395833333</v>
      </c>
      <c r="B899" s="10" t="n">
        <v>3.364</v>
      </c>
      <c r="C899" s="10" t="n">
        <v>2.3517</v>
      </c>
      <c r="D899" s="10" t="n">
        <f aca="false">IF(OR(B899="",C899="",B899&lt;=0.05,C899&lt;=0.05),0,1)</f>
        <v>1</v>
      </c>
      <c r="E899" s="25" t="n">
        <f aca="false">IF(OR(A899&lt;Resumen!$B$6,A899&gt;=Resumen!$B$7),0,MAX(0,AVERAGEIFS(B851:B947,D851:D947,1)-Resumen!$B$5*AVERAGEIFS(C851:C947,D851:D947,1)))</f>
        <v>0.533112083505155</v>
      </c>
      <c r="F899" s="10" t="n">
        <f aca="false">IF(B899="","",(B899-E899)/Resumen!$B$5)</f>
        <v>2.24852098212458</v>
      </c>
      <c r="G899" s="10" t="n">
        <f aca="false">IF(OR(F899="",C899=""),0,(F899-C899)*0.9)</f>
        <v>-0.092861116087879</v>
      </c>
      <c r="H899" s="26" t="n">
        <f aca="false">IF(A899&lt;Resumen!$B$11,"",IF(H898="",0,H898)+G899/Resumen!$B$9)</f>
        <v>1.27367189740108</v>
      </c>
      <c r="I899" s="26" t="n">
        <f aca="false">IF(H899="","",H899-AVERAGE(H851:H947))</f>
        <v>0.0220139289151606</v>
      </c>
      <c r="J899" s="27" t="n">
        <f aca="false">IF(I899="","",Resumen!$B$10-(MAX(I851:I947)-I899))</f>
        <v>1.7760907456574</v>
      </c>
    </row>
    <row r="900" customFormat="false" ht="15" hidden="false" customHeight="false" outlineLevel="0" collapsed="false">
      <c r="A900" s="24" t="n">
        <v>46270.75</v>
      </c>
      <c r="B900" s="10" t="n">
        <v>4.0617</v>
      </c>
      <c r="C900" s="10" t="n">
        <v>3.3186</v>
      </c>
      <c r="D900" s="10" t="n">
        <f aca="false">IF(OR(B900="",C900="",B900&lt;=0.05,C900&lt;=0.05),0,1)</f>
        <v>1</v>
      </c>
      <c r="E900" s="25" t="n">
        <f aca="false">IF(OR(A900&lt;Resumen!$B$6,A900&gt;=Resumen!$B$7),0,MAX(0,AVERAGEIFS(B852:B948,D852:D948,1)-Resumen!$B$5*AVERAGEIFS(C852:C948,D852:D948,1)))</f>
        <v>0.53548000927835</v>
      </c>
      <c r="F900" s="10" t="n">
        <f aca="false">IF(B900="","",(B900-E900)/Resumen!$B$5)</f>
        <v>2.80081015942943</v>
      </c>
      <c r="G900" s="10" t="n">
        <f aca="false">IF(OR(F900="",C900=""),0,(F900-C900)*0.9)</f>
        <v>-0.466010856513515</v>
      </c>
      <c r="H900" s="26" t="n">
        <f aca="false">IF(A900&lt;Resumen!$B$11,"",IF(H899="",0,H899)+G900/Resumen!$B$9)</f>
        <v>1.25164408154099</v>
      </c>
      <c r="I900" s="26" t="n">
        <f aca="false">IF(H900="","",H900-AVERAGE(H852:H948))</f>
        <v>-0.000158738287941329</v>
      </c>
      <c r="J900" s="27" t="n">
        <f aca="false">IF(I900="","",Resumen!$B$10-(MAX(I852:I948)-I900))</f>
        <v>1.75865605147462</v>
      </c>
    </row>
    <row r="901" customFormat="false" ht="15" hidden="false" customHeight="false" outlineLevel="0" collapsed="false">
      <c r="A901" s="24" t="n">
        <v>46270.7604166667</v>
      </c>
      <c r="B901" s="10" t="n">
        <v>4.9813</v>
      </c>
      <c r="C901" s="10" t="n">
        <v>3.056</v>
      </c>
      <c r="D901" s="10" t="n">
        <f aca="false">IF(OR(B901="",C901="",B901&lt;=0.05,C901&lt;=0.05),0,1)</f>
        <v>1</v>
      </c>
      <c r="E901" s="25" t="n">
        <f aca="false">IF(OR(A901&lt;Resumen!$B$6,A901&gt;=Resumen!$B$7),0,MAX(0,AVERAGEIFS(B853:B949,D853:D949,1)-Resumen!$B$5*AVERAGEIFS(C853:C949,D853:D949,1)))</f>
        <v>0.538007858762887</v>
      </c>
      <c r="F901" s="10" t="n">
        <f aca="false">IF(B901="","",(B901-E901)/Resumen!$B$5)</f>
        <v>3.52922330519231</v>
      </c>
      <c r="G901" s="10" t="n">
        <f aca="false">IF(OR(F901="",C901=""),0,(F901-C901)*0.9)</f>
        <v>0.425900974673076</v>
      </c>
      <c r="H901" s="26" t="n">
        <f aca="false">IF(A901&lt;Resumen!$B$11,"",IF(H900="",0,H900)+G901/Resumen!$B$9)</f>
        <v>1.2717759478132</v>
      </c>
      <c r="I901" s="26" t="n">
        <f aca="false">IF(H901="","",H901-AVERAGE(H853:H949))</f>
        <v>0.019683877684028</v>
      </c>
      <c r="J901" s="27" t="n">
        <f aca="false">IF(I901="","",Resumen!$B$10-(MAX(I853:I949)-I901))</f>
        <v>1.7645500250287</v>
      </c>
    </row>
    <row r="902" customFormat="false" ht="15" hidden="false" customHeight="false" outlineLevel="0" collapsed="false">
      <c r="A902" s="24" t="n">
        <v>46270.7708333333</v>
      </c>
      <c r="B902" s="10" t="n">
        <v>4.2692</v>
      </c>
      <c r="C902" s="10" t="n">
        <v>2.8999</v>
      </c>
      <c r="D902" s="10" t="n">
        <f aca="false">IF(OR(B902="",C902="",B902&lt;=0.05,C902&lt;=0.05),0,1)</f>
        <v>1</v>
      </c>
      <c r="E902" s="25" t="n">
        <f aca="false">IF(OR(A902&lt;Resumen!$B$6,A902&gt;=Resumen!$B$7),0,MAX(0,AVERAGEIFS(B854:B950,D854:D950,1)-Resumen!$B$5*AVERAGEIFS(C854:C950,D854:D950,1)))</f>
        <v>0.549900632989691</v>
      </c>
      <c r="F902" s="10" t="n">
        <f aca="false">IF(B902="","",(B902-E902)/Resumen!$B$5)</f>
        <v>2.95416947339977</v>
      </c>
      <c r="G902" s="10" t="n">
        <f aca="false">IF(OR(F902="",C902=""),0,(F902-C902)*0.9)</f>
        <v>0.0488425260597924</v>
      </c>
      <c r="H902" s="26" t="n">
        <f aca="false">IF(A902&lt;Resumen!$B$11,"",IF(H901="",0,H901)+G902/Resumen!$B$9)</f>
        <v>1.27408467979906</v>
      </c>
      <c r="I902" s="26" t="n">
        <f aca="false">IF(H902="","",H902-AVERAGE(H854:H950))</f>
        <v>0.0212372800758938</v>
      </c>
      <c r="J902" s="27" t="n">
        <f aca="false">IF(I902="","",Resumen!$B$10-(MAX(I854:I950)-I902))</f>
        <v>1.75718240830873</v>
      </c>
    </row>
    <row r="903" customFormat="false" ht="15" hidden="false" customHeight="false" outlineLevel="0" collapsed="false">
      <c r="A903" s="24" t="n">
        <v>46270.78125</v>
      </c>
      <c r="B903" s="10" t="n">
        <v>3.0213</v>
      </c>
      <c r="C903" s="10" t="n">
        <v>2.1541</v>
      </c>
      <c r="D903" s="10" t="n">
        <f aca="false">IF(OR(B903="",C903="",B903&lt;=0.05,C903&lt;=0.05),0,1)</f>
        <v>1</v>
      </c>
      <c r="E903" s="25" t="n">
        <f aca="false">IF(OR(A903&lt;Resumen!$B$6,A903&gt;=Resumen!$B$7),0,MAX(0,AVERAGEIFS(B855:B951,D855:D951,1)-Resumen!$B$5*AVERAGEIFS(C855:C951,D855:D951,1)))</f>
        <v>0.550128141237114</v>
      </c>
      <c r="F903" s="10" t="n">
        <f aca="false">IF(B903="","",(B903-E903)/Resumen!$B$5)</f>
        <v>1.96280528893001</v>
      </c>
      <c r="G903" s="10" t="n">
        <f aca="false">IF(OR(F903="",C903=""),0,(F903-C903)*0.9)</f>
        <v>-0.172165239962988</v>
      </c>
      <c r="H903" s="26" t="n">
        <f aca="false">IF(A903&lt;Resumen!$B$11,"",IF(H902="",0,H902)+G903/Resumen!$B$9)</f>
        <v>1.26594662002984</v>
      </c>
      <c r="I903" s="26" t="n">
        <f aca="false">IF(H903="","",H903-AVERAGE(H855:H951))</f>
        <v>0.012281966919383</v>
      </c>
      <c r="J903" s="27" t="n">
        <f aca="false">IF(I903="","",Resumen!$B$10-(MAX(I855:I951)-I903))</f>
        <v>1.72538731153468</v>
      </c>
    </row>
    <row r="904" customFormat="false" ht="15" hidden="false" customHeight="false" outlineLevel="0" collapsed="false">
      <c r="A904" s="24" t="n">
        <v>46270.7916666667</v>
      </c>
      <c r="B904" s="10" t="n">
        <v>3.7518</v>
      </c>
      <c r="C904" s="10" t="n">
        <v>2.9141</v>
      </c>
      <c r="D904" s="10" t="n">
        <f aca="false">IF(OR(B904="",C904="",B904&lt;=0.05,C904&lt;=0.05),0,1)</f>
        <v>1</v>
      </c>
      <c r="E904" s="25" t="n">
        <f aca="false">IF(OR(A904&lt;Resumen!$B$6,A904&gt;=Resumen!$B$7),0,MAX(0,AVERAGEIFS(B856:B952,D856:D952,1)-Resumen!$B$5*AVERAGEIFS(C856:C952,D856:D952,1)))</f>
        <v>0.553957621649485</v>
      </c>
      <c r="F904" s="10" t="n">
        <f aca="false">IF(B904="","",(B904-E904)/Resumen!$B$5)</f>
        <v>2.53998600345553</v>
      </c>
      <c r="G904" s="10" t="n">
        <f aca="false">IF(OR(F904="",C904=""),0,(F904-C904)*0.9)</f>
        <v>-0.336702596890021</v>
      </c>
      <c r="H904" s="26" t="n">
        <f aca="false">IF(A904&lt;Resumen!$B$11,"",IF(H903="",0,H903)+G904/Resumen!$B$9)</f>
        <v>1.25003106205465</v>
      </c>
      <c r="I904" s="26" t="n">
        <f aca="false">IF(H904="","",H904-AVERAGE(H856:H952))</f>
        <v>-0.00462267803747252</v>
      </c>
      <c r="J904" s="27" t="n">
        <f aca="false">IF(I904="","",Resumen!$B$10-(MAX(I856:I952)-I904))</f>
        <v>1.68732554186461</v>
      </c>
    </row>
    <row r="905" customFormat="false" ht="15" hidden="false" customHeight="false" outlineLevel="0" collapsed="false">
      <c r="A905" s="24" t="n">
        <v>46270.8020833333</v>
      </c>
      <c r="B905" s="10" t="n">
        <v>4.5739</v>
      </c>
      <c r="C905" s="10" t="n">
        <v>3.279</v>
      </c>
      <c r="D905" s="10" t="n">
        <f aca="false">IF(OR(B905="",C905="",B905&lt;=0.05,C905&lt;=0.05),0,1)</f>
        <v>1</v>
      </c>
      <c r="E905" s="25" t="n">
        <f aca="false">IF(OR(A905&lt;Resumen!$B$6,A905&gt;=Resumen!$B$7),0,MAX(0,AVERAGEIFS(B857:B953,D857:D953,1)-Resumen!$B$5*AVERAGEIFS(C857:C953,D857:D953,1)))</f>
        <v>0.561078025773196</v>
      </c>
      <c r="F905" s="10" t="n">
        <f aca="false">IF(B905="","",(B905-E905)/Resumen!$B$5)</f>
        <v>3.18730895490612</v>
      </c>
      <c r="G905" s="10" t="n">
        <f aca="false">IF(OR(F905="",C905=""),0,(F905-C905)*0.9)</f>
        <v>-0.0825219405844925</v>
      </c>
      <c r="H905" s="26" t="n">
        <f aca="false">IF(A905&lt;Resumen!$B$11,"",IF(H904="",0,H904)+G905/Resumen!$B$9)</f>
        <v>1.24613034153236</v>
      </c>
      <c r="I905" s="26" t="n">
        <f aca="false">IF(H905="","",H905-AVERAGE(H857:H953))</f>
        <v>-0.00978545699203792</v>
      </c>
      <c r="J905" s="27" t="n">
        <f aca="false">IF(I905="","",Resumen!$B$10-(MAX(I857:I953)-I905))</f>
        <v>1.64920979953137</v>
      </c>
    </row>
    <row r="906" customFormat="false" ht="15" hidden="false" customHeight="false" outlineLevel="0" collapsed="false">
      <c r="A906" s="24" t="n">
        <v>46270.8125</v>
      </c>
      <c r="B906" s="10" t="n">
        <v>3.9559</v>
      </c>
      <c r="C906" s="10" t="n">
        <v>2.4155</v>
      </c>
      <c r="D906" s="10" t="n">
        <f aca="false">IF(OR(B906="",C906="",B906&lt;=0.05,C906&lt;=0.05),0,1)</f>
        <v>1</v>
      </c>
      <c r="E906" s="25" t="n">
        <f aca="false">IF(OR(A906&lt;Resumen!$B$6,A906&gt;=Resumen!$B$7),0,MAX(0,AVERAGEIFS(B858:B954,D858:D954,1)-Resumen!$B$5*AVERAGEIFS(C858:C954,D858:D954,1)))</f>
        <v>0.550087478350516</v>
      </c>
      <c r="F906" s="10" t="n">
        <f aca="false">IF(B906="","",(B906-E906)/Resumen!$B$5)</f>
        <v>2.70517277335146</v>
      </c>
      <c r="G906" s="10" t="n">
        <f aca="false">IF(OR(F906="",C906=""),0,(F906-C906)*0.9)</f>
        <v>0.260705496016311</v>
      </c>
      <c r="H906" s="26" t="n">
        <f aca="false">IF(A906&lt;Resumen!$B$11,"",IF(H905="",0,H905)+G906/Resumen!$B$9)</f>
        <v>1.25845360091504</v>
      </c>
      <c r="I906" s="26" t="n">
        <f aca="false">IF(H906="","",H906-AVERAGE(H858:H954))</f>
        <v>0.00162250531281827</v>
      </c>
      <c r="J906" s="27" t="n">
        <f aca="false">IF(I906="","",Resumen!$B$10-(MAX(I858:I954)-I906))</f>
        <v>1.66061776183622</v>
      </c>
    </row>
    <row r="907" customFormat="false" ht="15" hidden="false" customHeight="false" outlineLevel="0" collapsed="false">
      <c r="A907" s="24" t="n">
        <v>46270.8229166667</v>
      </c>
      <c r="B907" s="10" t="n">
        <v>4.0895</v>
      </c>
      <c r="C907" s="10" t="n">
        <v>3.1747</v>
      </c>
      <c r="D907" s="10" t="n">
        <f aca="false">IF(OR(B907="",C907="",B907&lt;=0.05,C907&lt;=0.05),0,1)</f>
        <v>1</v>
      </c>
      <c r="E907" s="25" t="n">
        <f aca="false">IF(OR(A907&lt;Resumen!$B$6,A907&gt;=Resumen!$B$7),0,MAX(0,AVERAGEIFS(B859:B955,D859:D955,1)-Resumen!$B$5*AVERAGEIFS(C859:C955,D859:D955,1)))</f>
        <v>0.550631881443299</v>
      </c>
      <c r="F907" s="10" t="n">
        <f aca="false">IF(B907="","",(B907-E907)/Resumen!$B$5)</f>
        <v>2.81085632927458</v>
      </c>
      <c r="G907" s="10" t="n">
        <f aca="false">IF(OR(F907="",C907=""),0,(F907-C907)*0.9)</f>
        <v>-0.327459303652875</v>
      </c>
      <c r="H907" s="26" t="n">
        <f aca="false">IF(A907&lt;Resumen!$B$11,"",IF(H906="",0,H906)+G907/Resumen!$B$9)</f>
        <v>1.24297496315002</v>
      </c>
      <c r="I907" s="26" t="n">
        <f aca="false">IF(H907="","",H907-AVERAGE(H859:H955))</f>
        <v>-0.0148127099758317</v>
      </c>
      <c r="J907" s="27" t="n">
        <f aca="false">IF(I907="","",Resumen!$B$10-(MAX(I859:I955)-I907))</f>
        <v>1.64418254654757</v>
      </c>
    </row>
    <row r="908" customFormat="false" ht="15" hidden="false" customHeight="false" outlineLevel="0" collapsed="false">
      <c r="A908" s="24" t="n">
        <v>46270.8333333333</v>
      </c>
      <c r="B908" s="10" t="n">
        <v>3.4525</v>
      </c>
      <c r="C908" s="10" t="n">
        <v>2.819</v>
      </c>
      <c r="D908" s="10" t="n">
        <f aca="false">IF(OR(B908="",C908="",B908&lt;=0.05,C908&lt;=0.05),0,1)</f>
        <v>1</v>
      </c>
      <c r="E908" s="25" t="n">
        <f aca="false">IF(OR(A908&lt;Resumen!$B$6,A908&gt;=Resumen!$B$7),0,MAX(0,AVERAGEIFS(B860:B956,D860:D956,1)-Resumen!$B$5*AVERAGEIFS(C860:C956,D860:D956,1)))</f>
        <v>0.564277932989691</v>
      </c>
      <c r="F908" s="10" t="n">
        <f aca="false">IF(B908="","",(B908-E908)/Resumen!$B$5)</f>
        <v>2.29406041859437</v>
      </c>
      <c r="G908" s="10" t="n">
        <f aca="false">IF(OR(F908="",C908=""),0,(F908-C908)*0.9)</f>
        <v>-0.472445623265069</v>
      </c>
      <c r="H908" s="26" t="n">
        <f aca="false">IF(A908&lt;Resumen!$B$11,"",IF(H907="",0,H907)+G908/Resumen!$B$9)</f>
        <v>1.22064298300894</v>
      </c>
      <c r="I908" s="26" t="n">
        <f aca="false">IF(H908="","",H908-AVERAGE(H860:H956))</f>
        <v>-0.0385715882919726</v>
      </c>
      <c r="J908" s="27" t="n">
        <f aca="false">IF(I908="","",Resumen!$B$10-(MAX(I860:I956)-I908))</f>
        <v>1.61626978360595</v>
      </c>
    </row>
    <row r="909" customFormat="false" ht="15" hidden="false" customHeight="false" outlineLevel="0" collapsed="false">
      <c r="A909" s="24" t="n">
        <v>46270.84375</v>
      </c>
      <c r="B909" s="10" t="n">
        <v>3.1867</v>
      </c>
      <c r="C909" s="10" t="n">
        <v>2.2051</v>
      </c>
      <c r="D909" s="10" t="n">
        <f aca="false">IF(OR(B909="",C909="",B909&lt;=0.05,C909&lt;=0.05),0,1)</f>
        <v>1</v>
      </c>
      <c r="E909" s="25" t="n">
        <f aca="false">IF(OR(A909&lt;Resumen!$B$6,A909&gt;=Resumen!$B$7),0,MAX(0,AVERAGEIFS(B861:B957,D861:D957,1)-Resumen!$B$5*AVERAGEIFS(C861:C957,D861:D957,1)))</f>
        <v>0.572348520618557</v>
      </c>
      <c r="F909" s="10" t="n">
        <f aca="false">IF(B909="","",(B909-E909)/Resumen!$B$5)</f>
        <v>2.07653016630774</v>
      </c>
      <c r="G909" s="10" t="n">
        <f aca="false">IF(OR(F909="",C909=""),0,(F909-C909)*0.9)</f>
        <v>-0.115712850323035</v>
      </c>
      <c r="H909" s="26" t="n">
        <f aca="false">IF(A909&lt;Resumen!$B$11,"",IF(H908="",0,H908)+G909/Resumen!$B$9)</f>
        <v>1.21517336502916</v>
      </c>
      <c r="I909" s="26" t="n">
        <f aca="false">IF(H909="","",H909-AVERAGE(H861:H957))</f>
        <v>-0.0457381995099044</v>
      </c>
      <c r="J909" s="27" t="n">
        <f aca="false">IF(I909="","",Resumen!$B$10-(MAX(I861:I957)-I909))</f>
        <v>1.60910317238802</v>
      </c>
    </row>
    <row r="910" customFormat="false" ht="15" hidden="false" customHeight="false" outlineLevel="0" collapsed="false">
      <c r="A910" s="24" t="n">
        <v>46270.8541666667</v>
      </c>
      <c r="B910" s="10" t="n">
        <v>3.3532</v>
      </c>
      <c r="C910" s="10" t="n">
        <v>2.3108</v>
      </c>
      <c r="D910" s="10" t="n">
        <f aca="false">IF(OR(B910="",C910="",B910&lt;=0.05,C910&lt;=0.05),0,1)</f>
        <v>1</v>
      </c>
      <c r="E910" s="25" t="n">
        <f aca="false">IF(OR(A910&lt;Resumen!$B$6,A910&gt;=Resumen!$B$7),0,MAX(0,AVERAGEIFS(B862:B958,D862:D958,1)-Resumen!$B$5*AVERAGEIFS(C862:C958,D862:D958,1)))</f>
        <v>0.564141207216495</v>
      </c>
      <c r="F910" s="10" t="n">
        <f aca="false">IF(B910="","",(B910-E910)/Resumen!$B$5)</f>
        <v>2.21529689657149</v>
      </c>
      <c r="G910" s="10" t="n">
        <f aca="false">IF(OR(F910="",C910=""),0,(F910-C910)*0.9)</f>
        <v>-0.0859527930856595</v>
      </c>
      <c r="H910" s="26" t="n">
        <f aca="false">IF(A910&lt;Resumen!$B$11,"",IF(H909="",0,H909)+G910/Resumen!$B$9)</f>
        <v>1.21111047191779</v>
      </c>
      <c r="I910" s="26" t="n">
        <f aca="false">IF(H910="","",H910-AVERAGE(H862:H958))</f>
        <v>-0.0512201017902503</v>
      </c>
      <c r="J910" s="27" t="n">
        <f aca="false">IF(I910="","",Resumen!$B$10-(MAX(I862:I958)-I910))</f>
        <v>1.60362127010767</v>
      </c>
    </row>
    <row r="911" customFormat="false" ht="15" hidden="false" customHeight="false" outlineLevel="0" collapsed="false">
      <c r="A911" s="24" t="n">
        <v>46270.8645833333</v>
      </c>
      <c r="B911" s="10" t="n">
        <v>3.4012</v>
      </c>
      <c r="C911" s="10" t="n">
        <v>2.6053</v>
      </c>
      <c r="D911" s="10" t="n">
        <f aca="false">IF(OR(B911="",C911="",B911&lt;=0.05,C911&lt;=0.05),0,1)</f>
        <v>1</v>
      </c>
      <c r="E911" s="25" t="n">
        <f aca="false">IF(OR(A911&lt;Resumen!$B$6,A911&gt;=Resumen!$B$7),0,MAX(0,AVERAGEIFS(B863:B959,D863:D959,1)-Resumen!$B$5*AVERAGEIFS(C863:C959,D863:D959,1)))</f>
        <v>0.546574565979382</v>
      </c>
      <c r="F911" s="10" t="n">
        <f aca="false">IF(B911="","",(B911-E911)/Resumen!$B$5)</f>
        <v>2.26737524544926</v>
      </c>
      <c r="G911" s="10" t="n">
        <f aca="false">IF(OR(F911="",C911=""),0,(F911-C911)*0.9)</f>
        <v>-0.304132279095666</v>
      </c>
      <c r="H911" s="26" t="n">
        <f aca="false">IF(A911&lt;Resumen!$B$11,"",IF(H910="",0,H910)+G911/Resumen!$B$9)</f>
        <v>1.19673447670783</v>
      </c>
      <c r="I911" s="26" t="n">
        <f aca="false">IF(H911="","",H911-AVERAGE(H863:H959))</f>
        <v>-0.0664197886414932</v>
      </c>
      <c r="J911" s="27" t="n">
        <f aca="false">IF(I911="","",Resumen!$B$10-(MAX(I863:I959)-I911))</f>
        <v>1.58842158325643</v>
      </c>
    </row>
    <row r="912" customFormat="false" ht="15" hidden="false" customHeight="false" outlineLevel="0" collapsed="false">
      <c r="A912" s="24" t="n">
        <v>46270.875</v>
      </c>
      <c r="B912" s="10" t="n">
        <v>3.6801</v>
      </c>
      <c r="C912" s="10" t="n">
        <v>2.417</v>
      </c>
      <c r="D912" s="10" t="n">
        <f aca="false">IF(OR(B912="",C912="",B912&lt;=0.05,C912&lt;=0.05),0,1)</f>
        <v>1</v>
      </c>
      <c r="E912" s="25" t="n">
        <f aca="false">IF(OR(A912&lt;Resumen!$B$6,A912&gt;=Resumen!$B$7),0,MAX(0,AVERAGEIFS(B864:B960,D864:D960,1)-Resumen!$B$5*AVERAGEIFS(C864:C960,D864:D960,1)))</f>
        <v>0.536538007216496</v>
      </c>
      <c r="F912" s="10" t="n">
        <f aca="false">IF(B912="","",(B912-E912)/Resumen!$B$5)</f>
        <v>2.49687211499881</v>
      </c>
      <c r="G912" s="10" t="n">
        <f aca="false">IF(OR(F912="",C912=""),0,(F912-C912)*0.9)</f>
        <v>0.0718849034989314</v>
      </c>
      <c r="H912" s="26" t="n">
        <f aca="false">IF(A912&lt;Resumen!$B$11,"",IF(H911="",0,H911)+G912/Resumen!$B$9)</f>
        <v>1.20013239629546</v>
      </c>
      <c r="I912" s="26" t="n">
        <f aca="false">IF(H912="","",H912-AVERAGE(H864:H960))</f>
        <v>-0.0634971530005608</v>
      </c>
      <c r="J912" s="27" t="n">
        <f aca="false">IF(I912="","",Resumen!$B$10-(MAX(I864:I960)-I912))</f>
        <v>1.59134421889736</v>
      </c>
    </row>
    <row r="913" customFormat="false" ht="15" hidden="false" customHeight="false" outlineLevel="0" collapsed="false">
      <c r="A913" s="24" t="n">
        <v>46270.8854166667</v>
      </c>
      <c r="B913" s="10" t="n">
        <v>4.2548</v>
      </c>
      <c r="C913" s="10" t="n">
        <v>2.6033</v>
      </c>
      <c r="D913" s="10" t="n">
        <f aca="false">IF(OR(B913="",C913="",B913&lt;=0.05,C913&lt;=0.05),0,1)</f>
        <v>1</v>
      </c>
      <c r="E913" s="25" t="n">
        <f aca="false">IF(OR(A913&lt;Resumen!$B$6,A913&gt;=Resumen!$B$7),0,MAX(0,AVERAGEIFS(B865:B961,D865:D961,1)-Resumen!$B$5*AVERAGEIFS(C865:C961,D865:D961,1)))</f>
        <v>0.543449575257732</v>
      </c>
      <c r="F913" s="10" t="n">
        <f aca="false">IF(B913="","",(B913-E913)/Resumen!$B$5)</f>
        <v>2.94785577819084</v>
      </c>
      <c r="G913" s="10" t="n">
        <f aca="false">IF(OR(F913="",C913=""),0,(F913-C913)*0.9)</f>
        <v>0.310100200371757</v>
      </c>
      <c r="H913" s="26" t="n">
        <f aca="false">IF(A913&lt;Resumen!$B$11,"",IF(H912="",0,H912)+G913/Resumen!$B$9)</f>
        <v>1.21479048851904</v>
      </c>
      <c r="I913" s="26" t="n">
        <f aca="false">IF(H913="","",H913-AVERAGE(H865:H961))</f>
        <v>-0.0495390941848799</v>
      </c>
      <c r="J913" s="27" t="n">
        <f aca="false">IF(I913="","",Resumen!$B$10-(MAX(I865:I961)-I913))</f>
        <v>1.60530227771304</v>
      </c>
    </row>
    <row r="914" customFormat="false" ht="15" hidden="false" customHeight="false" outlineLevel="0" collapsed="false">
      <c r="A914" s="24" t="n">
        <v>46270.8958333333</v>
      </c>
      <c r="B914" s="10" t="n">
        <v>3.5201</v>
      </c>
      <c r="C914" s="10" t="n">
        <v>2.5011</v>
      </c>
      <c r="D914" s="10" t="n">
        <f aca="false">IF(OR(B914="",C914="",B914&lt;=0.05,C914&lt;=0.05),0,1)</f>
        <v>1</v>
      </c>
      <c r="E914" s="25" t="n">
        <f aca="false">IF(OR(A914&lt;Resumen!$B$6,A914&gt;=Resumen!$B$7),0,MAX(0,AVERAGEIFS(B866:B962,D866:D962,1)-Resumen!$B$5*AVERAGEIFS(C866:C962,D866:D962,1)))</f>
        <v>0.543197206185567</v>
      </c>
      <c r="F914" s="10" t="n">
        <f aca="false">IF(B914="","",(B914-E914)/Resumen!$B$5)</f>
        <v>2.36449785052775</v>
      </c>
      <c r="G914" s="10" t="n">
        <f aca="false">IF(OR(F914="",C914=""),0,(F914-C914)*0.9)</f>
        <v>-0.122941934525028</v>
      </c>
      <c r="H914" s="26" t="n">
        <f aca="false">IF(A914&lt;Resumen!$B$11,"",IF(H913="",0,H913)+G914/Resumen!$B$9)</f>
        <v>1.20897915975416</v>
      </c>
      <c r="I914" s="26" t="n">
        <f aca="false">IF(H914="","",H914-AVERAGE(H866:H962))</f>
        <v>-0.0560389571185211</v>
      </c>
      <c r="J914" s="27" t="n">
        <f aca="false">IF(I914="","",Resumen!$B$10-(MAX(I866:I962)-I914))</f>
        <v>1.5988024147794</v>
      </c>
    </row>
    <row r="915" customFormat="false" ht="15" hidden="false" customHeight="false" outlineLevel="0" collapsed="false">
      <c r="A915" s="24" t="n">
        <v>46270.90625</v>
      </c>
      <c r="B915" s="10" t="n">
        <v>3.7307</v>
      </c>
      <c r="C915" s="10" t="n">
        <v>2.3412</v>
      </c>
      <c r="D915" s="10" t="n">
        <f aca="false">IF(OR(B915="",C915="",B915&lt;=0.05,C915&lt;=0.05),0,1)</f>
        <v>1</v>
      </c>
      <c r="E915" s="25" t="n">
        <f aca="false">IF(OR(A915&lt;Resumen!$B$6,A915&gt;=Resumen!$B$7),0,MAX(0,AVERAGEIFS(B867:B963,D867:D963,1)-Resumen!$B$5*AVERAGEIFS(C867:C963,D867:D963,1)))</f>
        <v>0.527652524742269</v>
      </c>
      <c r="F915" s="10" t="n">
        <f aca="false">IF(B915="","",(B915-E915)/Resumen!$B$5)</f>
        <v>2.54412031394578</v>
      </c>
      <c r="G915" s="10" t="n">
        <f aca="false">IF(OR(F915="",C915=""),0,(F915-C915)*0.9)</f>
        <v>0.182628282551198</v>
      </c>
      <c r="H915" s="26" t="n">
        <f aca="false">IF(A915&lt;Resumen!$B$11,"",IF(H914="",0,H914)+G915/Resumen!$B$9)</f>
        <v>1.21761179593131</v>
      </c>
      <c r="I915" s="26" t="n">
        <f aca="false">IF(H915="","",H915-AVERAGE(H867:H963))</f>
        <v>-0.0475672215430725</v>
      </c>
      <c r="J915" s="27" t="n">
        <f aca="false">IF(I915="","",Resumen!$B$10-(MAX(I867:I963)-I915))</f>
        <v>1.60727415035485</v>
      </c>
    </row>
    <row r="916" customFormat="false" ht="15" hidden="false" customHeight="false" outlineLevel="0" collapsed="false">
      <c r="A916" s="24" t="n">
        <v>46270.9166666667</v>
      </c>
      <c r="B916" s="10" t="n">
        <v>2.9304</v>
      </c>
      <c r="C916" s="10" t="n">
        <v>1.7916</v>
      </c>
      <c r="D916" s="10" t="n">
        <f aca="false">IF(OR(B916="",C916="",B916&lt;=0.05,C916&lt;=0.05),0,1)</f>
        <v>1</v>
      </c>
      <c r="E916" s="25" t="n">
        <f aca="false">IF(OR(A916&lt;Resumen!$B$6,A916&gt;=Resumen!$B$7),0,MAX(0,AVERAGEIFS(B868:B964,D868:D964,1)-Resumen!$B$5*AVERAGEIFS(C868:C964,D868:D964,1)))</f>
        <v>0.539424109278351</v>
      </c>
      <c r="F916" s="10" t="n">
        <f aca="false">IF(B916="","",(B916-E916)/Resumen!$B$5)</f>
        <v>1.89910714116096</v>
      </c>
      <c r="G916" s="10" t="n">
        <f aca="false">IF(OR(F916="",C916=""),0,(F916-C916)*0.9)</f>
        <v>0.0967564270448647</v>
      </c>
      <c r="H916" s="26" t="n">
        <f aca="false">IF(A916&lt;Resumen!$B$11,"",IF(H915="",0,H915)+G916/Resumen!$B$9)</f>
        <v>1.22218536482662</v>
      </c>
      <c r="I916" s="26" t="n">
        <f aca="false">IF(H916="","",H916-AVERAGE(H868:H964))</f>
        <v>-0.0435528236000897</v>
      </c>
      <c r="J916" s="27" t="n">
        <f aca="false">IF(I916="","",Resumen!$B$10-(MAX(I868:I964)-I916))</f>
        <v>1.61128854829784</v>
      </c>
    </row>
    <row r="917" customFormat="false" ht="15" hidden="false" customHeight="false" outlineLevel="0" collapsed="false">
      <c r="A917" s="24" t="n">
        <v>46270.9270833333</v>
      </c>
      <c r="B917" s="10" t="n">
        <v>3.5936</v>
      </c>
      <c r="C917" s="10" t="n">
        <v>2.1247</v>
      </c>
      <c r="D917" s="10" t="n">
        <f aca="false">IF(OR(B917="",C917="",B917&lt;=0.05,C917&lt;=0.05),0,1)</f>
        <v>1</v>
      </c>
      <c r="E917" s="25" t="n">
        <f aca="false">IF(OR(A917&lt;Resumen!$B$6,A917&gt;=Resumen!$B$7),0,MAX(0,AVERAGEIFS(B869:B965,D869:D965,1)-Resumen!$B$5*AVERAGEIFS(C869:C965,D869:D965,1)))</f>
        <v>0.537261745360825</v>
      </c>
      <c r="F917" s="10" t="n">
        <f aca="false">IF(B917="","",(B917-E917)/Resumen!$B$5)</f>
        <v>2.42759194173088</v>
      </c>
      <c r="G917" s="10" t="n">
        <f aca="false">IF(OR(F917="",C917=""),0,(F917-C917)*0.9)</f>
        <v>0.27260274755779</v>
      </c>
      <c r="H917" s="26" t="n">
        <f aca="false">IF(A917&lt;Resumen!$B$11,"",IF(H916="",0,H916)+G917/Resumen!$B$9)</f>
        <v>1.2350709940823</v>
      </c>
      <c r="I917" s="26" t="n">
        <f aca="false">IF(H917="","",H917-AVERAGE(H869:H965))</f>
        <v>-0.031154510892095</v>
      </c>
      <c r="J917" s="27" t="n">
        <f aca="false">IF(I917="","",Resumen!$B$10-(MAX(I869:I965)-I917))</f>
        <v>1.62368686100583</v>
      </c>
    </row>
    <row r="918" customFormat="false" ht="15" hidden="false" customHeight="false" outlineLevel="0" collapsed="false">
      <c r="A918" s="24" t="n">
        <v>46270.9375</v>
      </c>
      <c r="B918" s="10" t="n">
        <v>2.9947</v>
      </c>
      <c r="C918" s="10" t="n">
        <v>2.065</v>
      </c>
      <c r="D918" s="10" t="n">
        <f aca="false">IF(OR(B918="",C918="",B918&lt;=0.05,C918&lt;=0.05),0,1)</f>
        <v>1</v>
      </c>
      <c r="E918" s="25" t="n">
        <f aca="false">IF(OR(A918&lt;Resumen!$B$6,A918&gt;=Resumen!$B$7),0,MAX(0,AVERAGEIFS(B870:B966,D870:D966,1)-Resumen!$B$5*AVERAGEIFS(C870:C966,D870:D966,1)))</f>
        <v>0.543745522680413</v>
      </c>
      <c r="F918" s="10" t="n">
        <f aca="false">IF(B918="","",(B918-E918)/Resumen!$B$5)</f>
        <v>1.94674700343097</v>
      </c>
      <c r="G918" s="10" t="n">
        <f aca="false">IF(OR(F918="",C918=""),0,(F918-C918)*0.9)</f>
        <v>-0.10642769691213</v>
      </c>
      <c r="H918" s="26" t="n">
        <f aca="false">IF(A918&lt;Resumen!$B$11,"",IF(H917="",0,H917)+G918/Resumen!$B$9)</f>
        <v>1.23004027499663</v>
      </c>
      <c r="I918" s="26" t="n">
        <f aca="false">IF(H918="","",H918-AVERAGE(H870:H966))</f>
        <v>-0.0368945507130176</v>
      </c>
      <c r="J918" s="27" t="n">
        <f aca="false">IF(I918="","",Resumen!$B$10-(MAX(I870:I966)-I918))</f>
        <v>1.61794682118491</v>
      </c>
    </row>
    <row r="919" customFormat="false" ht="15" hidden="false" customHeight="false" outlineLevel="0" collapsed="false">
      <c r="A919" s="24" t="n">
        <v>46270.9479166667</v>
      </c>
      <c r="B919" s="10" t="n">
        <v>3.7423</v>
      </c>
      <c r="C919" s="10" t="n">
        <v>2.6437</v>
      </c>
      <c r="D919" s="10" t="n">
        <f aca="false">IF(OR(B919="",C919="",B919&lt;=0.05,C919&lt;=0.05),0,1)</f>
        <v>1</v>
      </c>
      <c r="E919" s="25" t="n">
        <f aca="false">IF(OR(A919&lt;Resumen!$B$6,A919&gt;=Resumen!$B$7),0,MAX(0,AVERAGEIFS(B871:B967,D871:D967,1)-Resumen!$B$5*AVERAGEIFS(C871:C967,D871:D967,1)))</f>
        <v>0.537085981443299</v>
      </c>
      <c r="F919" s="10" t="n">
        <f aca="false">IF(B919="","",(B919-E919)/Resumen!$B$5)</f>
        <v>2.54584115850413</v>
      </c>
      <c r="G919" s="10" t="n">
        <f aca="false">IF(OR(F919="",C919=""),0,(F919-C919)*0.9)</f>
        <v>-0.0880729573462821</v>
      </c>
      <c r="H919" s="26" t="n">
        <f aca="false">IF(A919&lt;Resumen!$B$11,"",IF(H918="",0,H918)+G919/Resumen!$B$9)</f>
        <v>1.22587716407429</v>
      </c>
      <c r="I919" s="26" t="n">
        <f aca="false">IF(H919="","",H919-AVERAGE(H871:H967))</f>
        <v>-0.0415430559183927</v>
      </c>
      <c r="J919" s="27" t="n">
        <f aca="false">IF(I919="","",Resumen!$B$10-(MAX(I871:I967)-I919))</f>
        <v>1.61329831597953</v>
      </c>
    </row>
    <row r="920" customFormat="false" ht="15" hidden="false" customHeight="false" outlineLevel="0" collapsed="false">
      <c r="A920" s="24" t="n">
        <v>46270.9583333333</v>
      </c>
      <c r="B920" s="10" t="n">
        <v>3.272</v>
      </c>
      <c r="C920" s="10" t="n">
        <v>2.0602</v>
      </c>
      <c r="D920" s="10" t="n">
        <f aca="false">IF(OR(B920="",C920="",B920&lt;=0.05,C920&lt;=0.05),0,1)</f>
        <v>1</v>
      </c>
      <c r="E920" s="25" t="n">
        <f aca="false">IF(OR(A920&lt;Resumen!$B$6,A920&gt;=Resumen!$B$7),0,MAX(0,AVERAGEIFS(B872:B968,D872:D968,1)-Resumen!$B$5*AVERAGEIFS(C872:C968,D872:D968,1)))</f>
        <v>0.549311655670104</v>
      </c>
      <c r="F920" s="10" t="n">
        <f aca="false">IF(B920="","",(B920-E920)/Resumen!$B$5)</f>
        <v>2.1625800987529</v>
      </c>
      <c r="G920" s="10" t="n">
        <f aca="false">IF(OR(F920="",C920=""),0,(F920-C920)*0.9)</f>
        <v>0.0921420888776066</v>
      </c>
      <c r="H920" s="26" t="n">
        <f aca="false">IF(A920&lt;Resumen!$B$11,"",IF(H919="",0,H919)+G920/Resumen!$B$9)</f>
        <v>1.23023261832689</v>
      </c>
      <c r="I920" s="26" t="n">
        <f aca="false">IF(H920="","",H920-AVERAGE(H872:H968))</f>
        <v>-0.0380857184989254</v>
      </c>
      <c r="J920" s="27" t="n">
        <f aca="false">IF(I920="","",Resumen!$B$10-(MAX(I872:I968)-I920))</f>
        <v>1.616755653399</v>
      </c>
    </row>
    <row r="921" customFormat="false" ht="15" hidden="false" customHeight="false" outlineLevel="0" collapsed="false">
      <c r="A921" s="24" t="n">
        <v>46270.96875</v>
      </c>
      <c r="B921" s="10" t="n">
        <v>2.7874</v>
      </c>
      <c r="C921" s="10" t="n">
        <v>2.0466</v>
      </c>
      <c r="D921" s="10" t="n">
        <f aca="false">IF(OR(B921="",C921="",B921&lt;=0.05,C921&lt;=0.05),0,1)</f>
        <v>1</v>
      </c>
      <c r="E921" s="25" t="n">
        <f aca="false">IF(OR(A921&lt;Resumen!$B$6,A921&gt;=Resumen!$B$7),0,MAX(0,AVERAGEIFS(B873:B969,D873:D969,1)-Resumen!$B$5*AVERAGEIFS(C873:C969,D873:D969,1)))</f>
        <v>0.529758215463918</v>
      </c>
      <c r="F921" s="10" t="n">
        <f aca="false">IF(B921="","",(B921-E921)/Resumen!$B$5)</f>
        <v>1.79320237056083</v>
      </c>
      <c r="G921" s="10" t="n">
        <f aca="false">IF(OR(F921="",C921=""),0,(F921-C921)*0.9)</f>
        <v>-0.228057866495255</v>
      </c>
      <c r="H921" s="26" t="n">
        <f aca="false">IF(A921&lt;Resumen!$B$11,"",IF(H920="",0,H920)+G921/Resumen!$B$9)</f>
        <v>1.21945257614894</v>
      </c>
      <c r="I921" s="26" t="n">
        <f aca="false">IF(H921="","",H921-AVERAGE(H873:H969))</f>
        <v>-0.0491039502418029</v>
      </c>
      <c r="J921" s="27" t="n">
        <f aca="false">IF(I921="","",Resumen!$B$10-(MAX(I873:I969)-I921))</f>
        <v>1.60573742165612</v>
      </c>
    </row>
    <row r="922" customFormat="false" ht="15" hidden="false" customHeight="false" outlineLevel="0" collapsed="false">
      <c r="A922" s="24" t="n">
        <v>46270.9791666667</v>
      </c>
      <c r="B922" s="10" t="n">
        <v>2.5599</v>
      </c>
      <c r="C922" s="10" t="n">
        <v>1.7202</v>
      </c>
      <c r="D922" s="10" t="n">
        <f aca="false">IF(OR(B922="",C922="",B922&lt;=0.05,C922&lt;=0.05),0,1)</f>
        <v>1</v>
      </c>
      <c r="E922" s="25" t="n">
        <f aca="false">IF(OR(A922&lt;Resumen!$B$6,A922&gt;=Resumen!$B$7),0,MAX(0,AVERAGEIFS(B874:B970,D874:D970,1)-Resumen!$B$5*AVERAGEIFS(C874:C970,D874:D970,1)))</f>
        <v>0.522091371134021</v>
      </c>
      <c r="F922" s="10" t="n">
        <f aca="false">IF(B922="","",(B922-E922)/Resumen!$B$5)</f>
        <v>1.61859303325336</v>
      </c>
      <c r="G922" s="10" t="n">
        <f aca="false">IF(OR(F922="",C922=""),0,(F922-C922)*0.9)</f>
        <v>-0.0914462700719767</v>
      </c>
      <c r="H922" s="26" t="n">
        <f aca="false">IF(A922&lt;Resumen!$B$11,"",IF(H921="",0,H921)+G922/Resumen!$B$9)</f>
        <v>1.21513001247884</v>
      </c>
      <c r="I922" s="26" t="n">
        <f aca="false">IF(H922="","",H922-AVERAGE(H874:H970))</f>
        <v>-0.0534052991210214</v>
      </c>
      <c r="J922" s="27" t="n">
        <f aca="false">IF(I922="","",Resumen!$B$10-(MAX(I874:I970)-I922))</f>
        <v>1.6014360727769</v>
      </c>
    </row>
    <row r="923" customFormat="false" ht="15" hidden="false" customHeight="false" outlineLevel="0" collapsed="false">
      <c r="A923" s="24" t="n">
        <v>46270.9895833333</v>
      </c>
      <c r="B923" s="10" t="n">
        <v>2.3993</v>
      </c>
      <c r="C923" s="10" t="n">
        <v>1.5276</v>
      </c>
      <c r="D923" s="10" t="n">
        <f aca="false">IF(OR(B923="",C923="",B923&lt;=0.05,C923&lt;=0.05),0,1)</f>
        <v>1</v>
      </c>
      <c r="E923" s="25" t="n">
        <f aca="false">IF(OR(A923&lt;Resumen!$B$6,A923&gt;=Resumen!$B$7),0,MAX(0,AVERAGEIFS(B875:B971,D875:D971,1)-Resumen!$B$5*AVERAGEIFS(C875:C971,D875:D971,1)))</f>
        <v>0.526181430927835</v>
      </c>
      <c r="F923" s="10" t="n">
        <f aca="false">IF(B923="","",(B923-E923)/Resumen!$B$5)</f>
        <v>1.48778281896121</v>
      </c>
      <c r="G923" s="10" t="n">
        <f aca="false">IF(OR(F923="",C923=""),0,(F923-C923)*0.9)</f>
        <v>-0.0358354629349096</v>
      </c>
      <c r="H923" s="26" t="n">
        <f aca="false">IF(A923&lt;Resumen!$B$11,"",IF(H922="",0,H922)+G923/Resumen!$B$9)</f>
        <v>1.21343610992752</v>
      </c>
      <c r="I923" s="26" t="n">
        <f aca="false">IF(H923="","",H923-AVERAGE(H875:H971))</f>
        <v>-0.0552134278837331</v>
      </c>
      <c r="J923" s="27" t="n">
        <f aca="false">IF(I923="","",Resumen!$B$10-(MAX(I875:I971)-I923))</f>
        <v>1.59962794401419</v>
      </c>
    </row>
    <row r="924" customFormat="false" ht="15" hidden="false" customHeight="false" outlineLevel="0" collapsed="false">
      <c r="A924" s="24" t="n">
        <v>46271</v>
      </c>
      <c r="B924" s="10" t="n">
        <v>2.5878</v>
      </c>
      <c r="C924" s="10" t="n">
        <v>1.6718</v>
      </c>
      <c r="D924" s="10" t="n">
        <f aca="false">IF(OR(B924="",C924="",B924&lt;=0.05,C924&lt;=0.05),0,1)</f>
        <v>1</v>
      </c>
      <c r="E924" s="25" t="n">
        <f aca="false">IF(OR(A924&lt;Resumen!$B$6,A924&gt;=Resumen!$B$7),0,MAX(0,AVERAGEIFS(B876:B972,D876:D972,1)-Resumen!$B$5*AVERAGEIFS(C876:C972,D876:D972,1)))</f>
        <v>0.532997969072165</v>
      </c>
      <c r="F924" s="10" t="n">
        <f aca="false">IF(B924="","",(B924-E924)/Resumen!$B$5)</f>
        <v>1.63209057261941</v>
      </c>
      <c r="G924" s="10" t="n">
        <f aca="false">IF(OR(F924="",C924=""),0,(F924-C924)*0.9)</f>
        <v>-0.035738484642532</v>
      </c>
      <c r="H924" s="26" t="n">
        <f aca="false">IF(A924&lt;Resumen!$B$11,"",IF(H923="",0,H923)+G924/Resumen!$B$9)</f>
        <v>1.21174679143242</v>
      </c>
      <c r="I924" s="26" t="n">
        <f aca="false">IF(H924="","",H924-AVERAGE(H876:H972))</f>
        <v>-0.0572444263529293</v>
      </c>
      <c r="J924" s="27" t="n">
        <f aca="false">IF(I924="","",Resumen!$B$10-(MAX(I876:I972)-I924))</f>
        <v>1.597596945545</v>
      </c>
    </row>
    <row r="925" customFormat="false" ht="15" hidden="false" customHeight="false" outlineLevel="0" collapsed="false">
      <c r="A925" s="24" t="n">
        <v>46271.0104166667</v>
      </c>
      <c r="B925" s="10" t="n">
        <v>3.1281</v>
      </c>
      <c r="C925" s="10" t="n">
        <v>1.7799</v>
      </c>
      <c r="D925" s="10" t="n">
        <f aca="false">IF(OR(B925="",C925="",B925&lt;=0.05,C925&lt;=0.05),0,1)</f>
        <v>1</v>
      </c>
      <c r="E925" s="25" t="n">
        <f aca="false">IF(OR(A925&lt;Resumen!$B$6,A925&gt;=Resumen!$B$7),0,MAX(0,AVERAGEIFS(B877:B973,D877:D973,1)-Resumen!$B$5*AVERAGEIFS(C877:C973,D877:D973,1)))</f>
        <v>0.538043202061856</v>
      </c>
      <c r="F925" s="10" t="n">
        <f aca="false">IF(B925="","",(B925-E925)/Resumen!$B$5)</f>
        <v>2.05723335817168</v>
      </c>
      <c r="G925" s="10" t="n">
        <f aca="false">IF(OR(F925="",C925=""),0,(F925-C925)*0.9)</f>
        <v>0.249600022354511</v>
      </c>
      <c r="H925" s="26" t="n">
        <f aca="false">IF(A925&lt;Resumen!$B$11,"",IF(H924="",0,H924)+G925/Resumen!$B$9)</f>
        <v>1.2235451074035</v>
      </c>
      <c r="I925" s="26" t="n">
        <f aca="false">IF(H925="","",H925-AVERAGE(H877:H973))</f>
        <v>-0.0459559520712414</v>
      </c>
      <c r="J925" s="27" t="n">
        <f aca="false">IF(I925="","",Resumen!$B$10-(MAX(I877:I973)-I925))</f>
        <v>1.60888541982668</v>
      </c>
    </row>
    <row r="926" customFormat="false" ht="15" hidden="false" customHeight="false" outlineLevel="0" collapsed="false">
      <c r="A926" s="24" t="n">
        <v>46271.0208333333</v>
      </c>
      <c r="B926" s="10" t="n">
        <v>2.7571</v>
      </c>
      <c r="C926" s="10" t="n">
        <v>1.6546</v>
      </c>
      <c r="D926" s="10" t="n">
        <f aca="false">IF(OR(B926="",C926="",B926&lt;=0.05,C926&lt;=0.05),0,1)</f>
        <v>1</v>
      </c>
      <c r="E926" s="25" t="n">
        <f aca="false">IF(OR(A926&lt;Resumen!$B$6,A926&gt;=Resumen!$B$7),0,MAX(0,AVERAGEIFS(B878:B974,D878:D974,1)-Resumen!$B$5*AVERAGEIFS(C878:C974,D878:D974,1)))</f>
        <v>0.528353956701031</v>
      </c>
      <c r="F926" s="10" t="n">
        <f aca="false">IF(B926="","",(B926-E926)/Resumen!$B$5)</f>
        <v>1.77025102724303</v>
      </c>
      <c r="G926" s="10" t="n">
        <f aca="false">IF(OR(F926="",C926=""),0,(F926-C926)*0.9)</f>
        <v>0.104085924518723</v>
      </c>
      <c r="H926" s="26" t="n">
        <f aca="false">IF(A926&lt;Resumen!$B$11,"",IF(H925="",0,H925)+G926/Resumen!$B$9)</f>
        <v>1.22846513350778</v>
      </c>
      <c r="I926" s="26" t="n">
        <f aca="false">IF(H926="","",H926-AVERAGE(H878:H974))</f>
        <v>-0.0412177406121286</v>
      </c>
      <c r="J926" s="27" t="n">
        <f aca="false">IF(I926="","",Resumen!$B$10-(MAX(I878:I974)-I926))</f>
        <v>1.6136236312858</v>
      </c>
    </row>
    <row r="927" customFormat="false" ht="15" hidden="false" customHeight="false" outlineLevel="0" collapsed="false">
      <c r="A927" s="24" t="n">
        <v>46271.03125</v>
      </c>
      <c r="B927" s="10" t="n">
        <v>2.5356</v>
      </c>
      <c r="C927" s="10" t="n">
        <v>1.7527</v>
      </c>
      <c r="D927" s="10" t="n">
        <f aca="false">IF(OR(B927="",C927="",B927&lt;=0.05,C927&lt;=0.05),0,1)</f>
        <v>1</v>
      </c>
      <c r="E927" s="25" t="n">
        <f aca="false">IF(OR(A927&lt;Resumen!$B$6,A927&gt;=Resumen!$B$7),0,MAX(0,AVERAGEIFS(B879:B975,D879:D975,1)-Resumen!$B$5*AVERAGEIFS(C879:C975,D879:D975,1)))</f>
        <v>0.514835392783505</v>
      </c>
      <c r="F927" s="10" t="n">
        <f aca="false">IF(B927="","",(B927-E927)/Resumen!$B$5)</f>
        <v>1.60505528770174</v>
      </c>
      <c r="G927" s="10" t="n">
        <f aca="false">IF(OR(F927="",C927=""),0,(F927-C927)*0.9)</f>
        <v>-0.132880241068431</v>
      </c>
      <c r="H927" s="26" t="n">
        <f aca="false">IF(A927&lt;Resumen!$B$11,"",IF(H926="",0,H926)+G927/Resumen!$B$9)</f>
        <v>1.2221840320253</v>
      </c>
      <c r="I927" s="26" t="n">
        <f aca="false">IF(H927="","",H927-AVERAGE(H879:H975))</f>
        <v>-0.0472232505381587</v>
      </c>
      <c r="J927" s="27" t="n">
        <f aca="false">IF(I927="","",Resumen!$B$10-(MAX(I879:I975)-I927))</f>
        <v>1.60761812135977</v>
      </c>
    </row>
    <row r="928" customFormat="false" ht="15" hidden="false" customHeight="false" outlineLevel="0" collapsed="false">
      <c r="A928" s="24" t="n">
        <v>46271.0416666667</v>
      </c>
      <c r="B928" s="10" t="n">
        <v>2.7703</v>
      </c>
      <c r="C928" s="10" t="n">
        <v>1.5845</v>
      </c>
      <c r="D928" s="10" t="n">
        <f aca="false">IF(OR(B928="",C928="",B928&lt;=0.05,C928&lt;=0.05),0,1)</f>
        <v>1</v>
      </c>
      <c r="E928" s="25" t="n">
        <f aca="false">IF(OR(A928&lt;Resumen!$B$6,A928&gt;=Resumen!$B$7),0,MAX(0,AVERAGEIFS(B880:B976,D880:D976,1)-Resumen!$B$5*AVERAGEIFS(C880:C976,D880:D976,1)))</f>
        <v>0.502664386597939</v>
      </c>
      <c r="F928" s="10" t="n">
        <f aca="false">IF(B928="","",(B928-E928)/Resumen!$B$5)</f>
        <v>1.80114028070061</v>
      </c>
      <c r="G928" s="10" t="n">
        <f aca="false">IF(OR(F928="",C928=""),0,(F928-C928)*0.9)</f>
        <v>0.194976252630544</v>
      </c>
      <c r="H928" s="26" t="n">
        <f aca="false">IF(A928&lt;Resumen!$B$11,"",IF(H927="",0,H927)+G928/Resumen!$B$9)</f>
        <v>1.23140034304038</v>
      </c>
      <c r="I928" s="26" t="n">
        <f aca="false">IF(H928="","",H928-AVERAGE(H880:H976))</f>
        <v>-0.0373206376828485</v>
      </c>
      <c r="J928" s="27" t="n">
        <f aca="false">IF(I928="","",Resumen!$B$10-(MAX(I880:I976)-I928))</f>
        <v>1.61752073421508</v>
      </c>
    </row>
    <row r="929" customFormat="false" ht="15" hidden="false" customHeight="false" outlineLevel="0" collapsed="false">
      <c r="A929" s="24" t="n">
        <v>46271.0520833333</v>
      </c>
      <c r="B929" s="10" t="n">
        <v>2.6808</v>
      </c>
      <c r="C929" s="10" t="n">
        <v>1.489</v>
      </c>
      <c r="D929" s="10" t="n">
        <f aca="false">IF(OR(B929="",C929="",B929&lt;=0.05,C929&lt;=0.05),0,1)</f>
        <v>1</v>
      </c>
      <c r="E929" s="25" t="n">
        <f aca="false">IF(OR(A929&lt;Resumen!$B$6,A929&gt;=Resumen!$B$7),0,MAX(0,AVERAGEIFS(B881:B977,D881:D977,1)-Resumen!$B$5*AVERAGEIFS(C881:C977,D881:D977,1)))</f>
        <v>0.512703680412371</v>
      </c>
      <c r="F929" s="10" t="n">
        <f aca="false">IF(B929="","",(B929-E929)/Resumen!$B$5)</f>
        <v>1.72207809339764</v>
      </c>
      <c r="G929" s="10" t="n">
        <f aca="false">IF(OR(F929="",C929=""),0,(F929-C929)*0.9)</f>
        <v>0.209770284057877</v>
      </c>
      <c r="H929" s="26" t="n">
        <f aca="false">IF(A929&lt;Resumen!$B$11,"",IF(H928="",0,H928)+G929/Resumen!$B$9)</f>
        <v>1.24131595149791</v>
      </c>
      <c r="I929" s="26" t="n">
        <f aca="false">IF(H929="","",H929-AVERAGE(H881:H977))</f>
        <v>-0.0270605528464327</v>
      </c>
      <c r="J929" s="27" t="n">
        <f aca="false">IF(I929="","",Resumen!$B$10-(MAX(I881:I977)-I929))</f>
        <v>1.62778081905149</v>
      </c>
    </row>
    <row r="930" customFormat="false" ht="15" hidden="false" customHeight="false" outlineLevel="0" collapsed="false">
      <c r="A930" s="24" t="n">
        <v>46271.0625</v>
      </c>
      <c r="B930" s="10" t="n">
        <v>2.2571</v>
      </c>
      <c r="C930" s="10" t="n">
        <v>1.4516</v>
      </c>
      <c r="D930" s="10" t="n">
        <f aca="false">IF(OR(B930="",C930="",B930&lt;=0.05,C930&lt;=0.05),0,1)</f>
        <v>1</v>
      </c>
      <c r="E930" s="25" t="n">
        <f aca="false">IF(OR(A930&lt;Resumen!$B$6,A930&gt;=Resumen!$B$7),0,MAX(0,AVERAGEIFS(B882:B978,D882:D978,1)-Resumen!$B$5*AVERAGEIFS(C882:C978,D882:D978,1)))</f>
        <v>0.510856423711341</v>
      </c>
      <c r="F930" s="10" t="n">
        <f aca="false">IF(B930="","",(B930-E930)/Resumen!$B$5)</f>
        <v>1.38700840054699</v>
      </c>
      <c r="G930" s="10" t="n">
        <f aca="false">IF(OR(F930="",C930=""),0,(F930-C930)*0.9)</f>
        <v>-0.0581324395077098</v>
      </c>
      <c r="H930" s="26" t="n">
        <f aca="false">IF(A930&lt;Resumen!$B$11,"",IF(H929="",0,H929)+G930/Resumen!$B$9)</f>
        <v>1.23856809561628</v>
      </c>
      <c r="I930" s="26" t="n">
        <f aca="false">IF(H930="","",H930-AVERAGE(H882:H978))</f>
        <v>-0.0294046852034731</v>
      </c>
      <c r="J930" s="27" t="n">
        <f aca="false">IF(I930="","",Resumen!$B$10-(MAX(I882:I978)-I930))</f>
        <v>1.62543668669445</v>
      </c>
    </row>
    <row r="931" customFormat="false" ht="15" hidden="false" customHeight="false" outlineLevel="0" collapsed="false">
      <c r="A931" s="24" t="n">
        <v>46271.0729166667</v>
      </c>
      <c r="B931" s="10" t="n">
        <v>2.8354</v>
      </c>
      <c r="C931" s="10" t="n">
        <v>1.6458</v>
      </c>
      <c r="D931" s="10" t="n">
        <f aca="false">IF(OR(B931="",C931="",B931&lt;=0.05,C931&lt;=0.05),0,1)</f>
        <v>1</v>
      </c>
      <c r="E931" s="25" t="n">
        <f aca="false">IF(OR(A931&lt;Resumen!$B$6,A931&gt;=Resumen!$B$7),0,MAX(0,AVERAGEIFS(B883:B979,D883:D979,1)-Resumen!$B$5*AVERAGEIFS(C883:C979,D883:D979,1)))</f>
        <v>0.506566787628866</v>
      </c>
      <c r="F931" s="10" t="n">
        <f aca="false">IF(B931="","",(B931-E931)/Resumen!$B$5)</f>
        <v>1.84974838154975</v>
      </c>
      <c r="G931" s="10" t="n">
        <f aca="false">IF(OR(F931="",C931=""),0,(F931-C931)*0.9)</f>
        <v>0.183553543394774</v>
      </c>
      <c r="H931" s="26" t="n">
        <f aca="false">IF(A931&lt;Resumen!$B$11,"",IF(H930="",0,H930)+G931/Resumen!$B$9)</f>
        <v>1.24724446784636</v>
      </c>
      <c r="I931" s="26" t="n">
        <f aca="false">IF(H931="","",H931-AVERAGE(H883:H979))</f>
        <v>-0.0201817079720819</v>
      </c>
      <c r="J931" s="27" t="n">
        <f aca="false">IF(I931="","",Resumen!$B$10-(MAX(I883:I979)-I931))</f>
        <v>1.63465966392584</v>
      </c>
    </row>
    <row r="932" customFormat="false" ht="15" hidden="false" customHeight="false" outlineLevel="0" collapsed="false">
      <c r="A932" s="24" t="n">
        <v>46271.0833333333</v>
      </c>
      <c r="B932" s="10" t="n">
        <v>2.3236</v>
      </c>
      <c r="C932" s="10" t="n">
        <v>1.5838</v>
      </c>
      <c r="D932" s="10" t="n">
        <f aca="false">IF(OR(B932="",C932="",B932&lt;=0.05,C932&lt;=0.05),0,1)</f>
        <v>1</v>
      </c>
      <c r="E932" s="25" t="n">
        <f aca="false">IF(OR(A932&lt;Resumen!$B$6,A932&gt;=Resumen!$B$7),0,MAX(0,AVERAGEIFS(B884:B980,D884:D980,1)-Resumen!$B$5*AVERAGEIFS(C884:C980,D884:D980,1)))</f>
        <v>0.494224881443299</v>
      </c>
      <c r="F932" s="10" t="n">
        <f aca="false">IF(B932="","",(B932-E932)/Resumen!$B$5)</f>
        <v>1.45303821966378</v>
      </c>
      <c r="G932" s="10" t="n">
        <f aca="false">IF(OR(F932="",C932=""),0,(F932-C932)*0.9)</f>
        <v>-0.117685602302597</v>
      </c>
      <c r="H932" s="26" t="n">
        <f aca="false">IF(A932&lt;Resumen!$B$11,"",IF(H931="",0,H931)+G932/Resumen!$B$9)</f>
        <v>1.24168160007049</v>
      </c>
      <c r="I932" s="26" t="n">
        <f aca="false">IF(H932="","",H932-AVERAGE(H884:H980))</f>
        <v>-0.024784073636517</v>
      </c>
      <c r="J932" s="27" t="n">
        <f aca="false">IF(I932="","",Resumen!$B$10-(MAX(I884:I980)-I932))</f>
        <v>1.63005729826141</v>
      </c>
    </row>
    <row r="933" customFormat="false" ht="15" hidden="false" customHeight="false" outlineLevel="0" collapsed="false">
      <c r="A933" s="24" t="n">
        <v>46271.09375</v>
      </c>
      <c r="B933" s="10" t="n">
        <v>2.5022</v>
      </c>
      <c r="C933" s="10" t="n">
        <v>1.466</v>
      </c>
      <c r="D933" s="10" t="n">
        <f aca="false">IF(OR(B933="",C933="",B933&lt;=0.05,C933&lt;=0.05),0,1)</f>
        <v>1</v>
      </c>
      <c r="E933" s="25" t="n">
        <f aca="false">IF(OR(A933&lt;Resumen!$B$6,A933&gt;=Resumen!$B$7),0,MAX(0,AVERAGEIFS(B885:B981,D885:D981,1)-Resumen!$B$5*AVERAGEIFS(C885:C981,D885:D981,1)))</f>
        <v>0.497592108247423</v>
      </c>
      <c r="F933" s="10" t="n">
        <f aca="false">IF(B933="","",(B933-E933)/Resumen!$B$5)</f>
        <v>1.59222231275026</v>
      </c>
      <c r="G933" s="10" t="n">
        <f aca="false">IF(OR(F933="",C933=""),0,(F933-C933)*0.9)</f>
        <v>0.113600081475234</v>
      </c>
      <c r="H933" s="26" t="n">
        <f aca="false">IF(A933&lt;Resumen!$B$11,"",IF(H932="",0,H932)+G933/Resumen!$B$9)</f>
        <v>1.24705134981226</v>
      </c>
      <c r="I933" s="26" t="n">
        <f aca="false">IF(H933="","",H933-AVERAGE(H885:H981))</f>
        <v>-0.0185684710106715</v>
      </c>
      <c r="J933" s="27" t="n">
        <f aca="false">IF(I933="","",Resumen!$B$10-(MAX(I885:I981)-I933))</f>
        <v>1.63627290088725</v>
      </c>
    </row>
    <row r="934" customFormat="false" ht="15" hidden="false" customHeight="false" outlineLevel="0" collapsed="false">
      <c r="A934" s="24" t="n">
        <v>46271.1041666667</v>
      </c>
      <c r="B934" s="10" t="n">
        <v>2.2684</v>
      </c>
      <c r="C934" s="10" t="n">
        <v>1.4854</v>
      </c>
      <c r="D934" s="10" t="n">
        <f aca="false">IF(OR(B934="",C934="",B934&lt;=0.05,C934&lt;=0.05),0,1)</f>
        <v>1</v>
      </c>
      <c r="E934" s="25" t="n">
        <f aca="false">IF(OR(A934&lt;Resumen!$B$6,A934&gt;=Resumen!$B$7),0,MAX(0,AVERAGEIFS(B886:B982,D886:D982,1)-Resumen!$B$5*AVERAGEIFS(C886:C982,D886:D982,1)))</f>
        <v>0.497679868041238</v>
      </c>
      <c r="F934" s="10" t="n">
        <f aca="false">IF(B934="","",(B934-E934)/Resumen!$B$5)</f>
        <v>1.40644966795771</v>
      </c>
      <c r="G934" s="10" t="n">
        <f aca="false">IF(OR(F934="",C934=""),0,(F934-C934)*0.9)</f>
        <v>-0.071055298838057</v>
      </c>
      <c r="H934" s="26" t="n">
        <f aca="false">IF(A934&lt;Resumen!$B$11,"",IF(H933="",0,H933)+G934/Resumen!$B$9)</f>
        <v>1.24369264471599</v>
      </c>
      <c r="I934" s="26" t="n">
        <f aca="false">IF(H934="","",H934-AVERAGE(H886:H982))</f>
        <v>-0.0210865693587285</v>
      </c>
      <c r="J934" s="27" t="n">
        <f aca="false">IF(I934="","",Resumen!$B$10-(MAX(I886:I982)-I934))</f>
        <v>1.6337548025392</v>
      </c>
    </row>
    <row r="935" customFormat="false" ht="15" hidden="false" customHeight="false" outlineLevel="0" collapsed="false">
      <c r="A935" s="24" t="n">
        <v>46271.1145833333</v>
      </c>
      <c r="B935" s="10" t="n">
        <v>2.5688</v>
      </c>
      <c r="C935" s="10" t="n">
        <v>1.4869</v>
      </c>
      <c r="D935" s="10" t="n">
        <f aca="false">IF(OR(B935="",C935="",B935&lt;=0.05,C935&lt;=0.05),0,1)</f>
        <v>1</v>
      </c>
      <c r="E935" s="25" t="n">
        <f aca="false">IF(OR(A935&lt;Resumen!$B$6,A935&gt;=Resumen!$B$7),0,MAX(0,AVERAGEIFS(B887:B983,D887:D983,1)-Resumen!$B$5*AVERAGEIFS(C887:C983,D887:D983,1)))</f>
        <v>0.497558079381443</v>
      </c>
      <c r="F935" s="10" t="n">
        <f aca="false">IF(B935="","",(B935-E935)/Resumen!$B$5)</f>
        <v>1.64514846752864</v>
      </c>
      <c r="G935" s="10" t="n">
        <f aca="false">IF(OR(F935="",C935=""),0,(F935-C935)*0.9)</f>
        <v>0.142423620775775</v>
      </c>
      <c r="H935" s="26" t="n">
        <f aca="false">IF(A935&lt;Resumen!$B$11,"",IF(H934="",0,H934)+G935/Resumen!$B$9)</f>
        <v>1.25042485116296</v>
      </c>
      <c r="I935" s="26" t="n">
        <f aca="false">IF(H935="","",H935-AVERAGE(H887:H983))</f>
        <v>-0.0135091499035509</v>
      </c>
      <c r="J935" s="27" t="n">
        <f aca="false">IF(I935="","",Resumen!$B$10-(MAX(I887:I983)-I935))</f>
        <v>1.64133222199437</v>
      </c>
    </row>
    <row r="936" customFormat="false" ht="15" hidden="false" customHeight="false" outlineLevel="0" collapsed="false">
      <c r="A936" s="24" t="n">
        <v>46271.125</v>
      </c>
      <c r="B936" s="10" t="n">
        <v>2.1527</v>
      </c>
      <c r="C936" s="10" t="n">
        <v>1.593</v>
      </c>
      <c r="D936" s="10" t="n">
        <f aca="false">IF(OR(B936="",C936="",B936&lt;=0.05,C936&lt;=0.05),0,1)</f>
        <v>1</v>
      </c>
      <c r="E936" s="25" t="n">
        <f aca="false">IF(OR(A936&lt;Resumen!$B$6,A936&gt;=Resumen!$B$7),0,MAX(0,AVERAGEIFS(B888:B984,D888:D984,1)-Resumen!$B$5*AVERAGEIFS(C888:C984,D888:D984,1)))</f>
        <v>0.505917731958763</v>
      </c>
      <c r="F936" s="10" t="n">
        <f aca="false">IF(B936="","",(B936-E936)/Resumen!$B$5)</f>
        <v>1.30800815571186</v>
      </c>
      <c r="G936" s="10" t="n">
        <f aca="false">IF(OR(F936="",C936=""),0,(F936-C936)*0.9)</f>
        <v>-0.256492659859322</v>
      </c>
      <c r="H936" s="26" t="n">
        <f aca="false">IF(A936&lt;Resumen!$B$11,"",IF(H935="",0,H935)+G936/Resumen!$B$9)</f>
        <v>1.23830072786867</v>
      </c>
      <c r="I936" s="26" t="n">
        <f aca="false">IF(H936="","",H936-AVERAGE(H888:H984))</f>
        <v>-0.0250702309403881</v>
      </c>
      <c r="J936" s="27" t="n">
        <f aca="false">IF(I936="","",Resumen!$B$10-(MAX(I888:I984)-I936))</f>
        <v>1.62977114095754</v>
      </c>
    </row>
    <row r="937" customFormat="false" ht="15" hidden="false" customHeight="false" outlineLevel="0" collapsed="false">
      <c r="A937" s="24" t="n">
        <v>46271.1354166667</v>
      </c>
      <c r="B937" s="10" t="n">
        <v>2.6582</v>
      </c>
      <c r="C937" s="10" t="n">
        <v>1.4937</v>
      </c>
      <c r="D937" s="10" t="n">
        <f aca="false">IF(OR(B937="",C937="",B937&lt;=0.05,C937&lt;=0.05),0,1)</f>
        <v>1</v>
      </c>
      <c r="E937" s="25" t="n">
        <f aca="false">IF(OR(A937&lt;Resumen!$B$6,A937&gt;=Resumen!$B$7),0,MAX(0,AVERAGEIFS(B889:B985,D889:D985,1)-Resumen!$B$5*AVERAGEIFS(C889:C985,D889:D985,1)))</f>
        <v>0.512778912371133</v>
      </c>
      <c r="F937" s="10" t="n">
        <f aca="false">IF(B937="","",(B937-E937)/Resumen!$B$5)</f>
        <v>1.70406758350188</v>
      </c>
      <c r="G937" s="10" t="n">
        <f aca="false">IF(OR(F937="",C937=""),0,(F937-C937)*0.9)</f>
        <v>0.189330825151692</v>
      </c>
      <c r="H937" s="26" t="n">
        <f aca="false">IF(A937&lt;Resumen!$B$11,"",IF(H936="",0,H936)+G937/Resumen!$B$9)</f>
        <v>1.24725018579393</v>
      </c>
      <c r="I937" s="26" t="n">
        <f aca="false">IF(H937="","",H937-AVERAGE(H889:H985))</f>
        <v>-0.0157861941431945</v>
      </c>
      <c r="J937" s="27" t="n">
        <f aca="false">IF(I937="","",Resumen!$B$10-(MAX(I889:I985)-I937))</f>
        <v>1.63905517775473</v>
      </c>
    </row>
    <row r="938" customFormat="false" ht="15" hidden="false" customHeight="false" outlineLevel="0" collapsed="false">
      <c r="A938" s="24" t="n">
        <v>46271.1458333333</v>
      </c>
      <c r="B938" s="10" t="n">
        <v>2.5895</v>
      </c>
      <c r="C938" s="10" t="n">
        <v>1.492</v>
      </c>
      <c r="D938" s="10" t="n">
        <f aca="false">IF(OR(B938="",C938="",B938&lt;=0.05,C938&lt;=0.05),0,1)</f>
        <v>1</v>
      </c>
      <c r="E938" s="25" t="n">
        <f aca="false">IF(OR(A938&lt;Resumen!$B$6,A938&gt;=Resumen!$B$7),0,MAX(0,AVERAGEIFS(B890:B986,D890:D986,1)-Resumen!$B$5*AVERAGEIFS(C890:C986,D890:D986,1)))</f>
        <v>0.519404616494846</v>
      </c>
      <c r="F938" s="10" t="n">
        <f aca="false">IF(B938="","",(B938-E938)/Resumen!$B$5)</f>
        <v>1.64423779468241</v>
      </c>
      <c r="G938" s="10" t="n">
        <f aca="false">IF(OR(F938="",C938=""),0,(F938-C938)*0.9)</f>
        <v>0.137014015214169</v>
      </c>
      <c r="H938" s="26" t="n">
        <f aca="false">IF(A938&lt;Resumen!$B$11,"",IF(H937="",0,H937)+G938/Resumen!$B$9)</f>
        <v>1.2537266861913</v>
      </c>
      <c r="I938" s="26" t="n">
        <f aca="false">IF(H938="","",H938-AVERAGE(H890:H986))</f>
        <v>-0.00919813953744009</v>
      </c>
      <c r="J938" s="27" t="n">
        <f aca="false">IF(I938="","",Resumen!$B$10-(MAX(I890:I986)-I938))</f>
        <v>1.64564323236048</v>
      </c>
    </row>
    <row r="939" customFormat="false" ht="15" hidden="false" customHeight="false" outlineLevel="0" collapsed="false">
      <c r="A939" s="24" t="n">
        <v>46271.15625</v>
      </c>
      <c r="B939" s="10" t="n">
        <v>2.8888</v>
      </c>
      <c r="C939" s="10" t="n">
        <v>1.4303</v>
      </c>
      <c r="D939" s="10" t="n">
        <f aca="false">IF(OR(B939="",C939="",B939&lt;=0.05,C939&lt;=0.05),0,1)</f>
        <v>1</v>
      </c>
      <c r="E939" s="25" t="n">
        <f aca="false">IF(OR(A939&lt;Resumen!$B$6,A939&gt;=Resumen!$B$7),0,MAX(0,AVERAGEIFS(B891:B987,D891:D987,1)-Resumen!$B$5*AVERAGEIFS(C891:C987,D891:D987,1)))</f>
        <v>0.508193371134021</v>
      </c>
      <c r="F939" s="10" t="n">
        <f aca="false">IF(B939="","",(B939-E939)/Resumen!$B$5)</f>
        <v>1.8908710316648</v>
      </c>
      <c r="G939" s="10" t="n">
        <f aca="false">IF(OR(F939="",C939=""),0,(F939-C939)*0.9)</f>
        <v>0.414513928498317</v>
      </c>
      <c r="H939" s="26" t="n">
        <f aca="false">IF(A939&lt;Resumen!$B$11,"",IF(H938="",0,H938)+G939/Resumen!$B$9)</f>
        <v>1.2733202994318</v>
      </c>
      <c r="I939" s="26" t="n">
        <f aca="false">IF(H939="","",H939-AVERAGE(H891:H987))</f>
        <v>0.010886509643854</v>
      </c>
      <c r="J939" s="27" t="n">
        <f aca="false">IF(I939="","",Resumen!$B$10-(MAX(I891:I987)-I939))</f>
        <v>1.66572788154178</v>
      </c>
    </row>
    <row r="940" customFormat="false" ht="15" hidden="false" customHeight="false" outlineLevel="0" collapsed="false">
      <c r="A940" s="24" t="n">
        <v>46271.1666666667</v>
      </c>
      <c r="B940" s="10" t="n">
        <v>2.581</v>
      </c>
      <c r="C940" s="10" t="n">
        <v>1.4358</v>
      </c>
      <c r="D940" s="10" t="n">
        <f aca="false">IF(OR(B940="",C940="",B940&lt;=0.05,C940&lt;=0.05),0,1)</f>
        <v>1</v>
      </c>
      <c r="E940" s="25" t="n">
        <f aca="false">IF(OR(A940&lt;Resumen!$B$6,A940&gt;=Resumen!$B$7),0,MAX(0,AVERAGEIFS(B892:B988,D892:D988,1)-Resumen!$B$5*AVERAGEIFS(C892:C988,D892:D988,1)))</f>
        <v>0.503097132989691</v>
      </c>
      <c r="F940" s="10" t="n">
        <f aca="false">IF(B940="","",(B940-E940)/Resumen!$B$5)</f>
        <v>1.65043913185886</v>
      </c>
      <c r="G940" s="10" t="n">
        <f aca="false">IF(OR(F940="",C940=""),0,(F940-C940)*0.9)</f>
        <v>0.193175218672977</v>
      </c>
      <c r="H940" s="26" t="n">
        <f aca="false">IF(A940&lt;Resumen!$B$11,"",IF(H939="",0,H939)+G940/Resumen!$B$9)</f>
        <v>1.28245147757108</v>
      </c>
      <c r="I940" s="26" t="n">
        <f aca="false">IF(H940="","",H940-AVERAGE(H892:H988))</f>
        <v>0.0206785345561147</v>
      </c>
      <c r="J940" s="27" t="n">
        <f aca="false">IF(I940="","",Resumen!$B$10-(MAX(I892:I988)-I940))</f>
        <v>1.67551990645404</v>
      </c>
    </row>
    <row r="941" customFormat="false" ht="15" hidden="false" customHeight="false" outlineLevel="0" collapsed="false">
      <c r="A941" s="24" t="n">
        <v>46271.1770833333</v>
      </c>
      <c r="B941" s="10" t="n">
        <v>2.5652</v>
      </c>
      <c r="C941" s="10" t="n">
        <v>1.8311</v>
      </c>
      <c r="D941" s="10" t="n">
        <f aca="false">IF(OR(B941="",C941="",B941&lt;=0.05,C941&lt;=0.05),0,1)</f>
        <v>1</v>
      </c>
      <c r="E941" s="25" t="n">
        <f aca="false">IF(OR(A941&lt;Resumen!$B$6,A941&gt;=Resumen!$B$7),0,MAX(0,AVERAGEIFS(B893:B989,D893:D989,1)-Resumen!$B$5*AVERAGEIFS(C893:C989,D893:D989,1)))</f>
        <v>0.503937379381443</v>
      </c>
      <c r="F941" s="10" t="n">
        <f aca="false">IF(B941="","",(B941-E941)/Resumen!$B$5)</f>
        <v>1.63722209739361</v>
      </c>
      <c r="G941" s="10" t="n">
        <f aca="false">IF(OR(F941="",C941=""),0,(F941-C941)*0.9)</f>
        <v>-0.17449011234575</v>
      </c>
      <c r="H941" s="26" t="n">
        <f aca="false">IF(A941&lt;Resumen!$B$11,"",IF(H940="",0,H940)+G941/Resumen!$B$9)</f>
        <v>1.27420352366521</v>
      </c>
      <c r="I941" s="26" t="n">
        <f aca="false">IF(H941="","",H941-AVERAGE(H893:H989))</f>
        <v>0.0130596711088027</v>
      </c>
      <c r="J941" s="27" t="n">
        <f aca="false">IF(I941="","",Resumen!$B$10-(MAX(I893:I989)-I941))</f>
        <v>1.66790104300673</v>
      </c>
    </row>
    <row r="942" customFormat="false" ht="15" hidden="false" customHeight="false" outlineLevel="0" collapsed="false">
      <c r="A942" s="24" t="n">
        <v>46271.1875</v>
      </c>
      <c r="B942" s="10" t="n">
        <v>2.5396</v>
      </c>
      <c r="C942" s="10" t="n">
        <v>1.3561</v>
      </c>
      <c r="D942" s="10" t="n">
        <f aca="false">IF(OR(B942="",C942="",B942&lt;=0.05,C942&lt;=0.05),0,1)</f>
        <v>1</v>
      </c>
      <c r="E942" s="25" t="n">
        <f aca="false">IF(OR(A942&lt;Resumen!$B$6,A942&gt;=Resumen!$B$7),0,MAX(0,AVERAGEIFS(B894:B990,D894:D990,1)-Resumen!$B$5*AVERAGEIFS(C894:C990,D894:D990,1)))</f>
        <v>0.505542279381443</v>
      </c>
      <c r="F942" s="10" t="n">
        <f aca="false">IF(B942="","",(B942-E942)/Resumen!$B$5)</f>
        <v>1.61561375744127</v>
      </c>
      <c r="G942" s="10" t="n">
        <f aca="false">IF(OR(F942="",C942=""),0,(F942-C942)*0.9)</f>
        <v>0.233562381697142</v>
      </c>
      <c r="H942" s="26" t="n">
        <f aca="false">IF(A942&lt;Resumen!$B$11,"",IF(H941="",0,H941)+G942/Resumen!$B$9)</f>
        <v>1.28524375816609</v>
      </c>
      <c r="I942" s="26" t="n">
        <f aca="false">IF(H942="","",H942-AVERAGE(H894:H990))</f>
        <v>0.0246731486106102</v>
      </c>
      <c r="J942" s="27" t="n">
        <f aca="false">IF(I942="","",Resumen!$B$10-(MAX(I894:I990)-I942))</f>
        <v>1.67951452050854</v>
      </c>
    </row>
    <row r="943" customFormat="false" ht="15" hidden="false" customHeight="false" outlineLevel="0" collapsed="false">
      <c r="A943" s="24" t="n">
        <v>46271.1979166667</v>
      </c>
      <c r="B943" s="10" t="n">
        <v>2.6018</v>
      </c>
      <c r="C943" s="10" t="n">
        <v>1.478</v>
      </c>
      <c r="D943" s="10" t="n">
        <f aca="false">IF(OR(B943="",C943="",B943&lt;=0.05,C943&lt;=0.05),0,1)</f>
        <v>1</v>
      </c>
      <c r="E943" s="25" t="n">
        <f aca="false">IF(OR(A943&lt;Resumen!$B$6,A943&gt;=Resumen!$B$7),0,MAX(0,AVERAGEIFS(B895:B991,D895:D991,1)-Resumen!$B$5*AVERAGEIFS(C895:C991,D895:D991,1)))</f>
        <v>0.492249004123712</v>
      </c>
      <c r="F943" s="10" t="n">
        <f aca="false">IF(B943="","",(B943-E943)/Resumen!$B$5)</f>
        <v>1.67557664485805</v>
      </c>
      <c r="G943" s="10" t="n">
        <f aca="false">IF(OR(F943="",C943=""),0,(F943-C943)*0.9)</f>
        <v>0.177818980372247</v>
      </c>
      <c r="H943" s="26" t="n">
        <f aca="false">IF(A943&lt;Resumen!$B$11,"",IF(H942="",0,H942)+G943/Resumen!$B$9)</f>
        <v>1.29364906396814</v>
      </c>
      <c r="I943" s="26" t="n">
        <f aca="false">IF(H943="","",H943-AVERAGE(H895:H991))</f>
        <v>0.0340984825492059</v>
      </c>
      <c r="J943" s="27" t="n">
        <f aca="false">IF(I943="","",Resumen!$B$10-(MAX(I895:I991)-I943))</f>
        <v>1.68893985444713</v>
      </c>
    </row>
    <row r="944" customFormat="false" ht="15" hidden="false" customHeight="false" outlineLevel="0" collapsed="false">
      <c r="A944" s="24" t="n">
        <v>46271.2083333333</v>
      </c>
      <c r="B944" s="10" t="n">
        <v>2.6666</v>
      </c>
      <c r="C944" s="10" t="n">
        <v>1.5485</v>
      </c>
      <c r="D944" s="10" t="n">
        <f aca="false">IF(OR(B944="",C944="",B944&lt;=0.05,C944&lt;=0.05),0,1)</f>
        <v>1</v>
      </c>
      <c r="E944" s="25" t="n">
        <f aca="false">IF(OR(A944&lt;Resumen!$B$6,A944&gt;=Resumen!$B$7),0,MAX(0,AVERAGEIFS(B896:B992,D896:D992,1)-Resumen!$B$5*AVERAGEIFS(C896:C992,D896:D992,1)))</f>
        <v>0.494051610309278</v>
      </c>
      <c r="F944" s="10" t="n">
        <f aca="false">IF(B944="","",(B944-E944)/Resumen!$B$5)</f>
        <v>1.72561428887269</v>
      </c>
      <c r="G944" s="10" t="n">
        <f aca="false">IF(OR(F944="",C944=""),0,(F944-C944)*0.9)</f>
        <v>0.159402859985425</v>
      </c>
      <c r="H944" s="26" t="n">
        <f aca="false">IF(A944&lt;Resumen!$B$11,"",IF(H943="",0,H943)+G944/Resumen!$B$9)</f>
        <v>1.30118386020357</v>
      </c>
      <c r="I944" s="26" t="n">
        <f aca="false">IF(H944="","",H944-AVERAGE(H896:H992))</f>
        <v>0.0425865268303634</v>
      </c>
      <c r="J944" s="27" t="n">
        <f aca="false">IF(I944="","",Resumen!$B$10-(MAX(I896:I992)-I944))</f>
        <v>1.69742789872829</v>
      </c>
    </row>
    <row r="945" customFormat="false" ht="15" hidden="false" customHeight="false" outlineLevel="0" collapsed="false">
      <c r="A945" s="24" t="n">
        <v>46271.21875</v>
      </c>
      <c r="B945" s="10" t="n">
        <v>2.9404</v>
      </c>
      <c r="C945" s="10" t="n">
        <v>1.6594</v>
      </c>
      <c r="D945" s="10" t="n">
        <f aca="false">IF(OR(B945="",C945="",B945&lt;=0.05,C945&lt;=0.05),0,1)</f>
        <v>1</v>
      </c>
      <c r="E945" s="25" t="n">
        <f aca="false">IF(OR(A945&lt;Resumen!$B$6,A945&gt;=Resumen!$B$7),0,MAX(0,AVERAGEIFS(B897:B993,D897:D993,1)-Resumen!$B$5*AVERAGEIFS(C897:C993,D897:D993,1)))</f>
        <v>0.482793106185567</v>
      </c>
      <c r="F945" s="10" t="n">
        <f aca="false">IF(B945="","",(B945-E945)/Resumen!$B$5)</f>
        <v>1.95203089262465</v>
      </c>
      <c r="G945" s="10" t="n">
        <f aca="false">IF(OR(F945="",C945=""),0,(F945-C945)*0.9)</f>
        <v>0.263367803362184</v>
      </c>
      <c r="H945" s="26" t="n">
        <f aca="false">IF(A945&lt;Resumen!$B$11,"",IF(H944="",0,H944)+G945/Resumen!$B$9)</f>
        <v>1.31363296389901</v>
      </c>
      <c r="I945" s="26" t="n">
        <f aca="false">IF(H945="","",H945-AVERAGE(H897:H993))</f>
        <v>0.0563634725827458</v>
      </c>
      <c r="J945" s="27" t="n">
        <f aca="false">IF(I945="","",Resumen!$B$10-(MAX(I897:I993)-I945))</f>
        <v>1.71120484448067</v>
      </c>
    </row>
    <row r="946" customFormat="false" ht="15" hidden="false" customHeight="false" outlineLevel="0" collapsed="false">
      <c r="A946" s="24" t="n">
        <v>46271.2291666667</v>
      </c>
      <c r="B946" s="10" t="n">
        <v>2.7147</v>
      </c>
      <c r="C946" s="10" t="n">
        <v>1.6896</v>
      </c>
      <c r="D946" s="10" t="n">
        <f aca="false">IF(OR(B946="",C946="",B946&lt;=0.05,C946&lt;=0.05),0,1)</f>
        <v>1</v>
      </c>
      <c r="E946" s="25" t="n">
        <f aca="false">IF(OR(A946&lt;Resumen!$B$6,A946&gt;=Resumen!$B$7),0,MAX(0,AVERAGEIFS(B898:B994,D898:D994,1)-Resumen!$B$5*AVERAGEIFS(C898:C994,D898:D994,1)))</f>
        <v>0.484450497938145</v>
      </c>
      <c r="F946" s="10" t="n">
        <f aca="false">IF(B946="","",(B946-E946)/Resumen!$B$5)</f>
        <v>1.77144519623658</v>
      </c>
      <c r="G946" s="10" t="n">
        <f aca="false">IF(OR(F946="",C946=""),0,(F946-C946)*0.9)</f>
        <v>0.073660676612923</v>
      </c>
      <c r="H946" s="26" t="n">
        <f aca="false">IF(A946&lt;Resumen!$B$11,"",IF(H945="",0,H945)+G946/Resumen!$B$9)</f>
        <v>1.31711482231042</v>
      </c>
      <c r="I946" s="26" t="n">
        <f aca="false">IF(H946="","",H946-AVERAGE(H898:H994))</f>
        <v>0.061108683223623</v>
      </c>
      <c r="J946" s="27" t="n">
        <f aca="false">IF(I946="","",Resumen!$B$10-(MAX(I898:I994)-I946))</f>
        <v>1.71595005512155</v>
      </c>
    </row>
    <row r="947" customFormat="false" ht="15" hidden="false" customHeight="false" outlineLevel="0" collapsed="false">
      <c r="A947" s="24" t="n">
        <v>46271.2395833333</v>
      </c>
      <c r="B947" s="10" t="n">
        <v>2.9165</v>
      </c>
      <c r="C947" s="10" t="n">
        <v>1.6301</v>
      </c>
      <c r="D947" s="10" t="n">
        <f aca="false">IF(OR(B947="",C947="",B947&lt;=0.05,C947&lt;=0.05),0,1)</f>
        <v>1</v>
      </c>
      <c r="E947" s="25" t="n">
        <f aca="false">IF(OR(A947&lt;Resumen!$B$6,A947&gt;=Resumen!$B$7),0,MAX(0,AVERAGEIFS(B899:B995,D899:D995,1)-Resumen!$B$5*AVERAGEIFS(C899:C995,D899:D995,1)))</f>
        <v>0.484928320618557</v>
      </c>
      <c r="F947" s="10" t="n">
        <f aca="false">IF(B947="","",(B947-E947)/Resumen!$B$5)</f>
        <v>1.93135161189948</v>
      </c>
      <c r="G947" s="10" t="n">
        <f aca="false">IF(OR(F947="",C947=""),0,(F947-C947)*0.9)</f>
        <v>0.271126450709531</v>
      </c>
      <c r="H947" s="26" t="n">
        <f aca="false">IF(A947&lt;Resumen!$B$11,"",IF(H946="",0,H946)+G947/Resumen!$B$9)</f>
        <v>1.32993066865295</v>
      </c>
      <c r="I947" s="26" t="n">
        <f aca="false">IF(H947="","",H947-AVERAGE(H899:H995))</f>
        <v>0.075160868855374</v>
      </c>
      <c r="J947" s="27" t="n">
        <f aca="false">IF(I947="","",Resumen!$B$10-(MAX(I899:I995)-I947))</f>
        <v>1.7300022407533</v>
      </c>
    </row>
    <row r="948" customFormat="false" ht="15" hidden="false" customHeight="false" outlineLevel="0" collapsed="false">
      <c r="A948" s="24" t="n">
        <v>46271.25</v>
      </c>
      <c r="B948" s="10" t="n">
        <v>3.3847</v>
      </c>
      <c r="C948" s="10" t="n">
        <v>2.036</v>
      </c>
      <c r="D948" s="10" t="n">
        <f aca="false">IF(OR(B948="",C948="",B948&lt;=0.05,C948&lt;=0.05),0,1)</f>
        <v>1</v>
      </c>
      <c r="E948" s="25" t="n">
        <f aca="false">IF(OR(A948&lt;Resumen!$B$6,A948&gt;=Resumen!$B$7),0,MAX(0,AVERAGEIFS(B900:B996,D900:D996,1)-Resumen!$B$5*AVERAGEIFS(C900:C996,D900:D996,1)))</f>
        <v>0.481761480412371</v>
      </c>
      <c r="F948" s="10" t="n">
        <f aca="false">IF(B948="","",(B948-E948)/Resumen!$B$5)</f>
        <v>2.3057494198472</v>
      </c>
      <c r="G948" s="10" t="n">
        <f aca="false">IF(OR(F948="",C948=""),0,(F948-C948)*0.9)</f>
        <v>0.242774477862483</v>
      </c>
      <c r="H948" s="26" t="n">
        <f aca="false">IF(A948&lt;Resumen!$B$11,"",IF(H947="",0,H947)+G948/Resumen!$B$9)</f>
        <v>1.34140634871306</v>
      </c>
      <c r="I948" s="26" t="n">
        <f aca="false">IF(H948="","",H948-AVERAGE(H900:H996))</f>
        <v>0.0879664824306705</v>
      </c>
      <c r="J948" s="27" t="n">
        <f aca="false">IF(I948="","",Resumen!$B$10-(MAX(I900:I996)-I948))</f>
        <v>1.7428078543286</v>
      </c>
    </row>
    <row r="949" customFormat="false" ht="15" hidden="false" customHeight="false" outlineLevel="0" collapsed="false">
      <c r="A949" s="24" t="n">
        <v>46271.2604166667</v>
      </c>
      <c r="B949" s="10" t="n">
        <v>3.6072</v>
      </c>
      <c r="C949" s="10" t="n">
        <v>2.0932</v>
      </c>
      <c r="D949" s="10" t="n">
        <f aca="false">IF(OR(B949="",C949="",B949&lt;=0.05,C949&lt;=0.05),0,1)</f>
        <v>1</v>
      </c>
      <c r="E949" s="25" t="n">
        <f aca="false">IF(OR(A949&lt;Resumen!$B$6,A949&gt;=Resumen!$B$7),0,MAX(0,AVERAGEIFS(B901:B997,D901:D997,1)-Resumen!$B$5*AVERAGEIFS(C901:C997,D901:D997,1)))</f>
        <v>0.492228781443299</v>
      </c>
      <c r="F949" s="10" t="n">
        <f aca="false">IF(B949="","",(B949-E949)/Resumen!$B$5)</f>
        <v>2.47416300123646</v>
      </c>
      <c r="G949" s="10" t="n">
        <f aca="false">IF(OR(F949="",C949=""),0,(F949-C949)*0.9)</f>
        <v>0.342866701112813</v>
      </c>
      <c r="H949" s="26" t="n">
        <f aca="false">IF(A949&lt;Resumen!$B$11,"",IF(H948="",0,H948)+G949/Resumen!$B$9)</f>
        <v>1.35761327705197</v>
      </c>
      <c r="I949" s="26" t="n">
        <f aca="false">IF(H949="","",H949-AVERAGE(H901:H997))</f>
        <v>0.105133852655328</v>
      </c>
      <c r="J949" s="27" t="n">
        <f aca="false">IF(I949="","",Resumen!$B$10-(MAX(I901:I997)-I949))</f>
        <v>1.75997522455325</v>
      </c>
    </row>
    <row r="950" customFormat="false" ht="15" hidden="false" customHeight="false" outlineLevel="0" collapsed="false">
      <c r="A950" s="24" t="n">
        <v>46271.2708333333</v>
      </c>
      <c r="B950" s="10" t="n">
        <v>3.8979</v>
      </c>
      <c r="C950" s="10" t="n">
        <v>2.536</v>
      </c>
      <c r="D950" s="10" t="n">
        <f aca="false">IF(OR(B950="",C950="",B950&lt;=0.05,C950&lt;=0.05),0,1)</f>
        <v>1</v>
      </c>
      <c r="E950" s="25" t="n">
        <f aca="false">IF(OR(A950&lt;Resumen!$B$6,A950&gt;=Resumen!$B$7),0,MAX(0,AVERAGEIFS(B902:B998,D902:D998,1)-Resumen!$B$5*AVERAGEIFS(C902:C998,D902:D998,1)))</f>
        <v>0.48058047628866</v>
      </c>
      <c r="F950" s="10" t="n">
        <f aca="false">IF(B950="","",(B950-E950)/Resumen!$B$5)</f>
        <v>2.71431256847604</v>
      </c>
      <c r="G950" s="10" t="n">
        <f aca="false">IF(OR(F950="",C950=""),0,(F950-C950)*0.9)</f>
        <v>0.16048131162844</v>
      </c>
      <c r="H950" s="26" t="n">
        <f aca="false">IF(A950&lt;Resumen!$B$11,"",IF(H949="",0,H949)+G950/Resumen!$B$9)</f>
        <v>1.36519905049936</v>
      </c>
      <c r="I950" s="26" t="n">
        <f aca="false">IF(H950="","",H950-AVERAGE(H902:H998))</f>
        <v>0.114054871767161</v>
      </c>
      <c r="J950" s="27" t="n">
        <f aca="false">IF(I950="","",Resumen!$B$10-(MAX(I902:I998)-I950))</f>
        <v>1.76889624366509</v>
      </c>
    </row>
    <row r="951" customFormat="false" ht="15" hidden="false" customHeight="false" outlineLevel="0" collapsed="false">
      <c r="A951" s="24" t="n">
        <v>46271.28125</v>
      </c>
      <c r="B951" s="10" t="n">
        <v>3.5444</v>
      </c>
      <c r="C951" s="10" t="n">
        <v>1.909</v>
      </c>
      <c r="D951" s="10" t="n">
        <f aca="false">IF(OR(B951="",C951="",B951&lt;=0.05,C951&lt;=0.05),0,1)</f>
        <v>1</v>
      </c>
      <c r="E951" s="25" t="n">
        <f aca="false">IF(OR(A951&lt;Resumen!$B$6,A951&gt;=Resumen!$B$7),0,MAX(0,AVERAGEIFS(B903:B999,D903:D999,1)-Resumen!$B$5*AVERAGEIFS(C903:C999,D903:D999,1)))</f>
        <v>0.492226149484536</v>
      </c>
      <c r="F951" s="10" t="n">
        <f aca="false">IF(B951="","",(B951-E951)/Resumen!$B$5)</f>
        <v>2.42428423392809</v>
      </c>
      <c r="G951" s="10" t="n">
        <f aca="false">IF(OR(F951="",C951=""),0,(F951-C951)*0.9)</f>
        <v>0.46375581053528</v>
      </c>
      <c r="H951" s="26" t="n">
        <f aca="false">IF(A951&lt;Resumen!$B$11,"",IF(H950="",0,H950)+G951/Resumen!$B$9)</f>
        <v>1.38712027283942</v>
      </c>
      <c r="I951" s="26" t="n">
        <f aca="false">IF(H951="","",H951-AVERAGE(H903:H999))</f>
        <v>0.136894655384706</v>
      </c>
      <c r="J951" s="27" t="n">
        <f aca="false">IF(I951="","",Resumen!$B$10-(MAX(I903:I999)-I951))</f>
        <v>1.79173602728263</v>
      </c>
    </row>
    <row r="952" customFormat="false" ht="15" hidden="false" customHeight="false" outlineLevel="0" collapsed="false">
      <c r="A952" s="24" t="n">
        <v>46271.2916666667</v>
      </c>
      <c r="B952" s="10" t="n">
        <v>4.4092</v>
      </c>
      <c r="C952" s="10" t="n">
        <v>2.6196</v>
      </c>
      <c r="D952" s="10" t="n">
        <f aca="false">IF(OR(B952="",C952="",B952&lt;=0.05,C952&lt;=0.05),0,1)</f>
        <v>1</v>
      </c>
      <c r="E952" s="25" t="n">
        <f aca="false">IF(OR(A952&lt;Resumen!$B$6,A952&gt;=Resumen!$B$7),0,MAX(0,AVERAGEIFS(B904:B1000,D904:D1000,1)-Resumen!$B$5*AVERAGEIFS(C904:C1000,D904:D1000,1)))</f>
        <v>0.50178002886598</v>
      </c>
      <c r="F952" s="10" t="n">
        <f aca="false">IF(B952="","",(B952-E952)/Resumen!$B$5)</f>
        <v>3.10359012798572</v>
      </c>
      <c r="G952" s="10" t="n">
        <f aca="false">IF(OR(F952="",C952=""),0,(F952-C952)*0.9)</f>
        <v>0.435591115187147</v>
      </c>
      <c r="H952" s="26" t="n">
        <f aca="false">IF(A952&lt;Resumen!$B$11,"",IF(H951="",0,H951)+G952/Resumen!$B$9)</f>
        <v>1.40771018129653</v>
      </c>
      <c r="I952" s="26" t="n">
        <f aca="false">IF(H952="","",H952-AVERAGE(H904:H1000))</f>
        <v>0.158051780097914</v>
      </c>
      <c r="J952" s="27" t="n">
        <f aca="false">IF(I952="","",Resumen!$B$10-(MAX(I904:I1000)-I952))</f>
        <v>1.81289315199584</v>
      </c>
    </row>
    <row r="953" customFormat="false" ht="15" hidden="false" customHeight="false" outlineLevel="0" collapsed="false">
      <c r="A953" s="24" t="n">
        <v>46271.3020833333</v>
      </c>
      <c r="B953" s="10" t="n">
        <v>5.4903</v>
      </c>
      <c r="C953" s="10" t="n">
        <v>3.1915</v>
      </c>
      <c r="D953" s="10" t="n">
        <f aca="false">IF(OR(B953="",C953="",B953&lt;=0.05,C953&lt;=0.05),0,1)</f>
        <v>1</v>
      </c>
      <c r="E953" s="25" t="n">
        <f aca="false">IF(OR(A953&lt;Resumen!$B$6,A953&gt;=Resumen!$B$7),0,MAX(0,AVERAGEIFS(B905:B1001,D905:D1001,1)-Resumen!$B$5*AVERAGEIFS(C905:C1001,D905:D1001,1)))</f>
        <v>0.507290549484536</v>
      </c>
      <c r="F953" s="10" t="n">
        <f aca="false">IF(B953="","",(B953-E953)/Resumen!$B$5)</f>
        <v>3.95791060406312</v>
      </c>
      <c r="G953" s="10" t="n">
        <f aca="false">IF(OR(F953="",C953=""),0,(F953-C953)*0.9)</f>
        <v>0.689769543656806</v>
      </c>
      <c r="H953" s="26" t="n">
        <f aca="false">IF(A953&lt;Resumen!$B$11,"",IF(H952="",0,H952)+G953/Resumen!$B$9)</f>
        <v>1.44031482189921</v>
      </c>
      <c r="I953" s="26" t="n">
        <f aca="false">IF(H953="","",H953-AVERAGE(H905:H1001))</f>
        <v>0.191004743476596</v>
      </c>
      <c r="J953" s="27" t="n">
        <f aca="false">IF(I953="","",Resumen!$B$10-(MAX(I905:I1001)-I953))</f>
        <v>1.84584611537452</v>
      </c>
    </row>
    <row r="954" customFormat="false" ht="15" hidden="false" customHeight="false" outlineLevel="0" collapsed="false">
      <c r="A954" s="24" t="n">
        <v>46271.3125</v>
      </c>
      <c r="B954" s="10" t="n">
        <v>3.1941</v>
      </c>
      <c r="C954" s="10" t="n">
        <v>2.2287</v>
      </c>
      <c r="D954" s="10" t="n">
        <f aca="false">IF(OR(B954="",C954="",B954&lt;=0.05,C954&lt;=0.05),0,1)</f>
        <v>1</v>
      </c>
      <c r="E954" s="25" t="n">
        <f aca="false">IF(OR(A954&lt;Resumen!$B$6,A954&gt;=Resumen!$B$7),0,MAX(0,AVERAGEIFS(B906:B1002,D906:D1002,1)-Resumen!$B$5*AVERAGEIFS(C906:C1002,D906:D1002,1)))</f>
        <v>0.506879551546391</v>
      </c>
      <c r="F954" s="10" t="n">
        <f aca="false">IF(B954="","",(B954-E954)/Resumen!$B$5)</f>
        <v>2.13440861672249</v>
      </c>
      <c r="G954" s="10" t="n">
        <f aca="false">IF(OR(F954="",C954=""),0,(F954-C954)*0.9)</f>
        <v>-0.0848622449497633</v>
      </c>
      <c r="H954" s="26" t="n">
        <f aca="false">IF(A954&lt;Resumen!$B$11,"",IF(H953="",0,H953)+G954/Resumen!$B$9)</f>
        <v>1.43630347778759</v>
      </c>
      <c r="I954" s="26" t="n">
        <f aca="false">IF(H954="","",H954-AVERAGE(H906:H1002))</f>
        <v>0.187317776391996</v>
      </c>
      <c r="J954" s="27" t="n">
        <f aca="false">IF(I954="","",Resumen!$B$10-(MAX(I906:I1002)-I954))</f>
        <v>1.84215914828992</v>
      </c>
    </row>
    <row r="955" customFormat="false" ht="15" hidden="false" customHeight="false" outlineLevel="0" collapsed="false">
      <c r="A955" s="24" t="n">
        <v>46271.3229166667</v>
      </c>
      <c r="B955" s="10" t="n">
        <v>4.2781</v>
      </c>
      <c r="C955" s="10" t="n">
        <v>3.2946</v>
      </c>
      <c r="D955" s="10" t="n">
        <f aca="false">IF(OR(B955="",C955="",B955&lt;=0.05,C955&lt;=0.05),0,1)</f>
        <v>1</v>
      </c>
      <c r="E955" s="25" t="n">
        <f aca="false">IF(OR(A955&lt;Resumen!$B$6,A955&gt;=Resumen!$B$7),0,MAX(0,AVERAGEIFS(B907:B1003,D907:D1003,1)-Resumen!$B$5*AVERAGEIFS(C907:C1003,D907:D1003,1)))</f>
        <v>0.497267542268042</v>
      </c>
      <c r="F955" s="10" t="n">
        <f aca="false">IF(B955="","",(B955-E955)/Resumen!$B$5)</f>
        <v>3.00304404903253</v>
      </c>
      <c r="G955" s="10" t="n">
        <f aca="false">IF(OR(F955="",C955=""),0,(F955-C955)*0.9)</f>
        <v>-0.26240035587072</v>
      </c>
      <c r="H955" s="26" t="n">
        <f aca="false">IF(A955&lt;Resumen!$B$11,"",IF(H954="",0,H954)+G955/Resumen!$B$9)</f>
        <v>1.42390010426109</v>
      </c>
      <c r="I955" s="26" t="n">
        <f aca="false">IF(H955="","",H955-AVERAGE(H907:H1003))</f>
        <v>0.175532012509959</v>
      </c>
      <c r="J955" s="27" t="n">
        <f aca="false">IF(I955="","",Resumen!$B$10-(MAX(I907:I1003)-I955))</f>
        <v>1.83037338440788</v>
      </c>
    </row>
    <row r="956" customFormat="false" ht="15" hidden="false" customHeight="false" outlineLevel="0" collapsed="false">
      <c r="A956" s="24" t="n">
        <v>46271.3333333333</v>
      </c>
      <c r="B956" s="10" t="n">
        <v>4.7472</v>
      </c>
      <c r="C956" s="10" t="n">
        <v>2.9133</v>
      </c>
      <c r="D956" s="10" t="n">
        <f aca="false">IF(OR(B956="",C956="",B956&lt;=0.05,C956&lt;=0.05),0,1)</f>
        <v>1</v>
      </c>
      <c r="E956" s="25" t="n">
        <f aca="false">IF(OR(A956&lt;Resumen!$B$6,A956&gt;=Resumen!$B$7),0,MAX(0,AVERAGEIFS(B908:B1004,D908:D1004,1)-Resumen!$B$5*AVERAGEIFS(C908:C1004,D908:D1004,1)))</f>
        <v>0.506564663917525</v>
      </c>
      <c r="F956" s="10" t="n">
        <f aca="false">IF(B956="","",(B956-E956)/Resumen!$B$5)</f>
        <v>3.36825681976368</v>
      </c>
      <c r="G956" s="10" t="n">
        <f aca="false">IF(OR(F956="",C956=""),0,(F956-C956)*0.9)</f>
        <v>0.409461137787313</v>
      </c>
      <c r="H956" s="26" t="n">
        <f aca="false">IF(A956&lt;Resumen!$B$11,"",IF(H955="",0,H955)+G956/Resumen!$B$9)</f>
        <v>1.44325487769388</v>
      </c>
      <c r="I956" s="26" t="n">
        <f aca="false">IF(H956="","",H956-AVERAGE(H908:H1004))</f>
        <v>0.195158628102075</v>
      </c>
      <c r="J956" s="27" t="n">
        <f aca="false">IF(I956="","",Resumen!$B$10-(MAX(I908:I1004)-I956))</f>
        <v>1.85</v>
      </c>
    </row>
    <row r="957" customFormat="false" ht="15" hidden="false" customHeight="false" outlineLevel="0" collapsed="false">
      <c r="A957" s="24" t="n">
        <v>46271.34375</v>
      </c>
      <c r="B957" s="10" t="n">
        <v>4.9429</v>
      </c>
      <c r="C957" s="10" t="n">
        <v>3.5819</v>
      </c>
      <c r="D957" s="10" t="n">
        <f aca="false">IF(OR(B957="",C957="",B957&lt;=0.05,C957&lt;=0.05),0,1)</f>
        <v>1</v>
      </c>
      <c r="E957" s="25" t="n">
        <f aca="false">IF(OR(A957&lt;Resumen!$B$6,A957&gt;=Resumen!$B$7),0,MAX(0,AVERAGEIFS(B909:B1005,D909:D1005,1)-Resumen!$B$5*AVERAGEIFS(C909:C1005,D909:D1005,1)))</f>
        <v>0.515091862886599</v>
      </c>
      <c r="F957" s="10" t="n">
        <f aca="false">IF(B957="","",(B957-E957)/Resumen!$B$5)</f>
        <v>3.51692465219492</v>
      </c>
      <c r="G957" s="10" t="n">
        <f aca="false">IF(OR(F957="",C957=""),0,(F957-C957)*0.9)</f>
        <v>-0.0584778130245739</v>
      </c>
      <c r="H957" s="26" t="n">
        <f aca="false">IF(A957&lt;Resumen!$B$11,"",IF(H956="",0,H956)+G957/Resumen!$B$9)</f>
        <v>1.44049069638952</v>
      </c>
      <c r="I957" s="26" t="n">
        <f aca="false">IF(H957="","",H957-AVERAGE(H909:H1005))</f>
        <v>0.192338956392937</v>
      </c>
      <c r="J957" s="27" t="n">
        <f aca="false">IF(I957="","",Resumen!$B$10-(MAX(I909:I1005)-I957))</f>
        <v>1.84718032829086</v>
      </c>
    </row>
    <row r="958" customFormat="false" ht="15" hidden="false" customHeight="false" outlineLevel="0" collapsed="false">
      <c r="A958" s="24" t="n">
        <v>46271.3541666667</v>
      </c>
      <c r="B958" s="10" t="n">
        <v>4.232</v>
      </c>
      <c r="C958" s="10" t="n">
        <v>3.782</v>
      </c>
      <c r="D958" s="10" t="n">
        <f aca="false">IF(OR(B958="",C958="",B958&lt;=0.05,C958&lt;=0.05),0,1)</f>
        <v>1</v>
      </c>
      <c r="E958" s="25" t="n">
        <f aca="false">IF(OR(A958&lt;Resumen!$B$6,A958&gt;=Resumen!$B$7),0,MAX(0,AVERAGEIFS(B910:B1006,D910:D1006,1)-Resumen!$B$5*AVERAGEIFS(C910:C1006,D910:D1006,1)))</f>
        <v>0.516708007216495</v>
      </c>
      <c r="F958" s="10" t="n">
        <f aca="false">IF(B958="","",(B958-E958)/Resumen!$B$5)</f>
        <v>2.95098649148809</v>
      </c>
      <c r="G958" s="10" t="n">
        <f aca="false">IF(OR(F958="",C958=""),0,(F958-C958)*0.9)</f>
        <v>-0.747912157660719</v>
      </c>
      <c r="H958" s="26" t="n">
        <f aca="false">IF(A958&lt;Resumen!$B$11,"",IF(H957="",0,H957)+G958/Resumen!$B$9)</f>
        <v>1.40513771896807</v>
      </c>
      <c r="I958" s="26" t="n">
        <f aca="false">IF(H958="","",H958-AVERAGE(H910:H1006))</f>
        <v>0.156837265328472</v>
      </c>
      <c r="J958" s="27" t="n">
        <f aca="false">IF(I958="","",Resumen!$B$10-(MAX(I910:I1006)-I958))</f>
        <v>1.8116786372264</v>
      </c>
    </row>
    <row r="959" customFormat="false" ht="15" hidden="false" customHeight="false" outlineLevel="0" collapsed="false">
      <c r="A959" s="24" t="n">
        <v>46271.3645833333</v>
      </c>
      <c r="B959" s="10" t="n">
        <v>4.9054</v>
      </c>
      <c r="C959" s="10" t="n">
        <v>4.4013</v>
      </c>
      <c r="D959" s="10" t="n">
        <f aca="false">IF(OR(B959="",C959="",B959&lt;=0.05,C959&lt;=0.05),0,1)</f>
        <v>1</v>
      </c>
      <c r="E959" s="25" t="n">
        <f aca="false">IF(OR(A959&lt;Resumen!$B$6,A959&gt;=Resumen!$B$7),0,MAX(0,AVERAGEIFS(B911:B1007,D911:D1007,1)-Resumen!$B$5*AVERAGEIFS(C911:C1007,D911:D1007,1)))</f>
        <v>0.523869968041237</v>
      </c>
      <c r="F959" s="10" t="n">
        <f aca="false">IF(B959="","",(B959-E959)/Resumen!$B$5)</f>
        <v>3.48016682443111</v>
      </c>
      <c r="G959" s="10" t="n">
        <f aca="false">IF(OR(F959="",C959=""),0,(F959-C959)*0.9)</f>
        <v>-0.829019858012004</v>
      </c>
      <c r="H959" s="26" t="n">
        <f aca="false">IF(A959&lt;Resumen!$B$11,"",IF(H958="",0,H958)+G959/Resumen!$B$9)</f>
        <v>1.36595087059018</v>
      </c>
      <c r="I959" s="26" t="n">
        <f aca="false">IF(H959="","",H959-AVERAGE(H911:H1007))</f>
        <v>0.117222556295789</v>
      </c>
      <c r="J959" s="27" t="n">
        <f aca="false">IF(I959="","",Resumen!$B$10-(MAX(I911:I1007)-I959))</f>
        <v>1.77206392819371</v>
      </c>
    </row>
    <row r="960" customFormat="false" ht="15" hidden="false" customHeight="false" outlineLevel="0" collapsed="false">
      <c r="A960" s="24" t="n">
        <v>46271.375</v>
      </c>
      <c r="B960" s="10" t="n">
        <v>5.373</v>
      </c>
      <c r="C960" s="10" t="n">
        <v>4.7332</v>
      </c>
      <c r="D960" s="10" t="n">
        <f aca="false">IF(OR(B960="",C960="",B960&lt;=0.05,C960&lt;=0.05),0,1)</f>
        <v>1</v>
      </c>
      <c r="E960" s="25" t="n">
        <f aca="false">IF(OR(A960&lt;Resumen!$B$6,A960&gt;=Resumen!$B$7),0,MAX(0,AVERAGEIFS(B912:B1008,D912:D1008,1)-Resumen!$B$5*AVERAGEIFS(C912:C1008,D912:D1008,1)))</f>
        <v>0.533621509278351</v>
      </c>
      <c r="F960" s="10" t="n">
        <f aca="false">IF(B960="","",(B960-E960)/Resumen!$B$5)</f>
        <v>3.8438272364747</v>
      </c>
      <c r="G960" s="10" t="n">
        <f aca="false">IF(OR(F960="",C960=""),0,(F960-C960)*0.9)</f>
        <v>-0.800435487172768</v>
      </c>
      <c r="H960" s="26" t="n">
        <f aca="false">IF(A960&lt;Resumen!$B$11,"",IF(H959="",0,H959)+G960/Resumen!$B$9)</f>
        <v>1.32811517368983</v>
      </c>
      <c r="I960" s="26" t="n">
        <f aca="false">IF(H960="","",H960-AVERAGE(H912:H1008))</f>
        <v>0.0786044679681357</v>
      </c>
      <c r="J960" s="27" t="n">
        <f aca="false">IF(I960="","",Resumen!$B$10-(MAX(I912:I1008)-I960))</f>
        <v>1.73344583986606</v>
      </c>
    </row>
    <row r="961" customFormat="false" ht="15" hidden="false" customHeight="false" outlineLevel="0" collapsed="false">
      <c r="A961" s="24" t="n">
        <v>46271.3854166667</v>
      </c>
      <c r="B961" s="10" t="n">
        <v>4.8107</v>
      </c>
      <c r="C961" s="10" t="n">
        <v>3.4624</v>
      </c>
      <c r="D961" s="10" t="n">
        <f aca="false">IF(OR(B961="",C961="",B961&lt;=0.05,C961&lt;=0.05),0,1)</f>
        <v>1</v>
      </c>
      <c r="E961" s="25" t="n">
        <f aca="false">IF(OR(A961&lt;Resumen!$B$6,A961&gt;=Resumen!$B$7),0,MAX(0,AVERAGEIFS(B913:B1009,D913:D1009,1)-Resumen!$B$5*AVERAGEIFS(C913:C1009,D913:D1009,1)))</f>
        <v>0.534521126804124</v>
      </c>
      <c r="F961" s="10" t="n">
        <f aca="false">IF(B961="","",(B961-E961)/Resumen!$B$5)</f>
        <v>3.39648838220483</v>
      </c>
      <c r="G961" s="10" t="n">
        <f aca="false">IF(OR(F961="",C961=""),0,(F961-C961)*0.9)</f>
        <v>-0.059320456015657</v>
      </c>
      <c r="H961" s="26" t="n">
        <f aca="false">IF(A961&lt;Resumen!$B$11,"",IF(H960="",0,H960)+G961/Resumen!$B$9)</f>
        <v>1.32531116158671</v>
      </c>
      <c r="I961" s="26" t="n">
        <f aca="false">IF(H961="","",H961-AVERAGE(H913:H1009))</f>
        <v>0.074974668281774</v>
      </c>
      <c r="J961" s="27" t="n">
        <f aca="false">IF(I961="","",Resumen!$B$10-(MAX(I913:I1009)-I961))</f>
        <v>1.7298160401797</v>
      </c>
    </row>
    <row r="962" customFormat="false" ht="15" hidden="false" customHeight="false" outlineLevel="0" collapsed="false">
      <c r="A962" s="24" t="n">
        <v>46271.3958333333</v>
      </c>
      <c r="B962" s="10" t="n">
        <v>5.4296</v>
      </c>
      <c r="C962" s="10" t="n">
        <v>4.0551</v>
      </c>
      <c r="D962" s="10" t="n">
        <f aca="false">IF(OR(B962="",C962="",B962&lt;=0.05,C962&lt;=0.05),0,1)</f>
        <v>1</v>
      </c>
      <c r="E962" s="25" t="n">
        <f aca="false">IF(OR(A962&lt;Resumen!$B$6,A962&gt;=Resumen!$B$7),0,MAX(0,AVERAGEIFS(B914:B1010,D914:D1010,1)-Resumen!$B$5*AVERAGEIFS(C914:C1010,D914:D1010,1)))</f>
        <v>0.527658402061855</v>
      </c>
      <c r="F962" s="10" t="n">
        <f aca="false">IF(B962="","",(B962-E962)/Resumen!$B$5)</f>
        <v>3.89351993481981</v>
      </c>
      <c r="G962" s="10" t="n">
        <f aca="false">IF(OR(F962="",C962=""),0,(F962-C962)*0.9)</f>
        <v>-0.145422058662169</v>
      </c>
      <c r="H962" s="26" t="n">
        <f aca="false">IF(A962&lt;Resumen!$B$11,"",IF(H961="",0,H961)+G962/Resumen!$B$9)</f>
        <v>1.31843722230947</v>
      </c>
      <c r="I962" s="26" t="n">
        <f aca="false">IF(H962="","",H962-AVERAGE(H914:H1010))</f>
        <v>0.067491086408167</v>
      </c>
      <c r="J962" s="27" t="n">
        <f aca="false">IF(I962="","",Resumen!$B$10-(MAX(I914:I1010)-I962))</f>
        <v>1.72233245830609</v>
      </c>
    </row>
    <row r="963" customFormat="false" ht="15" hidden="false" customHeight="false" outlineLevel="0" collapsed="false">
      <c r="A963" s="24" t="n">
        <v>46271.40625</v>
      </c>
      <c r="B963" s="10" t="n">
        <v>5.6498</v>
      </c>
      <c r="C963" s="10" t="n">
        <v>5.1052</v>
      </c>
      <c r="D963" s="10" t="n">
        <f aca="false">IF(OR(B963="",C963="",B963&lt;=0.05,C963&lt;=0.05),0,1)</f>
        <v>1</v>
      </c>
      <c r="E963" s="25" t="n">
        <f aca="false">IF(OR(A963&lt;Resumen!$B$6,A963&gt;=Resumen!$B$7),0,MAX(0,AVERAGEIFS(B915:B1011,D915:D1011,1)-Resumen!$B$5*AVERAGEIFS(C915:C1011,D915:D1011,1)))</f>
        <v>0.52470607628866</v>
      </c>
      <c r="F963" s="10" t="n">
        <f aca="false">IF(B963="","",(B963-E963)/Resumen!$B$5)</f>
        <v>4.07076562645857</v>
      </c>
      <c r="G963" s="10" t="n">
        <f aca="false">IF(OR(F963="",C963=""),0,(F963-C963)*0.9)</f>
        <v>-0.930990936187286</v>
      </c>
      <c r="H963" s="26" t="n">
        <f aca="false">IF(A963&lt;Resumen!$B$11,"",IF(H962="",0,H962)+G963/Resumen!$B$9)</f>
        <v>1.27443031426623</v>
      </c>
      <c r="I963" s="26" t="n">
        <f aca="false">IF(H963="","",H963-AVERAGE(H915:H1011))</f>
        <v>0.0229580036023007</v>
      </c>
      <c r="J963" s="27" t="n">
        <f aca="false">IF(I963="","",Resumen!$B$10-(MAX(I915:I1011)-I963))</f>
        <v>1.67779937550023</v>
      </c>
    </row>
    <row r="964" customFormat="false" ht="15" hidden="false" customHeight="false" outlineLevel="0" collapsed="false">
      <c r="A964" s="24" t="n">
        <v>46271.4166666667</v>
      </c>
      <c r="B964" s="10" t="n">
        <v>7.5542</v>
      </c>
      <c r="C964" s="10" t="n">
        <v>4.398</v>
      </c>
      <c r="D964" s="10" t="n">
        <f aca="false">IF(OR(B964="",C964="",B964&lt;=0.05,C964&lt;=0.05),0,1)</f>
        <v>1</v>
      </c>
      <c r="E964" s="25" t="n">
        <f aca="false">IF(OR(A964&lt;Resumen!$B$6,A964&gt;=Resumen!$B$7),0,MAX(0,AVERAGEIFS(B916:B1012,D916:D1012,1)-Resumen!$B$5*AVERAGEIFS(C916:C1012,D916:D1012,1)))</f>
        <v>0.520744071134021</v>
      </c>
      <c r="F964" s="10" t="n">
        <f aca="false">IF(B964="","",(B964-E964)/Resumen!$B$5)</f>
        <v>5.5865416432613</v>
      </c>
      <c r="G964" s="10" t="n">
        <f aca="false">IF(OR(F964="",C964=""),0,(F964-C964)*0.9)</f>
        <v>1.06968747893517</v>
      </c>
      <c r="H964" s="26" t="n">
        <f aca="false">IF(A964&lt;Resumen!$B$11,"",IF(H963="",0,H963)+G964/Resumen!$B$9)</f>
        <v>1.32499325391556</v>
      </c>
      <c r="I964" s="26" t="n">
        <f aca="false">IF(H964="","",H964-AVERAGE(H916:H1012))</f>
        <v>0.0731213392930892</v>
      </c>
      <c r="J964" s="27" t="n">
        <f aca="false">IF(I964="","",Resumen!$B$10-(MAX(I916:I1012)-I964))</f>
        <v>1.72796271119101</v>
      </c>
    </row>
    <row r="965" customFormat="false" ht="15" hidden="false" customHeight="false" outlineLevel="0" collapsed="false">
      <c r="A965" s="24" t="n">
        <v>46271.4270833333</v>
      </c>
      <c r="B965" s="10" t="n">
        <v>6.4954</v>
      </c>
      <c r="C965" s="10" t="n">
        <v>4.9587</v>
      </c>
      <c r="D965" s="10" t="n">
        <f aca="false">IF(OR(B965="",C965="",B965&lt;=0.05,C965&lt;=0.05),0,1)</f>
        <v>1</v>
      </c>
      <c r="E965" s="25" t="n">
        <f aca="false">IF(OR(A965&lt;Resumen!$B$6,A965&gt;=Resumen!$B$7),0,MAX(0,AVERAGEIFS(B917:B1013,D917:D1013,1)-Resumen!$B$5*AVERAGEIFS(C917:C1013,D917:D1013,1)))</f>
        <v>0.522909864948454</v>
      </c>
      <c r="F965" s="10" t="n">
        <f aca="false">IF(B965="","",(B965-E965)/Resumen!$B$5)</f>
        <v>4.74383648534674</v>
      </c>
      <c r="G965" s="10" t="n">
        <f aca="false">IF(OR(F965="",C965=""),0,(F965-C965)*0.9)</f>
        <v>-0.193377163187934</v>
      </c>
      <c r="H965" s="26" t="n">
        <f aca="false">IF(A965&lt;Resumen!$B$11,"",IF(H964="",0,H964)+G965/Resumen!$B$9)</f>
        <v>1.31585253008324</v>
      </c>
      <c r="I965" s="26" t="n">
        <f aca="false">IF(H965="","",H965-AVERAGE(H917:H1013))</f>
        <v>0.0634913845241052</v>
      </c>
      <c r="J965" s="27" t="n">
        <f aca="false">IF(I965="","",Resumen!$B$10-(MAX(I917:I1013)-I965))</f>
        <v>1.71833275642203</v>
      </c>
    </row>
    <row r="966" customFormat="false" ht="15" hidden="false" customHeight="false" outlineLevel="0" collapsed="false">
      <c r="A966" s="24" t="n">
        <v>46271.4375</v>
      </c>
      <c r="B966" s="10" t="n">
        <v>5.5228</v>
      </c>
      <c r="C966" s="10" t="n">
        <v>3.7131</v>
      </c>
      <c r="D966" s="10" t="n">
        <f aca="false">IF(OR(B966="",C966="",B966&lt;=0.05,C966&lt;=0.05),0,1)</f>
        <v>1</v>
      </c>
      <c r="E966" s="25" t="n">
        <f aca="false">IF(OR(A966&lt;Resumen!$B$6,A966&gt;=Resumen!$B$7),0,MAX(0,AVERAGEIFS(B918:B1014,D918:D1014,1)-Resumen!$B$5*AVERAGEIFS(C918:C1014,D918:D1014,1)))</f>
        <v>0.522984141237114</v>
      </c>
      <c r="F966" s="10" t="n">
        <f aca="false">IF(B966="","",(B966-E966)/Resumen!$B$5)</f>
        <v>3.97125961776242</v>
      </c>
      <c r="G966" s="10" t="n">
        <f aca="false">IF(OR(F966="",C966=""),0,(F966-C966)*0.9)</f>
        <v>0.232343655986178</v>
      </c>
      <c r="H966" s="26" t="n">
        <f aca="false">IF(A966&lt;Resumen!$B$11,"",IF(H965="",0,H965)+G966/Resumen!$B$9)</f>
        <v>1.3268351567727</v>
      </c>
      <c r="I966" s="26" t="n">
        <f aca="false">IF(H966="","",H966-AVERAGE(H918:H1014))</f>
        <v>0.07396379794568</v>
      </c>
      <c r="J966" s="27" t="n">
        <f aca="false">IF(I966="","",Resumen!$B$10-(MAX(I918:I1014)-I966))</f>
        <v>1.7288051698436</v>
      </c>
    </row>
    <row r="967" customFormat="false" ht="15" hidden="false" customHeight="false" outlineLevel="0" collapsed="false">
      <c r="A967" s="24" t="n">
        <v>46271.4479166667</v>
      </c>
      <c r="B967" s="10" t="n">
        <v>5.2582</v>
      </c>
      <c r="C967" s="10" t="n">
        <v>4.5396</v>
      </c>
      <c r="D967" s="10" t="n">
        <f aca="false">IF(OR(B967="",C967="",B967&lt;=0.05,C967&lt;=0.05),0,1)</f>
        <v>1</v>
      </c>
      <c r="E967" s="25" t="n">
        <f aca="false">IF(OR(A967&lt;Resumen!$B$6,A967&gt;=Resumen!$B$7),0,MAX(0,AVERAGEIFS(B919:B1015,D919:D1015,1)-Resumen!$B$5*AVERAGEIFS(C919:C1015,D919:D1015,1)))</f>
        <v>0.527323322680413</v>
      </c>
      <c r="F967" s="10" t="n">
        <f aca="false">IF(B967="","",(B967-E967)/Resumen!$B$5)</f>
        <v>3.75764628857791</v>
      </c>
      <c r="G967" s="10" t="n">
        <f aca="false">IF(OR(F967="",C967=""),0,(F967-C967)*0.9)</f>
        <v>-0.703758340279882</v>
      </c>
      <c r="H967" s="26" t="n">
        <f aca="false">IF(A967&lt;Resumen!$B$11,"",IF(H966="",0,H966)+G967/Resumen!$B$9)</f>
        <v>1.29356928128288</v>
      </c>
      <c r="I967" s="26" t="n">
        <f aca="false">IF(H967="","",H967-AVERAGE(H919:H1015))</f>
        <v>0.0400224531790117</v>
      </c>
      <c r="J967" s="27" t="n">
        <f aca="false">IF(I967="","",Resumen!$B$10-(MAX(I919:I1015)-I967))</f>
        <v>1.69486382507694</v>
      </c>
    </row>
    <row r="968" customFormat="false" ht="15" hidden="false" customHeight="false" outlineLevel="0" collapsed="false">
      <c r="A968" s="24" t="n">
        <v>46271.4583333333</v>
      </c>
      <c r="B968" s="10" t="n">
        <v>4.5565</v>
      </c>
      <c r="C968" s="10" t="n">
        <v>2.9777</v>
      </c>
      <c r="D968" s="10" t="n">
        <f aca="false">IF(OR(B968="",C968="",B968&lt;=0.05,C968&lt;=0.05),0,1)</f>
        <v>1</v>
      </c>
      <c r="E968" s="25" t="n">
        <f aca="false">IF(OR(A968&lt;Resumen!$B$6,A968&gt;=Resumen!$B$7),0,MAX(0,AVERAGEIFS(B920:B1016,D920:D1016,1)-Resumen!$B$5*AVERAGEIFS(C920:C1016,D920:D1016,1)))</f>
        <v>0.526388144329897</v>
      </c>
      <c r="F968" s="10" t="n">
        <f aca="false">IF(B968="","",(B968-E968)/Resumen!$B$5)</f>
        <v>3.20104198226378</v>
      </c>
      <c r="G968" s="10" t="n">
        <f aca="false">IF(OR(F968="",C968=""),0,(F968-C968)*0.9)</f>
        <v>0.201007784037405</v>
      </c>
      <c r="H968" s="26" t="n">
        <f aca="false">IF(A968&lt;Resumen!$B$11,"",IF(H967="",0,H967)+G968/Resumen!$B$9)</f>
        <v>1.30307069609185</v>
      </c>
      <c r="I968" s="26" t="n">
        <f aca="false">IF(H968="","",H968-AVERAGE(H920:H1016))</f>
        <v>0.0489031764531671</v>
      </c>
      <c r="J968" s="27" t="n">
        <f aca="false">IF(I968="","",Resumen!$B$10-(MAX(I920:I1016)-I968))</f>
        <v>1.70374454835109</v>
      </c>
    </row>
    <row r="969" customFormat="false" ht="15" hidden="false" customHeight="false" outlineLevel="0" collapsed="false">
      <c r="A969" s="24" t="n">
        <v>46271.46875</v>
      </c>
      <c r="B969" s="10" t="n">
        <v>5.0701</v>
      </c>
      <c r="C969" s="10" t="n">
        <v>4.7365</v>
      </c>
      <c r="D969" s="10" t="n">
        <f aca="false">IF(OR(B969="",C969="",B969&lt;=0.05,C969&lt;=0.05),0,1)</f>
        <v>1</v>
      </c>
      <c r="E969" s="25" t="n">
        <f aca="false">IF(OR(A969&lt;Resumen!$B$6,A969&gt;=Resumen!$B$7),0,MAX(0,AVERAGEIFS(B921:B1017,D921:D1017,1)-Resumen!$B$5*AVERAGEIFS(C921:C1017,D921:D1017,1)))</f>
        <v>0.524755095876289</v>
      </c>
      <c r="F969" s="10" t="n">
        <f aca="false">IF(B969="","",(B969-E969)/Resumen!$B$5)</f>
        <v>3.61028189366458</v>
      </c>
      <c r="G969" s="10" t="n">
        <f aca="false">IF(OR(F969="",C969=""),0,(F969-C969)*0.9)</f>
        <v>-1.01359629570187</v>
      </c>
      <c r="H969" s="26" t="n">
        <f aca="false">IF(A969&lt;Resumen!$B$11,"",IF(H968="",0,H968)+G969/Resumen!$B$9)</f>
        <v>1.25515912440609</v>
      </c>
      <c r="I969" s="26" t="n">
        <f aca="false">IF(H969="","",H969-AVERAGE(H921:H1017))</f>
        <v>0.000444984153741723</v>
      </c>
      <c r="J969" s="27" t="n">
        <f aca="false">IF(I969="","",Resumen!$B$10-(MAX(I921:I1017)-I969))</f>
        <v>1.65528635605167</v>
      </c>
    </row>
    <row r="970" customFormat="false" ht="15" hidden="false" customHeight="false" outlineLevel="0" collapsed="false">
      <c r="A970" s="24" t="n">
        <v>46271.4791666667</v>
      </c>
      <c r="B970" s="10" t="n">
        <v>5.4924</v>
      </c>
      <c r="C970" s="10" t="n">
        <v>4.4151</v>
      </c>
      <c r="D970" s="10" t="n">
        <f aca="false">IF(OR(B970="",C970="",B970&lt;=0.05,C970&lt;=0.05),0,1)</f>
        <v>1</v>
      </c>
      <c r="E970" s="25" t="n">
        <f aca="false">IF(OR(A970&lt;Resumen!$B$6,A970&gt;=Resumen!$B$7),0,MAX(0,AVERAGEIFS(B922:B1018,D922:D1018,1)-Resumen!$B$5*AVERAGEIFS(C922:C1018,D922:D1018,1)))</f>
        <v>0.526762924742269</v>
      </c>
      <c r="F970" s="10" t="n">
        <f aca="false">IF(B970="","",(B970-E970)/Resumen!$B$5)</f>
        <v>3.94411205342155</v>
      </c>
      <c r="G970" s="10" t="n">
        <f aca="false">IF(OR(F970="",C970=""),0,(F970-C970)*0.9)</f>
        <v>-0.423889151920605</v>
      </c>
      <c r="H970" s="26" t="n">
        <f aca="false">IF(A970&lt;Resumen!$B$11,"",IF(H969="",0,H969)+G970/Resumen!$B$9)</f>
        <v>1.23512235476203</v>
      </c>
      <c r="I970" s="26" t="n">
        <f aca="false">IF(H970="","",H970-AVERAGE(H922:H1018))</f>
        <v>-0.0201719836324827</v>
      </c>
      <c r="J970" s="27" t="n">
        <f aca="false">IF(I970="","",Resumen!$B$10-(MAX(I922:I1018)-I970))</f>
        <v>1.63466938826544</v>
      </c>
    </row>
    <row r="971" customFormat="false" ht="15" hidden="false" customHeight="false" outlineLevel="0" collapsed="false">
      <c r="A971" s="24" t="n">
        <v>46271.4895833333</v>
      </c>
      <c r="B971" s="10" t="n">
        <v>4.8749</v>
      </c>
      <c r="C971" s="10" t="n">
        <v>3.7331</v>
      </c>
      <c r="D971" s="10" t="n">
        <f aca="false">IF(OR(B971="",C971="",B971&lt;=0.05,C971&lt;=0.05),0,1)</f>
        <v>1</v>
      </c>
      <c r="E971" s="25" t="n">
        <f aca="false">IF(OR(A971&lt;Resumen!$B$6,A971&gt;=Resumen!$B$7),0,MAX(0,AVERAGEIFS(B923:B1019,D923:D1019,1)-Resumen!$B$5*AVERAGEIFS(C923:C1019,D923:D1019,1)))</f>
        <v>0.529672463917527</v>
      </c>
      <c r="F971" s="10" t="n">
        <f aca="false">IF(B971="","",(B971-E971)/Resumen!$B$5)</f>
        <v>3.45133243533159</v>
      </c>
      <c r="G971" s="10" t="n">
        <f aca="false">IF(OR(F971="",C971=""),0,(F971-C971)*0.9)</f>
        <v>-0.253590808201567</v>
      </c>
      <c r="H971" s="26" t="n">
        <f aca="false">IF(A971&lt;Resumen!$B$11,"",IF(H970="",0,H970)+G971/Resumen!$B$9)</f>
        <v>1.2231353987742</v>
      </c>
      <c r="I971" s="26" t="n">
        <f aca="false">IF(H971="","",H971-AVERAGE(H923:H1019))</f>
        <v>-0.0328025435307657</v>
      </c>
      <c r="J971" s="27" t="n">
        <f aca="false">IF(I971="","",Resumen!$B$10-(MAX(I923:I1019)-I971))</f>
        <v>1.62203882836716</v>
      </c>
    </row>
    <row r="972" customFormat="false" ht="15" hidden="false" customHeight="false" outlineLevel="0" collapsed="false">
      <c r="A972" s="24" t="n">
        <v>46271.5</v>
      </c>
      <c r="B972" s="10" t="n">
        <v>5.3299</v>
      </c>
      <c r="C972" s="10" t="n">
        <v>3.5984</v>
      </c>
      <c r="D972" s="10" t="n">
        <f aca="false">IF(OR(B972="",C972="",B972&lt;=0.05,C972&lt;=0.05),0,1)</f>
        <v>1</v>
      </c>
      <c r="E972" s="25" t="n">
        <f aca="false">IF(OR(A972&lt;Resumen!$B$6,A972&gt;=Resumen!$B$7),0,MAX(0,AVERAGEIFS(B924:B1020,D924:D1020,1)-Resumen!$B$5*AVERAGEIFS(C924:C1020,D924:D1020,1)))</f>
        <v>0.527581457731959</v>
      </c>
      <c r="F972" s="10" t="n">
        <f aca="false">IF(B972="","",(B972-E972)/Resumen!$B$5)</f>
        <v>3.81439121705166</v>
      </c>
      <c r="G972" s="10" t="n">
        <f aca="false">IF(OR(F972="",C972=""),0,(F972-C972)*0.9)</f>
        <v>0.194392095346496</v>
      </c>
      <c r="H972" s="26" t="n">
        <f aca="false">IF(A972&lt;Resumen!$B$11,"",IF(H971="",0,H971)+G972/Resumen!$B$9)</f>
        <v>1.23232409732296</v>
      </c>
      <c r="I972" s="26" t="n">
        <f aca="false">IF(H972="","",H972-AVERAGE(H924:H1020))</f>
        <v>-0.0241513403612674</v>
      </c>
      <c r="J972" s="27" t="n">
        <f aca="false">IF(I972="","",Resumen!$B$10-(MAX(I924:I1020)-I972))</f>
        <v>1.63069003153666</v>
      </c>
    </row>
    <row r="973" customFormat="false" ht="15" hidden="false" customHeight="false" outlineLevel="0" collapsed="false">
      <c r="A973" s="24" t="n">
        <v>46271.5104166667</v>
      </c>
      <c r="B973" s="10" t="n">
        <v>4.8853</v>
      </c>
      <c r="C973" s="10" t="n">
        <v>3.7996</v>
      </c>
      <c r="D973" s="10" t="n">
        <f aca="false">IF(OR(B973="",C973="",B973&lt;=0.05,C973&lt;=0.05),0,1)</f>
        <v>1</v>
      </c>
      <c r="E973" s="25" t="n">
        <f aca="false">IF(OR(A973&lt;Resumen!$B$6,A973&gt;=Resumen!$B$7),0,MAX(0,AVERAGEIFS(B925:B1021,D925:D1021,1)-Resumen!$B$5*AVERAGEIFS(C925:C1021,D925:D1021,1)))</f>
        <v>0.52581905257732</v>
      </c>
      <c r="F973" s="10" t="n">
        <f aca="false">IF(B973="","",(B973-E973)/Resumen!$B$5)</f>
        <v>3.46265365164629</v>
      </c>
      <c r="G973" s="10" t="n">
        <f aca="false">IF(OR(F973="",C973=""),0,(F973-C973)*0.9)</f>
        <v>-0.303251713518338</v>
      </c>
      <c r="H973" s="26" t="n">
        <f aca="false">IF(A973&lt;Resumen!$B$11,"",IF(H972="",0,H972)+G973/Resumen!$B$9)</f>
        <v>1.21798972547031</v>
      </c>
      <c r="I973" s="26" t="n">
        <f aca="false">IF(H973="","",H973-AVERAGE(H925:H1021))</f>
        <v>-0.0389306666333378</v>
      </c>
      <c r="J973" s="27" t="n">
        <f aca="false">IF(I973="","",Resumen!$B$10-(MAX(I925:I1021)-I973))</f>
        <v>1.61591070526459</v>
      </c>
    </row>
    <row r="974" customFormat="false" ht="15" hidden="false" customHeight="false" outlineLevel="0" collapsed="false">
      <c r="A974" s="24" t="n">
        <v>46271.5208333333</v>
      </c>
      <c r="B974" s="10" t="n">
        <v>4.8989</v>
      </c>
      <c r="C974" s="10" t="n">
        <v>3.6544</v>
      </c>
      <c r="D974" s="10" t="n">
        <f aca="false">IF(OR(B974="",C974="",B974&lt;=0.05,C974&lt;=0.05),0,1)</f>
        <v>1</v>
      </c>
      <c r="E974" s="25" t="n">
        <f aca="false">IF(OR(A974&lt;Resumen!$B$6,A974&gt;=Resumen!$B$7),0,MAX(0,AVERAGEIFS(B926:B1022,D926:D1022,1)-Resumen!$B$5*AVERAGEIFS(C926:C1022,D926:D1022,1)))</f>
        <v>0.523340257731959</v>
      </c>
      <c r="F974" s="10" t="n">
        <f aca="false">IF(B974="","",(B974-E974)/Resumen!$B$5)</f>
        <v>3.47542473571727</v>
      </c>
      <c r="G974" s="10" t="n">
        <f aca="false">IF(OR(F974="",C974=""),0,(F974-C974)*0.9)</f>
        <v>-0.161077737854458</v>
      </c>
      <c r="H974" s="26" t="n">
        <f aca="false">IF(A974&lt;Resumen!$B$11,"",IF(H973="",0,H973)+G974/Resumen!$B$9)</f>
        <v>1.21037575961731</v>
      </c>
      <c r="I974" s="26" t="n">
        <f aca="false">IF(H974="","",H974-AVERAGE(H926:H1022))</f>
        <v>-0.0468771030576525</v>
      </c>
      <c r="J974" s="27" t="n">
        <f aca="false">IF(I974="","",Resumen!$B$10-(MAX(I926:I1022)-I974))</f>
        <v>1.60796426884027</v>
      </c>
    </row>
    <row r="975" customFormat="false" ht="15" hidden="false" customHeight="false" outlineLevel="0" collapsed="false">
      <c r="A975" s="24" t="n">
        <v>46271.53125</v>
      </c>
      <c r="B975" s="10" t="n">
        <v>5.054</v>
      </c>
      <c r="C975" s="10" t="n">
        <v>4.6076</v>
      </c>
      <c r="D975" s="10" t="n">
        <f aca="false">IF(OR(B975="",C975="",B975&lt;=0.05,C975&lt;=0.05),0,1)</f>
        <v>1</v>
      </c>
      <c r="E975" s="25" t="n">
        <f aca="false">IF(OR(A975&lt;Resumen!$B$6,A975&gt;=Resumen!$B$7),0,MAX(0,AVERAGEIFS(B927:B1023,D927:D1023,1)-Resumen!$B$5*AVERAGEIFS(C927:C1023,D927:D1023,1)))</f>
        <v>0.523488382474227</v>
      </c>
      <c r="F975" s="10" t="n">
        <f aca="false">IF(B975="","",(B975-E975)/Resumen!$B$5)</f>
        <v>3.59850009334851</v>
      </c>
      <c r="G975" s="10" t="n">
        <f aca="false">IF(OR(F975="",C975=""),0,(F975-C975)*0.9)</f>
        <v>-0.908189915986341</v>
      </c>
      <c r="H975" s="26" t="n">
        <f aca="false">IF(A975&lt;Resumen!$B$11,"",IF(H974="",0,H974)+G975/Resumen!$B$9)</f>
        <v>1.16744663048713</v>
      </c>
      <c r="I975" s="26" t="n">
        <f aca="false">IF(H975="","",H975-AVERAGE(H927:H1023))</f>
        <v>-0.0901103297045029</v>
      </c>
      <c r="J975" s="27" t="n">
        <f aca="false">IF(I975="","",Resumen!$B$10-(MAX(I927:I1023)-I975))</f>
        <v>1.56473104219342</v>
      </c>
    </row>
    <row r="976" customFormat="false" ht="15" hidden="false" customHeight="false" outlineLevel="0" collapsed="false">
      <c r="A976" s="24" t="n">
        <v>46271.5416666667</v>
      </c>
      <c r="B976" s="10" t="n">
        <v>5.0625</v>
      </c>
      <c r="C976" s="10" t="n">
        <v>3.7496</v>
      </c>
      <c r="D976" s="10" t="n">
        <f aca="false">IF(OR(B976="",C976="",B976&lt;=0.05,C976&lt;=0.05),0,1)</f>
        <v>1</v>
      </c>
      <c r="E976" s="25" t="n">
        <f aca="false">IF(OR(A976&lt;Resumen!$B$6,A976&gt;=Resumen!$B$7),0,MAX(0,AVERAGEIFS(B928:B1024,D928:D1024,1)-Resumen!$B$5*AVERAGEIFS(C928:C1024,D928:D1024,1)))</f>
        <v>0.524495018556701</v>
      </c>
      <c r="F976" s="10" t="n">
        <f aca="false">IF(B976="","",(B976-E976)/Resumen!$B$5)</f>
        <v>3.60445193124964</v>
      </c>
      <c r="G976" s="10" t="n">
        <f aca="false">IF(OR(F976="",C976=""),0,(F976-C976)*0.9)</f>
        <v>-0.130633261875322</v>
      </c>
      <c r="H976" s="26" t="n">
        <f aca="false">IF(A976&lt;Resumen!$B$11,"",IF(H975="",0,H975)+G976/Resumen!$B$9)</f>
        <v>1.16127174121669</v>
      </c>
      <c r="I976" s="26" t="n">
        <f aca="false">IF(H976="","",H976-AVERAGE(H928:H1024))</f>
        <v>-0.0965804296105028</v>
      </c>
      <c r="J976" s="27" t="n">
        <f aca="false">IF(I976="","",Resumen!$B$10-(MAX(I928:I1024)-I976))</f>
        <v>1.55826094228742</v>
      </c>
    </row>
    <row r="977" customFormat="false" ht="15" hidden="false" customHeight="false" outlineLevel="0" collapsed="false">
      <c r="A977" s="24" t="n">
        <v>46271.5520833333</v>
      </c>
      <c r="B977" s="10" t="n">
        <v>5.2919</v>
      </c>
      <c r="C977" s="10" t="n">
        <v>3.6103</v>
      </c>
      <c r="D977" s="10" t="n">
        <f aca="false">IF(OR(B977="",C977="",B977&lt;=0.05,C977&lt;=0.05),0,1)</f>
        <v>1</v>
      </c>
      <c r="E977" s="25" t="n">
        <f aca="false">IF(OR(A977&lt;Resumen!$B$6,A977&gt;=Resumen!$B$7),0,MAX(0,AVERAGEIFS(B929:B1025,D929:D1025,1)-Resumen!$B$5*AVERAGEIFS(C929:C1025,D929:D1025,1)))</f>
        <v>0.520632761855671</v>
      </c>
      <c r="F977" s="10" t="n">
        <f aca="false">IF(B977="","",(B977-E977)/Resumen!$B$5)</f>
        <v>3.78972775071035</v>
      </c>
      <c r="G977" s="10" t="n">
        <f aca="false">IF(OR(F977="",C977=""),0,(F977-C977)*0.9)</f>
        <v>0.161484975639314</v>
      </c>
      <c r="H977" s="26" t="n">
        <f aca="false">IF(A977&lt;Resumen!$B$11,"",IF(H976="",0,H976)+G977/Resumen!$B$9)</f>
        <v>1.16890495674769</v>
      </c>
      <c r="I977" s="26" t="n">
        <f aca="false">IF(H977="","",H977-AVERAGE(H929:H1025))</f>
        <v>-0.0890643450663693</v>
      </c>
      <c r="J977" s="27" t="n">
        <f aca="false">IF(I977="","",Resumen!$B$10-(MAX(I929:I1025)-I977))</f>
        <v>1.56577702683156</v>
      </c>
    </row>
    <row r="978" customFormat="false" ht="15" hidden="false" customHeight="false" outlineLevel="0" collapsed="false">
      <c r="A978" s="24" t="n">
        <v>46271.5625</v>
      </c>
      <c r="B978" s="10" t="n">
        <v>3.937</v>
      </c>
      <c r="C978" s="10" t="n">
        <v>2.8792</v>
      </c>
      <c r="D978" s="10" t="n">
        <f aca="false">IF(OR(B978="",C978="",B978&lt;=0.05,C978&lt;=0.05),0,1)</f>
        <v>1</v>
      </c>
      <c r="E978" s="25" t="n">
        <f aca="false">IF(OR(A978&lt;Resumen!$B$6,A978&gt;=Resumen!$B$7),0,MAX(0,AVERAGEIFS(B930:B1026,D930:D1026,1)-Resumen!$B$5*AVERAGEIFS(C930:C1026,D930:D1026,1)))</f>
        <v>0.519648044329897</v>
      </c>
      <c r="F978" s="10" t="n">
        <f aca="false">IF(B978="","",(B978-E978)/Resumen!$B$5)</f>
        <v>2.71433832857038</v>
      </c>
      <c r="G978" s="10" t="n">
        <f aca="false">IF(OR(F978="",C978=""),0,(F978-C978)*0.9)</f>
        <v>-0.148375504286662</v>
      </c>
      <c r="H978" s="26" t="n">
        <f aca="false">IF(A978&lt;Resumen!$B$11,"",IF(H977="",0,H977)+G978/Resumen!$B$9)</f>
        <v>1.16189141137447</v>
      </c>
      <c r="I978" s="26" t="n">
        <f aca="false">IF(H978="","",H978-AVERAGE(H930:H1026))</f>
        <v>-0.0961205603918875</v>
      </c>
      <c r="J978" s="27" t="n">
        <f aca="false">IF(I978="","",Resumen!$B$10-(MAX(I930:I1026)-I978))</f>
        <v>1.55872081150604</v>
      </c>
    </row>
    <row r="979" customFormat="false" ht="15" hidden="false" customHeight="false" outlineLevel="0" collapsed="false">
      <c r="A979" s="24" t="n">
        <v>46271.5729166667</v>
      </c>
      <c r="B979" s="10" t="n">
        <v>5.1047</v>
      </c>
      <c r="C979" s="10" t="n">
        <v>3.7982</v>
      </c>
      <c r="D979" s="10" t="n">
        <f aca="false">IF(OR(B979="",C979="",B979&lt;=0.05,C979&lt;=0.05),0,1)</f>
        <v>1</v>
      </c>
      <c r="E979" s="25" t="n">
        <f aca="false">IF(OR(A979&lt;Resumen!$B$6,A979&gt;=Resumen!$B$7),0,MAX(0,AVERAGEIFS(B931:B1027,D931:D1027,1)-Resumen!$B$5*AVERAGEIFS(C931:C1027,D931:D1027,1)))</f>
        <v>0.522670963917526</v>
      </c>
      <c r="F979" s="10" t="n">
        <f aca="false">IF(B979="","",(B979-E979)/Resumen!$B$5)</f>
        <v>3.63941940912031</v>
      </c>
      <c r="G979" s="10" t="n">
        <f aca="false">IF(OR(F979="",C979=""),0,(F979-C979)*0.9)</f>
        <v>-0.142902531791718</v>
      </c>
      <c r="H979" s="26" t="n">
        <f aca="false">IF(A979&lt;Resumen!$B$11,"",IF(H978="",0,H978)+G979/Resumen!$B$9)</f>
        <v>1.15513656733543</v>
      </c>
      <c r="I979" s="26" t="n">
        <f aca="false">IF(H979="","",H979-AVERAGE(H931:H1027))</f>
        <v>-0.102977070501999</v>
      </c>
      <c r="J979" s="27" t="n">
        <f aca="false">IF(I979="","",Resumen!$B$10-(MAX(I931:I1027)-I979))</f>
        <v>1.55186430139593</v>
      </c>
    </row>
    <row r="980" customFormat="false" ht="15" hidden="false" customHeight="false" outlineLevel="0" collapsed="false">
      <c r="A980" s="24" t="n">
        <v>46271.5833333333</v>
      </c>
      <c r="B980" s="10" t="n">
        <v>4.0589</v>
      </c>
      <c r="C980" s="10" t="n">
        <v>3.0261</v>
      </c>
      <c r="D980" s="10" t="n">
        <f aca="false">IF(OR(B980="",C980="",B980&lt;=0.05,C980&lt;=0.05),0,1)</f>
        <v>1</v>
      </c>
      <c r="E980" s="25" t="n">
        <f aca="false">IF(OR(A980&lt;Resumen!$B$6,A980&gt;=Resumen!$B$7),0,MAX(0,AVERAGEIFS(B932:B1028,D932:D1028,1)-Resumen!$B$5*AVERAGEIFS(C932:C1028,D932:D1028,1)))</f>
        <v>0.52111862886598</v>
      </c>
      <c r="F980" s="10" t="n">
        <f aca="false">IF(B980="","",(B980-E980)/Resumen!$B$5)</f>
        <v>2.80999314625419</v>
      </c>
      <c r="G980" s="10" t="n">
        <f aca="false">IF(OR(F980="",C980=""),0,(F980-C980)*0.9)</f>
        <v>-0.194496168371232</v>
      </c>
      <c r="H980" s="26" t="n">
        <f aca="false">IF(A980&lt;Resumen!$B$11,"",IF(H979="",0,H979)+G980/Resumen!$B$9)</f>
        <v>1.14594294937033</v>
      </c>
      <c r="I980" s="26" t="n">
        <f aca="false">IF(H980="","",H980-AVERAGE(H932:H1028))</f>
        <v>-0.112176648525529</v>
      </c>
      <c r="J980" s="27" t="n">
        <f aca="false">IF(I980="","",Resumen!$B$10-(MAX(I932:I1028)-I980))</f>
        <v>1.5426647233724</v>
      </c>
    </row>
    <row r="981" customFormat="false" ht="15" hidden="false" customHeight="false" outlineLevel="0" collapsed="false">
      <c r="A981" s="24" t="n">
        <v>46271.59375</v>
      </c>
      <c r="B981" s="10" t="n">
        <v>4.8316</v>
      </c>
      <c r="C981" s="10" t="n">
        <v>3.3095</v>
      </c>
      <c r="D981" s="10" t="n">
        <f aca="false">IF(OR(B981="",C981="",B981&lt;=0.05,C981&lt;=0.05),0,1)</f>
        <v>1</v>
      </c>
      <c r="E981" s="25" t="n">
        <f aca="false">IF(OR(A981&lt;Resumen!$B$6,A981&gt;=Resumen!$B$7),0,MAX(0,AVERAGEIFS(B933:B1029,D933:D1029,1)-Resumen!$B$5*AVERAGEIFS(C933:C1029,D933:D1029,1)))</f>
        <v>0.526723684536083</v>
      </c>
      <c r="F981" s="10" t="n">
        <f aca="false">IF(B981="","",(B981-E981)/Resumen!$B$5)</f>
        <v>3.41928222038437</v>
      </c>
      <c r="G981" s="10" t="n">
        <f aca="false">IF(OR(F981="",C981=""),0,(F981-C981)*0.9)</f>
        <v>0.0988039983459301</v>
      </c>
      <c r="H981" s="26" t="n">
        <f aca="false">IF(A981&lt;Resumen!$B$11,"",IF(H980="",0,H980)+G981/Resumen!$B$9)</f>
        <v>1.15061330468798</v>
      </c>
      <c r="I981" s="26" t="n">
        <f aca="false">IF(H981="","",H981-AVERAGE(H933:H1029))</f>
        <v>-0.107655008507903</v>
      </c>
      <c r="J981" s="27" t="n">
        <f aca="false">IF(I981="","",Resumen!$B$10-(MAX(I933:I1029)-I981))</f>
        <v>1.54718636339002</v>
      </c>
    </row>
    <row r="982" customFormat="false" ht="15" hidden="false" customHeight="false" outlineLevel="0" collapsed="false">
      <c r="A982" s="24" t="n">
        <v>46271.6041666667</v>
      </c>
      <c r="B982" s="10" t="n">
        <v>4.9887</v>
      </c>
      <c r="C982" s="10" t="n">
        <v>3.2301</v>
      </c>
      <c r="D982" s="10" t="n">
        <f aca="false">IF(OR(B982="",C982="",B982&lt;=0.05,C982&lt;=0.05),0,1)</f>
        <v>1</v>
      </c>
      <c r="E982" s="25" t="n">
        <f aca="false">IF(OR(A982&lt;Resumen!$B$6,A982&gt;=Resumen!$B$7),0,MAX(0,AVERAGEIFS(B934:B1030,D934:D1030,1)-Resumen!$B$5*AVERAGEIFS(C934:C1030,D934:D1030,1)))</f>
        <v>0.524258837113402</v>
      </c>
      <c r="F982" s="10" t="n">
        <f aca="false">IF(B982="","",(B982-E982)/Resumen!$B$5)</f>
        <v>3.5460215749695</v>
      </c>
      <c r="G982" s="10" t="n">
        <f aca="false">IF(OR(F982="",C982=""),0,(F982-C982)*0.9)</f>
        <v>0.284329417472548</v>
      </c>
      <c r="H982" s="26" t="n">
        <f aca="false">IF(A982&lt;Resumen!$B$11,"",IF(H981="",0,H981)+G982/Resumen!$B$9)</f>
        <v>1.16405324061255</v>
      </c>
      <c r="I982" s="26" t="n">
        <f aca="false">IF(H982="","",H982-AVERAGE(H934:H1030))</f>
        <v>-0.09423849357588</v>
      </c>
      <c r="J982" s="27" t="n">
        <f aca="false">IF(I982="","",Resumen!$B$10-(MAX(I934:I1030)-I982))</f>
        <v>1.56060287832204</v>
      </c>
    </row>
    <row r="983" customFormat="false" ht="15" hidden="false" customHeight="false" outlineLevel="0" collapsed="false">
      <c r="A983" s="24" t="n">
        <v>46271.6145833333</v>
      </c>
      <c r="B983" s="10" t="n">
        <v>4.8269</v>
      </c>
      <c r="C983" s="10" t="n">
        <v>3.1436</v>
      </c>
      <c r="D983" s="10" t="n">
        <f aca="false">IF(OR(B983="",C983="",B983&lt;=0.05,C983&lt;=0.05),0,1)</f>
        <v>1</v>
      </c>
      <c r="E983" s="25" t="n">
        <f aca="false">IF(OR(A983&lt;Resumen!$B$6,A983&gt;=Resumen!$B$7),0,MAX(0,AVERAGEIFS(B935:B1031,D935:D1031,1)-Resumen!$B$5*AVERAGEIFS(C935:C1031,D935:D1031,1)))</f>
        <v>0.526610144329897</v>
      </c>
      <c r="F983" s="10" t="n">
        <f aca="false">IF(B983="","",(B983-E983)/Resumen!$B$5)</f>
        <v>3.41563928170779</v>
      </c>
      <c r="G983" s="10" t="n">
        <f aca="false">IF(OR(F983="",C983=""),0,(F983-C983)*0.9)</f>
        <v>0.244835353537008</v>
      </c>
      <c r="H983" s="26" t="n">
        <f aca="false">IF(A983&lt;Resumen!$B$11,"",IF(H982="",0,H982)+G983/Resumen!$B$9)</f>
        <v>1.17562633597797</v>
      </c>
      <c r="I983" s="26" t="n">
        <f aca="false">IF(H983="","",H983-AVERAGE(H935:H1031))</f>
        <v>-0.0827259368703794</v>
      </c>
      <c r="J983" s="27" t="n">
        <f aca="false">IF(I983="","",Resumen!$B$10-(MAX(I935:I1031)-I983))</f>
        <v>1.57211543502755</v>
      </c>
    </row>
    <row r="984" customFormat="false" ht="15" hidden="false" customHeight="false" outlineLevel="0" collapsed="false">
      <c r="A984" s="24" t="n">
        <v>46271.625</v>
      </c>
      <c r="B984" s="10" t="n">
        <v>4.4113</v>
      </c>
      <c r="C984" s="10" t="n">
        <v>2.8413</v>
      </c>
      <c r="D984" s="10" t="n">
        <f aca="false">IF(OR(B984="",C984="",B984&lt;=0.05,C984&lt;=0.05),0,1)</f>
        <v>1</v>
      </c>
      <c r="E984" s="25" t="n">
        <f aca="false">IF(OR(A984&lt;Resumen!$B$6,A984&gt;=Resumen!$B$7),0,MAX(0,AVERAGEIFS(B936:B1032,D936:D1032,1)-Resumen!$B$5*AVERAGEIFS(C936:C1032,D936:D1032,1)))</f>
        <v>0.524151903092784</v>
      </c>
      <c r="F984" s="10" t="n">
        <f aca="false">IF(B984="","",(B984-E984)/Resumen!$B$5)</f>
        <v>3.08748855989453</v>
      </c>
      <c r="G984" s="10" t="n">
        <f aca="false">IF(OR(F984="",C984=""),0,(F984-C984)*0.9)</f>
        <v>0.221569703905079</v>
      </c>
      <c r="H984" s="26" t="n">
        <f aca="false">IF(A984&lt;Resumen!$B$11,"",IF(H983="",0,H983)+G984/Resumen!$B$9)</f>
        <v>1.18609968991292</v>
      </c>
      <c r="I984" s="26" t="n">
        <f aca="false">IF(H984="","",H984-AVERAGE(H936:H1032))</f>
        <v>-0.0721881114525516</v>
      </c>
      <c r="J984" s="27" t="n">
        <f aca="false">IF(I984="","",Resumen!$B$10-(MAX(I936:I1032)-I984))</f>
        <v>1.58265326044537</v>
      </c>
    </row>
    <row r="985" customFormat="false" ht="15" hidden="false" customHeight="false" outlineLevel="0" collapsed="false">
      <c r="A985" s="24" t="n">
        <v>46271.6354166667</v>
      </c>
      <c r="B985" s="10" t="n">
        <v>4.4951</v>
      </c>
      <c r="C985" s="10" t="n">
        <v>3.2749</v>
      </c>
      <c r="D985" s="10" t="n">
        <f aca="false">IF(OR(B985="",C985="",B985&lt;=0.05,C985&lt;=0.05),0,1)</f>
        <v>1</v>
      </c>
      <c r="E985" s="25" t="n">
        <f aca="false">IF(OR(A985&lt;Resumen!$B$6,A985&gt;=Resumen!$B$7),0,MAX(0,AVERAGEIFS(B937:B1033,D937:D1033,1)-Resumen!$B$5*AVERAGEIFS(C937:C1033,D937:D1033,1)))</f>
        <v>0.529806253608248</v>
      </c>
      <c r="F985" s="10" t="n">
        <f aca="false">IF(B985="","",(B985-E985)/Resumen!$B$5)</f>
        <v>3.14955817823014</v>
      </c>
      <c r="G985" s="10" t="n">
        <f aca="false">IF(OR(F985="",C985=""),0,(F985-C985)*0.9)</f>
        <v>-0.11280763959287</v>
      </c>
      <c r="H985" s="26" t="n">
        <f aca="false">IF(A985&lt;Resumen!$B$11,"",IF(H984="",0,H984)+G985/Resumen!$B$9)</f>
        <v>1.18076739801922</v>
      </c>
      <c r="I985" s="26" t="n">
        <f aca="false">IF(H985="","",H985-AVERAGE(H937:H1033))</f>
        <v>-0.0776074476353139</v>
      </c>
      <c r="J985" s="27" t="n">
        <f aca="false">IF(I985="","",Resumen!$B$10-(MAX(I937:I1033)-I985))</f>
        <v>1.57723392426261</v>
      </c>
    </row>
    <row r="986" customFormat="false" ht="15" hidden="false" customHeight="false" outlineLevel="0" collapsed="false">
      <c r="A986" s="24" t="n">
        <v>46271.6458333333</v>
      </c>
      <c r="B986" s="10" t="n">
        <v>5.2279</v>
      </c>
      <c r="C986" s="10" t="n">
        <v>2.9267</v>
      </c>
      <c r="D986" s="10" t="n">
        <f aca="false">IF(OR(B986="",C986="",B986&lt;=0.05,C986&lt;=0.05),0,1)</f>
        <v>1</v>
      </c>
      <c r="E986" s="25" t="n">
        <f aca="false">IF(OR(A986&lt;Resumen!$B$6,A986&gt;=Resumen!$B$7),0,MAX(0,AVERAGEIFS(B938:B1034,D938:D1034,1)-Resumen!$B$5*AVERAGEIFS(C938:C1034,D938:D1034,1)))</f>
        <v>0.52564481443299</v>
      </c>
      <c r="F986" s="10" t="n">
        <f aca="false">IF(B986="","",(B986-E986)/Resumen!$B$5)</f>
        <v>3.73491277646307</v>
      </c>
      <c r="G986" s="10" t="n">
        <f aca="false">IF(OR(F986="",C986=""),0,(F986-C986)*0.9)</f>
        <v>0.727391498816767</v>
      </c>
      <c r="H986" s="26" t="n">
        <f aca="false">IF(A986&lt;Resumen!$B$11,"",IF(H985="",0,H985)+G986/Resumen!$B$9)</f>
        <v>1.21515038667748</v>
      </c>
      <c r="I986" s="26" t="n">
        <f aca="false">IF(H986="","",H986-AVERAGE(H938:H1034))</f>
        <v>-0.0431325495990258</v>
      </c>
      <c r="J986" s="27" t="n">
        <f aca="false">IF(I986="","",Resumen!$B$10-(MAX(I938:I1034)-I986))</f>
        <v>1.6117088222989</v>
      </c>
    </row>
    <row r="987" customFormat="false" ht="15" hidden="false" customHeight="false" outlineLevel="0" collapsed="false">
      <c r="A987" s="24" t="n">
        <v>46271.65625</v>
      </c>
      <c r="B987" s="10" t="n">
        <v>3.5135</v>
      </c>
      <c r="C987" s="10" t="n">
        <v>2.5804</v>
      </c>
      <c r="D987" s="10" t="n">
        <f aca="false">IF(OR(B987="",C987="",B987&lt;=0.05,C987&lt;=0.05),0,1)</f>
        <v>1</v>
      </c>
      <c r="E987" s="25" t="n">
        <f aca="false">IF(OR(A987&lt;Resumen!$B$6,A987&gt;=Resumen!$B$7),0,MAX(0,AVERAGEIFS(B939:B1035,D939:D1035,1)-Resumen!$B$5*AVERAGEIFS(C939:C1035,D939:D1035,1)))</f>
        <v>0.526264847422681</v>
      </c>
      <c r="F987" s="10" t="n">
        <f aca="false">IF(B987="","",(B987-E987)/Resumen!$B$5)</f>
        <v>2.37270464859199</v>
      </c>
      <c r="G987" s="10" t="n">
        <f aca="false">IF(OR(F987="",C987=""),0,(F987-C987)*0.9)</f>
        <v>-0.186925816267206</v>
      </c>
      <c r="H987" s="26" t="n">
        <f aca="false">IF(A987&lt;Resumen!$B$11,"",IF(H986="",0,H986)+G987/Resumen!$B$9)</f>
        <v>1.20631461085234</v>
      </c>
      <c r="I987" s="26" t="n">
        <f aca="false">IF(H987="","",H987-AVERAGE(H939:H1035))</f>
        <v>-0.0518638439432673</v>
      </c>
      <c r="J987" s="27" t="n">
        <f aca="false">IF(I987="","",Resumen!$B$10-(MAX(I939:I1035)-I987))</f>
        <v>1.60297752795466</v>
      </c>
    </row>
    <row r="988" customFormat="false" ht="15" hidden="false" customHeight="false" outlineLevel="0" collapsed="false">
      <c r="A988" s="24" t="n">
        <v>46271.6666666667</v>
      </c>
      <c r="B988" s="10" t="n">
        <v>3.796</v>
      </c>
      <c r="C988" s="10" t="n">
        <v>2.6752</v>
      </c>
      <c r="D988" s="10" t="n">
        <f aca="false">IF(OR(B988="",C988="",B988&lt;=0.05,C988&lt;=0.05),0,1)</f>
        <v>1</v>
      </c>
      <c r="E988" s="25" t="n">
        <f aca="false">IF(OR(A988&lt;Resumen!$B$6,A988&gt;=Resumen!$B$7),0,MAX(0,AVERAGEIFS(B940:B1036,D940:D1036,1)-Resumen!$B$5*AVERAGEIFS(C940:C1036,D940:D1036,1)))</f>
        <v>0.522106761855671</v>
      </c>
      <c r="F988" s="10" t="n">
        <f aca="false">IF(B988="","",(B988-E988)/Resumen!$B$5)</f>
        <v>2.6003917697731</v>
      </c>
      <c r="G988" s="10" t="n">
        <f aca="false">IF(OR(F988="",C988=""),0,(F988-C988)*0.9)</f>
        <v>-0.0673274072042122</v>
      </c>
      <c r="H988" s="26" t="n">
        <f aca="false">IF(A988&lt;Resumen!$B$11,"",IF(H987="",0,H987)+G988/Resumen!$B$9)</f>
        <v>1.20313211905521</v>
      </c>
      <c r="I988" s="26" t="n">
        <f aca="false">IF(H988="","",H988-AVERAGE(H940:H1036))</f>
        <v>-0.0547642551992469</v>
      </c>
      <c r="J988" s="27" t="n">
        <f aca="false">IF(I988="","",Resumen!$B$10-(MAX(I940:I1036)-I988))</f>
        <v>1.60007711669868</v>
      </c>
    </row>
    <row r="989" customFormat="false" ht="15" hidden="false" customHeight="false" outlineLevel="0" collapsed="false">
      <c r="A989" s="24" t="n">
        <v>46271.6770833333</v>
      </c>
      <c r="B989" s="10" t="n">
        <v>4.6147</v>
      </c>
      <c r="C989" s="10" t="n">
        <v>3.3281</v>
      </c>
      <c r="D989" s="10" t="n">
        <f aca="false">IF(OR(B989="",C989="",B989&lt;=0.05,C989&lt;=0.05),0,1)</f>
        <v>1</v>
      </c>
      <c r="E989" s="25" t="n">
        <f aca="false">IF(OR(A989&lt;Resumen!$B$6,A989&gt;=Resumen!$B$7),0,MAX(0,AVERAGEIFS(B941:B1037,D941:D1037,1)-Resumen!$B$5*AVERAGEIFS(C941:C1037,D941:D1037,1)))</f>
        <v>0.520237527835052</v>
      </c>
      <c r="F989" s="10" t="n">
        <f aca="false">IF(B989="","",(B989-E989)/Resumen!$B$5)</f>
        <v>3.25215446557979</v>
      </c>
      <c r="G989" s="10" t="n">
        <f aca="false">IF(OR(F989="",C989=""),0,(F989-C989)*0.9)</f>
        <v>-0.0683509809781936</v>
      </c>
      <c r="H989" s="26" t="n">
        <f aca="false">IF(A989&lt;Resumen!$B$11,"",IF(H988="",0,H988)+G989/Resumen!$B$9)</f>
        <v>1.19990124406206</v>
      </c>
      <c r="I989" s="26" t="n">
        <f aca="false">IF(H989="","",H989-AVERAGE(H941:H1037))</f>
        <v>-0.0576120151709487</v>
      </c>
      <c r="J989" s="27" t="n">
        <f aca="false">IF(I989="","",Resumen!$B$10-(MAX(I941:I1037)-I989))</f>
        <v>1.59722935672698</v>
      </c>
    </row>
    <row r="990" customFormat="false" ht="15" hidden="false" customHeight="false" outlineLevel="0" collapsed="false">
      <c r="A990" s="24" t="n">
        <v>46271.6875</v>
      </c>
      <c r="B990" s="10" t="n">
        <v>3.7555</v>
      </c>
      <c r="C990" s="10" t="n">
        <v>2.8449</v>
      </c>
      <c r="D990" s="10" t="n">
        <f aca="false">IF(OR(B990="",C990="",B990&lt;=0.05,C990&lt;=0.05),0,1)</f>
        <v>1</v>
      </c>
      <c r="E990" s="25" t="n">
        <f aca="false">IF(OR(A990&lt;Resumen!$B$6,A990&gt;=Resumen!$B$7),0,MAX(0,AVERAGEIFS(B942:B1038,D942:D1038,1)-Resumen!$B$5*AVERAGEIFS(C942:C1038,D942:D1038,1)))</f>
        <v>0.522823982474227</v>
      </c>
      <c r="F990" s="10" t="n">
        <f aca="false">IF(B990="","",(B990-E990)/Resumen!$B$5)</f>
        <v>2.56765370732786</v>
      </c>
      <c r="G990" s="10" t="n">
        <f aca="false">IF(OR(F990="",C990=""),0,(F990-C990)*0.9)</f>
        <v>-0.249521663404927</v>
      </c>
      <c r="H990" s="26" t="n">
        <f aca="false">IF(A990&lt;Resumen!$B$11,"",IF(H989="",0,H989)+G990/Resumen!$B$9)</f>
        <v>1.18810663203154</v>
      </c>
      <c r="I990" s="26" t="n">
        <f aca="false">IF(H990="","",H990-AVERAGE(H942:H1038))</f>
        <v>-0.0690710024696806</v>
      </c>
      <c r="J990" s="27" t="n">
        <f aca="false">IF(I990="","",Resumen!$B$10-(MAX(I942:I1038)-I990))</f>
        <v>1.58577036942824</v>
      </c>
    </row>
    <row r="991" customFormat="false" ht="15" hidden="false" customHeight="false" outlineLevel="0" collapsed="false">
      <c r="A991" s="24" t="n">
        <v>46271.6979166667</v>
      </c>
      <c r="B991" s="10" t="n">
        <v>4.0236</v>
      </c>
      <c r="C991" s="10" t="n">
        <v>3.3336</v>
      </c>
      <c r="D991" s="10" t="n">
        <f aca="false">IF(OR(B991="",C991="",B991&lt;=0.05,C991&lt;=0.05),0,1)</f>
        <v>1</v>
      </c>
      <c r="E991" s="25" t="n">
        <f aca="false">IF(OR(A991&lt;Resumen!$B$6,A991&gt;=Resumen!$B$7),0,MAX(0,AVERAGEIFS(B943:B1039,D943:D1039,1)-Resumen!$B$5*AVERAGEIFS(C943:C1039,D943:D1039,1)))</f>
        <v>0.518772241237114</v>
      </c>
      <c r="F991" s="10" t="n">
        <f aca="false">IF(B991="","",(B991-E991)/Resumen!$B$5)</f>
        <v>2.78381871228188</v>
      </c>
      <c r="G991" s="10" t="n">
        <f aca="false">IF(OR(F991="",C991=""),0,(F991-C991)*0.9)</f>
        <v>-0.494803158946309</v>
      </c>
      <c r="H991" s="26" t="n">
        <f aca="false">IF(A991&lt;Resumen!$B$11,"",IF(H990="",0,H990)+G991/Resumen!$B$9)</f>
        <v>1.16471783599833</v>
      </c>
      <c r="I991" s="26" t="n">
        <f aca="false">IF(H991="","",H991-AVERAGE(H943:H1039))</f>
        <v>-0.0919437943019525</v>
      </c>
      <c r="J991" s="27" t="n">
        <f aca="false">IF(I991="","",Resumen!$B$10-(MAX(I943:I1039)-I991))</f>
        <v>1.56289757759597</v>
      </c>
    </row>
    <row r="992" customFormat="false" ht="15" hidden="false" customHeight="false" outlineLevel="0" collapsed="false">
      <c r="A992" s="24" t="n">
        <v>46271.7083333333</v>
      </c>
      <c r="B992" s="10" t="n">
        <v>3.7315</v>
      </c>
      <c r="C992" s="10" t="n">
        <v>2.4942</v>
      </c>
      <c r="D992" s="10" t="n">
        <f aca="false">IF(OR(B992="",C992="",B992&lt;=0.05,C992&lt;=0.05),0,1)</f>
        <v>1</v>
      </c>
      <c r="E992" s="25" t="n">
        <f aca="false">IF(OR(A992&lt;Resumen!$B$6,A992&gt;=Resumen!$B$7),0,MAX(0,AVERAGEIFS(B944:B1040,D944:D1040,1)-Resumen!$B$5*AVERAGEIFS(C944:C1040,D944:D1040,1)))</f>
        <v>0.510218388659795</v>
      </c>
      <c r="F992" s="10" t="n">
        <f aca="false">IF(B992="","",(B992-E992)/Resumen!$B$5)</f>
        <v>2.55860334498825</v>
      </c>
      <c r="G992" s="10" t="n">
        <f aca="false">IF(OR(F992="",C992=""),0,(F992-C992)*0.9)</f>
        <v>0.0579630104894242</v>
      </c>
      <c r="H992" s="26" t="n">
        <f aca="false">IF(A992&lt;Resumen!$B$11,"",IF(H991="",0,H991)+G992/Resumen!$B$9)</f>
        <v>1.16745768315835</v>
      </c>
      <c r="I992" s="26" t="n">
        <f aca="false">IF(H992="","",H992-AVERAGE(H944:H1040))</f>
        <v>-0.0883464595094912</v>
      </c>
      <c r="J992" s="27" t="n">
        <f aca="false">IF(I992="","",Resumen!$B$10-(MAX(I944:I1040)-I992))</f>
        <v>1.56649491238843</v>
      </c>
    </row>
    <row r="993" customFormat="false" ht="15" hidden="false" customHeight="false" outlineLevel="0" collapsed="false">
      <c r="A993" s="24" t="n">
        <v>46271.71875</v>
      </c>
      <c r="B993" s="10" t="n">
        <v>4.6441</v>
      </c>
      <c r="C993" s="10" t="n">
        <v>3.352</v>
      </c>
      <c r="D993" s="10" t="n">
        <f aca="false">IF(OR(B993="",C993="",B993&lt;=0.05,C993&lt;=0.05),0,1)</f>
        <v>1</v>
      </c>
      <c r="E993" s="25" t="n">
        <f aca="false">IF(OR(A993&lt;Resumen!$B$6,A993&gt;=Resumen!$B$7),0,MAX(0,AVERAGEIFS(B945:B1041,D945:D1041,1)-Resumen!$B$5*AVERAGEIFS(C945:C1041,D945:D1041,1)))</f>
        <v>0.514944907216495</v>
      </c>
      <c r="F993" s="10" t="n">
        <f aca="false">IF(B993="","",(B993-E993)/Resumen!$B$5)</f>
        <v>3.27971016106712</v>
      </c>
      <c r="G993" s="10" t="n">
        <f aca="false">IF(OR(F993="",C993=""),0,(F993-C993)*0.9)</f>
        <v>-0.0650608550395913</v>
      </c>
      <c r="H993" s="26" t="n">
        <f aca="false">IF(A993&lt;Resumen!$B$11,"",IF(H992="",0,H992)+G993/Resumen!$B$9)</f>
        <v>1.16438232876589</v>
      </c>
      <c r="I993" s="26" t="n">
        <f aca="false">IF(H993="","",H993-AVERAGE(H945:H1041))</f>
        <v>-0.0906732244901765</v>
      </c>
      <c r="J993" s="27" t="n">
        <f aca="false">IF(I993="","",Resumen!$B$10-(MAX(I945:I1041)-I993))</f>
        <v>1.56416814740775</v>
      </c>
    </row>
    <row r="994" customFormat="false" ht="15" hidden="false" customHeight="false" outlineLevel="0" collapsed="false">
      <c r="A994" s="24" t="n">
        <v>46271.7291666667</v>
      </c>
      <c r="B994" s="10" t="n">
        <v>5.1001</v>
      </c>
      <c r="C994" s="10" t="n">
        <v>3.2855</v>
      </c>
      <c r="D994" s="10" t="n">
        <f aca="false">IF(OR(B994="",C994="",B994&lt;=0.05,C994&lt;=0.05),0,1)</f>
        <v>1</v>
      </c>
      <c r="E994" s="25" t="n">
        <f aca="false">IF(OR(A994&lt;Resumen!$B$6,A994&gt;=Resumen!$B$7),0,MAX(0,AVERAGEIFS(B946:B1042,D946:D1042,1)-Resumen!$B$5*AVERAGEIFS(C946:C1042,D946:D1042,1)))</f>
        <v>0.505833231958763</v>
      </c>
      <c r="F994" s="10" t="n">
        <f aca="false">IF(B994="","",(B994-E994)/Resumen!$B$5)</f>
        <v>3.64913960924642</v>
      </c>
      <c r="G994" s="10" t="n">
        <f aca="false">IF(OR(F994="",C994=""),0,(F994-C994)*0.9)</f>
        <v>0.327275648321774</v>
      </c>
      <c r="H994" s="26" t="n">
        <f aca="false">IF(A994&lt;Resumen!$B$11,"",IF(H993="",0,H993)+G994/Resumen!$B$9)</f>
        <v>1.17985228534728</v>
      </c>
      <c r="I994" s="26" t="n">
        <f aca="false">IF(H994="","",H994-AVERAGE(H946:H1042))</f>
        <v>-0.0740919581545296</v>
      </c>
      <c r="J994" s="27" t="n">
        <f aca="false">IF(I994="","",Resumen!$B$10-(MAX(I946:I1042)-I994))</f>
        <v>1.5807494137434</v>
      </c>
    </row>
    <row r="995" customFormat="false" ht="15" hidden="false" customHeight="false" outlineLevel="0" collapsed="false">
      <c r="A995" s="24" t="n">
        <v>46271.7395833333</v>
      </c>
      <c r="B995" s="10" t="n">
        <v>3.9596</v>
      </c>
      <c r="C995" s="10" t="n">
        <v>3.2593</v>
      </c>
      <c r="D995" s="10" t="n">
        <f aca="false">IF(OR(B995="",C995="",B995&lt;=0.05,C995&lt;=0.05),0,1)</f>
        <v>1</v>
      </c>
      <c r="E995" s="25" t="n">
        <f aca="false">IF(OR(A995&lt;Resumen!$B$6,A995&gt;=Resumen!$B$7),0,MAX(0,AVERAGEIFS(B947:B1043,D947:D1043,1)-Resumen!$B$5*AVERAGEIFS(C947:C1043,D947:D1043,1)))</f>
        <v>0.49880651443299</v>
      </c>
      <c r="F995" s="10" t="n">
        <f aca="false">IF(B995="","",(B995-E995)/Resumen!$B$5)</f>
        <v>2.74884311800398</v>
      </c>
      <c r="G995" s="10" t="n">
        <f aca="false">IF(OR(F995="",C995=""),0,(F995-C995)*0.9)</f>
        <v>-0.459411193796419</v>
      </c>
      <c r="H995" s="26" t="n">
        <f aca="false">IF(A995&lt;Resumen!$B$11,"",IF(H994="",0,H994)+G995/Resumen!$B$9)</f>
        <v>1.15813642821742</v>
      </c>
      <c r="I995" s="26" t="n">
        <f aca="false">IF(H995="","",H995-AVERAGE(H947:H1043))</f>
        <v>-0.0944082865285545</v>
      </c>
      <c r="J995" s="27" t="n">
        <f aca="false">IF(I995="","",Resumen!$B$10-(MAX(I947:I1043)-I995))</f>
        <v>1.56043308536937</v>
      </c>
    </row>
    <row r="996" customFormat="false" ht="15" hidden="false" customHeight="false" outlineLevel="0" collapsed="false">
      <c r="A996" s="24" t="n">
        <v>46271.75</v>
      </c>
      <c r="B996" s="10" t="n">
        <v>3.6945</v>
      </c>
      <c r="C996" s="10" t="n">
        <v>2.8582</v>
      </c>
      <c r="D996" s="10" t="n">
        <f aca="false">IF(OR(B996="",C996="",B996&lt;=0.05,C996&lt;=0.05),0,1)</f>
        <v>1</v>
      </c>
      <c r="E996" s="25" t="n">
        <f aca="false">IF(OR(A996&lt;Resumen!$B$6,A996&gt;=Resumen!$B$7),0,MAX(0,AVERAGEIFS(B948:B1044,D948:D1044,1)-Resumen!$B$5*AVERAGEIFS(C948:C1044,D948:D1044,1)))</f>
        <v>0.49460441958763</v>
      </c>
      <c r="F996" s="10" t="n">
        <f aca="false">IF(B996="","",(B996-E996)/Resumen!$B$5)</f>
        <v>2.54161682320284</v>
      </c>
      <c r="G996" s="10" t="n">
        <f aca="false">IF(OR(F996="",C996=""),0,(F996-C996)*0.9)</f>
        <v>-0.284924859117448</v>
      </c>
      <c r="H996" s="26" t="n">
        <f aca="false">IF(A996&lt;Resumen!$B$11,"",IF(H995="",0,H995)+G996/Resumen!$B$9)</f>
        <v>1.14466834642732</v>
      </c>
      <c r="I996" s="26" t="n">
        <f aca="false">IF(H996="","",H996-AVERAGE(H948:H1044))</f>
        <v>-0.106283087916772</v>
      </c>
      <c r="J996" s="27" t="n">
        <f aca="false">IF(I996="","",Resumen!$B$10-(MAX(I948:I1044)-I996))</f>
        <v>1.54855828398115</v>
      </c>
    </row>
    <row r="997" customFormat="false" ht="15" hidden="false" customHeight="false" outlineLevel="0" collapsed="false">
      <c r="A997" s="24" t="n">
        <v>46271.7604166667</v>
      </c>
      <c r="B997" s="10" t="n">
        <v>3.7931</v>
      </c>
      <c r="C997" s="10" t="n">
        <v>2.2988</v>
      </c>
      <c r="D997" s="10" t="n">
        <f aca="false">IF(OR(B997="",C997="",B997&lt;=0.05,C997&lt;=0.05),0,1)</f>
        <v>1</v>
      </c>
      <c r="E997" s="25" t="n">
        <f aca="false">IF(OR(A997&lt;Resumen!$B$6,A997&gt;=Resumen!$B$7),0,MAX(0,AVERAGEIFS(B949:B1045,D949:D1045,1)-Resumen!$B$5*AVERAGEIFS(C949:C1045,D949:D1045,1)))</f>
        <v>0.490128755670104</v>
      </c>
      <c r="F997" s="10" t="n">
        <f aca="false">IF(B997="","",(B997-E997)/Resumen!$B$5)</f>
        <v>2.62348788270842</v>
      </c>
      <c r="G997" s="10" t="n">
        <f aca="false">IF(OR(F997="",C997=""),0,(F997-C997)*0.9)</f>
        <v>0.292219094437575</v>
      </c>
      <c r="H997" s="26" t="n">
        <f aca="false">IF(A997&lt;Resumen!$B$11,"",IF(H996="",0,H996)+G997/Resumen!$B$9)</f>
        <v>1.15848121862354</v>
      </c>
      <c r="I997" s="26" t="n">
        <f aca="false">IF(H997="","",H997-AVERAGE(H949:H1045))</f>
        <v>-0.0906707863578475</v>
      </c>
      <c r="J997" s="27" t="n">
        <f aca="false">IF(I997="","",Resumen!$B$10-(MAX(I949:I1045)-I997))</f>
        <v>1.56417058554008</v>
      </c>
    </row>
    <row r="998" customFormat="false" ht="15" hidden="false" customHeight="false" outlineLevel="0" collapsed="false">
      <c r="A998" s="24" t="n">
        <v>46271.7708333333</v>
      </c>
      <c r="B998" s="10" t="n">
        <v>3.7235</v>
      </c>
      <c r="C998" s="10" t="n">
        <v>2.9544</v>
      </c>
      <c r="D998" s="10" t="n">
        <f aca="false">IF(OR(B998="",C998="",B998&lt;=0.05,C998&lt;=0.05),0,1)</f>
        <v>1</v>
      </c>
      <c r="E998" s="25" t="n">
        <f aca="false">IF(OR(A998&lt;Resumen!$B$6,A998&gt;=Resumen!$B$7),0,MAX(0,AVERAGEIFS(B950:B1046,D950:D1046,1)-Resumen!$B$5*AVERAGEIFS(C950:C1046,D950:D1046,1)))</f>
        <v>0.484051009278351</v>
      </c>
      <c r="F998" s="10" t="n">
        <f aca="false">IF(B998="","",(B998-E998)/Resumen!$B$5)</f>
        <v>2.57303335243975</v>
      </c>
      <c r="G998" s="10" t="n">
        <f aca="false">IF(OR(F998="",C998=""),0,(F998-C998)*0.9)</f>
        <v>-0.343229982804222</v>
      </c>
      <c r="H998" s="26" t="n">
        <f aca="false">IF(A998&lt;Resumen!$B$11,"",IF(H997="",0,H997)+G998/Resumen!$B$9)</f>
        <v>1.14225711836236</v>
      </c>
      <c r="I998" s="26" t="n">
        <f aca="false">IF(H998="","",H998-AVERAGE(H950:H1046))</f>
        <v>-0.104841171754396</v>
      </c>
      <c r="J998" s="27" t="n">
        <f aca="false">IF(I998="","",Resumen!$B$10-(MAX(I950:I1046)-I998))</f>
        <v>1.55000020014353</v>
      </c>
    </row>
    <row r="999" customFormat="false" ht="15" hidden="false" customHeight="false" outlineLevel="0" collapsed="false">
      <c r="A999" s="24" t="n">
        <v>46271.78125</v>
      </c>
      <c r="B999" s="10" t="n">
        <v>4.8805</v>
      </c>
      <c r="C999" s="10" t="n">
        <v>2.4882</v>
      </c>
      <c r="D999" s="10" t="n">
        <f aca="false">IF(OR(B999="",C999="",B999&lt;=0.05,C999&lt;=0.05),0,1)</f>
        <v>1</v>
      </c>
      <c r="E999" s="25" t="n">
        <f aca="false">IF(OR(A999&lt;Resumen!$B$6,A999&gt;=Resumen!$B$7),0,MAX(0,AVERAGEIFS(B951:B1047,D951:D1047,1)-Resumen!$B$5*AVERAGEIFS(C951:C1047,D951:D1047,1)))</f>
        <v>0.483377806185567</v>
      </c>
      <c r="F999" s="10" t="n">
        <f aca="false">IF(B999="","",(B999-E999)/Resumen!$B$5)</f>
        <v>3.49255138507898</v>
      </c>
      <c r="G999" s="10" t="n">
        <f aca="false">IF(OR(F999="",C999=""),0,(F999-C999)*0.9)</f>
        <v>0.90391624657108</v>
      </c>
      <c r="H999" s="26" t="n">
        <f aca="false">IF(A999&lt;Resumen!$B$11,"",IF(H998="",0,H998)+G999/Resumen!$B$9)</f>
        <v>1.18498423588357</v>
      </c>
      <c r="I999" s="26" t="n">
        <f aca="false">IF(H999="","",H999-AVERAGE(H951:H1047))</f>
        <v>-0.0599822902350466</v>
      </c>
      <c r="J999" s="27" t="n">
        <f aca="false">IF(I999="","",Resumen!$B$10-(MAX(I951:I1047)-I999))</f>
        <v>1.59485908166288</v>
      </c>
    </row>
    <row r="1000" customFormat="false" ht="15" hidden="false" customHeight="false" outlineLevel="0" collapsed="false">
      <c r="A1000" s="24" t="n">
        <v>46271.7916666667</v>
      </c>
      <c r="B1000" s="10" t="n">
        <v>4.5074</v>
      </c>
      <c r="C1000" s="10" t="n">
        <v>2.5984</v>
      </c>
      <c r="D1000" s="10" t="n">
        <f aca="false">IF(OR(B1000="",C1000="",B1000&lt;=0.05,C1000&lt;=0.05),0,1)</f>
        <v>1</v>
      </c>
      <c r="E1000" s="25" t="n">
        <f aca="false">IF(OR(A1000&lt;Resumen!$B$6,A1000&gt;=Resumen!$B$7),0,MAX(0,AVERAGEIFS(B952:B1048,D952:D1048,1)-Resumen!$B$5*AVERAGEIFS(C952:C1048,D952:D1048,1)))</f>
        <v>0.468267464948454</v>
      </c>
      <c r="F1000" s="10" t="n">
        <f aca="false">IF(B1000="","",(B1000-E1000)/Resumen!$B$5)</f>
        <v>3.20820693808701</v>
      </c>
      <c r="G1000" s="10" t="n">
        <f aca="false">IF(OR(F1000="",C1000=""),0,(F1000-C1000)*0.9)</f>
        <v>0.548826244278309</v>
      </c>
      <c r="H1000" s="26" t="n">
        <f aca="false">IF(A1000&lt;Resumen!$B$11,"",IF(H999="",0,H999)+G1000/Resumen!$B$9)</f>
        <v>1.2109266431884</v>
      </c>
      <c r="I1000" s="26" t="n">
        <f aca="false">IF(H1000="","",H1000-AVERAGE(H952:H1048))</f>
        <v>-0.0313506831224271</v>
      </c>
      <c r="J1000" s="27" t="n">
        <f aca="false">IF(I1000="","",Resumen!$B$10-(MAX(I952:I1048)-I1000))</f>
        <v>1.6234906887755</v>
      </c>
    </row>
    <row r="1001" customFormat="false" ht="15" hidden="false" customHeight="false" outlineLevel="0" collapsed="false">
      <c r="A1001" s="24" t="n">
        <v>46271.8020833333</v>
      </c>
      <c r="B1001" s="10" t="n">
        <v>3.5945</v>
      </c>
      <c r="C1001" s="10" t="n">
        <v>2.3646</v>
      </c>
      <c r="D1001" s="10" t="n">
        <f aca="false">IF(OR(B1001="",C1001="",B1001&lt;=0.05,C1001&lt;=0.05),0,1)</f>
        <v>1</v>
      </c>
      <c r="E1001" s="25" t="n">
        <f aca="false">IF(OR(A1001&lt;Resumen!$B$6,A1001&gt;=Resumen!$B$7),0,MAX(0,AVERAGEIFS(B953:B1049,D953:D1049,1)-Resumen!$B$5*AVERAGEIFS(C953:C1049,D953:D1049,1)))</f>
        <v>0.460112555670103</v>
      </c>
      <c r="F1001" s="10" t="n">
        <f aca="false">IF(B1001="","",(B1001-E1001)/Resumen!$B$5)</f>
        <v>2.48958494386807</v>
      </c>
      <c r="G1001" s="10" t="n">
        <f aca="false">IF(OR(F1001="",C1001=""),0,(F1001-C1001)*0.9)</f>
        <v>0.112486449481261</v>
      </c>
      <c r="H1001" s="26" t="n">
        <f aca="false">IF(A1001&lt;Resumen!$B$11,"",IF(H1000="",0,H1000)+G1001/Resumen!$B$9)</f>
        <v>1.21624375278208</v>
      </c>
      <c r="I1001" s="26" t="n">
        <f aca="false">IF(H1001="","",H1001-AVERAGE(H953:H1049))</f>
        <v>-0.0230259586065393</v>
      </c>
      <c r="J1001" s="27" t="n">
        <f aca="false">IF(I1001="","",Resumen!$B$10-(MAX(I953:I1049)-I1001))</f>
        <v>1.63181541329139</v>
      </c>
    </row>
    <row r="1002" customFormat="false" ht="15" hidden="false" customHeight="false" outlineLevel="0" collapsed="false">
      <c r="A1002" s="24" t="n">
        <v>46271.8125</v>
      </c>
      <c r="B1002" s="10" t="n">
        <v>3.1305</v>
      </c>
      <c r="C1002" s="10" t="n">
        <v>2.1642</v>
      </c>
      <c r="D1002" s="10" t="n">
        <f aca="false">IF(OR(B1002="",C1002="",B1002&lt;=0.05,C1002&lt;=0.05),0,1)</f>
        <v>1</v>
      </c>
      <c r="E1002" s="25" t="n">
        <f aca="false">IF(OR(A1002&lt;Resumen!$B$6,A1002&gt;=Resumen!$B$7),0,MAX(0,AVERAGEIFS(B954:B1050,D954:D1050,1)-Resumen!$B$5*AVERAGEIFS(C954:C1050,D954:D1050,1)))</f>
        <v>0.452471471134021</v>
      </c>
      <c r="F1002" s="10" t="n">
        <f aca="false">IF(B1002="","",(B1002-E1002)/Resumen!$B$5)</f>
        <v>2.12710764802699</v>
      </c>
      <c r="G1002" s="10" t="n">
        <f aca="false">IF(OR(F1002="",C1002=""),0,(F1002-C1002)*0.9)</f>
        <v>-0.03338311677571</v>
      </c>
      <c r="H1002" s="26" t="n">
        <f aca="false">IF(A1002&lt;Resumen!$B$11,"",IF(H1001="",0,H1001)+G1002/Resumen!$B$9)</f>
        <v>1.21466576991131</v>
      </c>
      <c r="I1002" s="26" t="n">
        <f aca="false">IF(H1002="","",H1002-AVERAGE(H954:H1050))</f>
        <v>-0.0212981723546997</v>
      </c>
      <c r="J1002" s="27" t="n">
        <f aca="false">IF(I1002="","",Resumen!$B$10-(MAX(I954:I1050)-I1002))</f>
        <v>1.63354319954323</v>
      </c>
    </row>
    <row r="1003" customFormat="false" ht="15" hidden="false" customHeight="false" outlineLevel="0" collapsed="false">
      <c r="A1003" s="24" t="n">
        <v>46271.8229166667</v>
      </c>
      <c r="B1003" s="10" t="n">
        <v>3.9314</v>
      </c>
      <c r="C1003" s="10" t="n">
        <v>3.1366</v>
      </c>
      <c r="D1003" s="10" t="n">
        <f aca="false">IF(OR(B1003="",C1003="",B1003&lt;=0.05,C1003&lt;=0.05),0,1)</f>
        <v>1</v>
      </c>
      <c r="E1003" s="25" t="n">
        <f aca="false">IF(OR(A1003&lt;Resumen!$B$6,A1003&gt;=Resumen!$B$7),0,MAX(0,AVERAGEIFS(B955:B1051,D955:D1051,1)-Resumen!$B$5*AVERAGEIFS(C955:C1051,D955:D1051,1)))</f>
        <v>0.459489448453608</v>
      </c>
      <c r="F1003" s="10" t="n">
        <f aca="false">IF(B1003="","",(B1003-E1003)/Resumen!$B$5)</f>
        <v>2.7576731942386</v>
      </c>
      <c r="G1003" s="10" t="n">
        <f aca="false">IF(OR(F1003="",C1003=""),0,(F1003-C1003)*0.9)</f>
        <v>-0.341034125185264</v>
      </c>
      <c r="H1003" s="26" t="n">
        <f aca="false">IF(A1003&lt;Resumen!$B$11,"",IF(H1002="",0,H1002)+G1003/Resumen!$B$9)</f>
        <v>1.19854546540212</v>
      </c>
      <c r="I1003" s="26" t="n">
        <f aca="false">IF(H1003="","",H1003-AVERAGE(H955:H1051))</f>
        <v>-0.0343104705309805</v>
      </c>
      <c r="J1003" s="27" t="n">
        <f aca="false">IF(I1003="","",Resumen!$B$10-(MAX(I955:I1051)-I1003))</f>
        <v>1.62053090136694</v>
      </c>
    </row>
    <row r="1004" customFormat="false" ht="15" hidden="false" customHeight="false" outlineLevel="0" collapsed="false">
      <c r="A1004" s="24" t="n">
        <v>46271.8333333333</v>
      </c>
      <c r="B1004" s="10" t="n">
        <v>4.1211</v>
      </c>
      <c r="C1004" s="10" t="n">
        <v>2.4835</v>
      </c>
      <c r="D1004" s="10" t="n">
        <f aca="false">IF(OR(B1004="",C1004="",B1004&lt;=0.05,C1004&lt;=0.05),0,1)</f>
        <v>1</v>
      </c>
      <c r="E1004" s="25" t="n">
        <f aca="false">IF(OR(A1004&lt;Resumen!$B$6,A1004&gt;=Resumen!$B$7),0,MAX(0,AVERAGEIFS(B956:B1052,D956:D1052,1)-Resumen!$B$5*AVERAGEIFS(C956:C1052,D956:D1052,1)))</f>
        <v>0.459876834020619</v>
      </c>
      <c r="F1004" s="10" t="n">
        <f aca="false">IF(B1004="","",(B1004-E1004)/Resumen!$B$5)</f>
        <v>2.90804064017425</v>
      </c>
      <c r="G1004" s="10" t="n">
        <f aca="false">IF(OR(F1004="",C1004=""),0,(F1004-C1004)*0.9)</f>
        <v>0.382086576156826</v>
      </c>
      <c r="H1004" s="26" t="n">
        <f aca="false">IF(A1004&lt;Resumen!$B$11,"",IF(H1003="",0,H1003)+G1004/Resumen!$B$9)</f>
        <v>1.21660627369565</v>
      </c>
      <c r="I1004" s="26" t="n">
        <f aca="false">IF(H1004="","",H1004-AVERAGE(H956:H1052))</f>
        <v>-0.0131109570178163</v>
      </c>
      <c r="J1004" s="27" t="n">
        <f aca="false">IF(I1004="","",Resumen!$B$10-(MAX(I956:I1052)-I1004))</f>
        <v>1.64173041488011</v>
      </c>
    </row>
    <row r="1005" customFormat="false" ht="15" hidden="false" customHeight="false" outlineLevel="0" collapsed="false">
      <c r="A1005" s="24" t="n">
        <v>46271.84375</v>
      </c>
      <c r="B1005" s="10" t="n">
        <v>3.7462</v>
      </c>
      <c r="C1005" s="10" t="n">
        <v>2.3953</v>
      </c>
      <c r="D1005" s="10" t="n">
        <f aca="false">IF(OR(B1005="",C1005="",B1005&lt;=0.05,C1005&lt;=0.05),0,1)</f>
        <v>1</v>
      </c>
      <c r="E1005" s="25" t="n">
        <f aca="false">IF(OR(A1005&lt;Resumen!$B$6,A1005&gt;=Resumen!$B$7),0,MAX(0,AVERAGEIFS(B957:B1053,D957:D1053,1)-Resumen!$B$5*AVERAGEIFS(C957:C1053,D957:D1053,1)))</f>
        <v>0.451760507216495</v>
      </c>
      <c r="F1005" s="10" t="n">
        <f aca="false">IF(B1005="","",(B1005-E1005)/Resumen!$B$5)</f>
        <v>2.61671127306077</v>
      </c>
      <c r="G1005" s="10" t="n">
        <f aca="false">IF(OR(F1005="",C1005=""),0,(F1005-C1005)*0.9)</f>
        <v>0.19927014575469</v>
      </c>
      <c r="H1005" s="26" t="n">
        <f aca="false">IF(A1005&lt;Resumen!$B$11,"",IF(H1004="",0,H1004)+G1005/Resumen!$B$9)</f>
        <v>1.22602555227198</v>
      </c>
      <c r="I1005" s="26" t="n">
        <f aca="false">IF(H1005="","",H1005-AVERAGE(H957:H1053))</f>
        <v>-0.00024256702404557</v>
      </c>
      <c r="J1005" s="27" t="n">
        <f aca="false">IF(I1005="","",Resumen!$B$10-(MAX(I957:I1053)-I1005))</f>
        <v>1.65741847658302</v>
      </c>
    </row>
    <row r="1006" customFormat="false" ht="15" hidden="false" customHeight="false" outlineLevel="0" collapsed="false">
      <c r="A1006" s="24" t="n">
        <v>46271.8541666667</v>
      </c>
      <c r="B1006" s="10" t="n">
        <v>4.1316</v>
      </c>
      <c r="C1006" s="10" t="n">
        <v>2.8311</v>
      </c>
      <c r="D1006" s="10" t="n">
        <f aca="false">IF(OR(B1006="",C1006="",B1006&lt;=0.05,C1006&lt;=0.05),0,1)</f>
        <v>1</v>
      </c>
      <c r="E1006" s="25" t="n">
        <f aca="false">IF(OR(A1006&lt;Resumen!$B$6,A1006&gt;=Resumen!$B$7),0,MAX(0,AVERAGEIFS(B958:B1054,D958:D1054,1)-Resumen!$B$5*AVERAGEIFS(C958:C1054,D958:D1054,1)))</f>
        <v>0.461503658762887</v>
      </c>
      <c r="F1006" s="10" t="n">
        <f aca="false">IF(B1006="","",(B1006-E1006)/Resumen!$B$5)</f>
        <v>2.9150884362487</v>
      </c>
      <c r="G1006" s="10" t="n">
        <f aca="false">IF(OR(F1006="",C1006=""),0,(F1006-C1006)*0.9)</f>
        <v>0.0755895926238296</v>
      </c>
      <c r="H1006" s="26" t="n">
        <f aca="false">IF(A1006&lt;Resumen!$B$11,"",IF(H1005="",0,H1005)+G1006/Resumen!$B$9)</f>
        <v>1.2295985884019</v>
      </c>
      <c r="I1006" s="26" t="n">
        <f aca="false">IF(H1006="","",H1006-AVERAGE(H958:H1054))</f>
        <v>0.00648202727292757</v>
      </c>
      <c r="J1006" s="27" t="n">
        <f aca="false">IF(I1006="","",Resumen!$B$10-(MAX(I958:I1054)-I1006))</f>
        <v>1.69964476194446</v>
      </c>
    </row>
    <row r="1007" customFormat="false" ht="15" hidden="false" customHeight="false" outlineLevel="0" collapsed="false">
      <c r="A1007" s="24" t="n">
        <v>46271.8645833333</v>
      </c>
      <c r="B1007" s="10" t="n">
        <v>3.6478</v>
      </c>
      <c r="C1007" s="10" t="n">
        <v>1.993</v>
      </c>
      <c r="D1007" s="10" t="n">
        <f aca="false">IF(OR(B1007="",C1007="",B1007&lt;=0.05,C1007&lt;=0.05),0,1)</f>
        <v>1</v>
      </c>
      <c r="E1007" s="25" t="n">
        <f aca="false">IF(OR(A1007&lt;Resumen!$B$6,A1007&gt;=Resumen!$B$7),0,MAX(0,AVERAGEIFS(B959:B1055,D959:D1055,1)-Resumen!$B$5*AVERAGEIFS(C959:C1055,D959:D1055,1)))</f>
        <v>0.457519316494847</v>
      </c>
      <c r="F1007" s="10" t="n">
        <f aca="false">IF(B1007="","",(B1007-E1007)/Resumen!$B$5)</f>
        <v>2.53397989158471</v>
      </c>
      <c r="G1007" s="10" t="n">
        <f aca="false">IF(OR(F1007="",C1007=""),0,(F1007-C1007)*0.9)</f>
        <v>0.486881902426242</v>
      </c>
      <c r="H1007" s="26" t="n">
        <f aca="false">IF(A1007&lt;Resumen!$B$11,"",IF(H1006="",0,H1006)+G1007/Resumen!$B$9)</f>
        <v>1.25261295543295</v>
      </c>
      <c r="I1007" s="26" t="n">
        <f aca="false">IF(H1007="","",H1007-AVERAGE(H959:H1055))</f>
        <v>0.0328101548827762</v>
      </c>
      <c r="J1007" s="27" t="n">
        <f aca="false">IF(I1007="","",Resumen!$B$10-(MAX(I959:I1055)-I1007))</f>
        <v>1.76558759858699</v>
      </c>
    </row>
    <row r="1008" customFormat="false" ht="15" hidden="false" customHeight="false" outlineLevel="0" collapsed="false">
      <c r="A1008" s="24" t="n">
        <v>46271.875</v>
      </c>
      <c r="B1008" s="10" t="n">
        <v>3.6792</v>
      </c>
      <c r="C1008" s="10" t="n">
        <v>2.0748</v>
      </c>
      <c r="D1008" s="10" t="n">
        <f aca="false">IF(OR(B1008="",C1008="",B1008&lt;=0.05,C1008&lt;=0.05),0,1)</f>
        <v>1</v>
      </c>
      <c r="E1008" s="25" t="n">
        <f aca="false">IF(OR(A1008&lt;Resumen!$B$6,A1008&gt;=Resumen!$B$7),0,MAX(0,AVERAGEIFS(B960:B1056,D960:D1056,1)-Resumen!$B$5*AVERAGEIFS(C960:C1056,D960:D1056,1)))</f>
        <v>0.474741927835051</v>
      </c>
      <c r="F1008" s="10" t="n">
        <f aca="false">IF(B1008="","",(B1008-E1008)/Resumen!$B$5)</f>
        <v>2.54524072451545</v>
      </c>
      <c r="G1008" s="10" t="n">
        <f aca="false">IF(OR(F1008="",C1008=""),0,(F1008-C1008)*0.9)</f>
        <v>0.423396652063903</v>
      </c>
      <c r="H1008" s="26" t="n">
        <f aca="false">IF(A1008&lt;Resumen!$B$11,"",IF(H1007="",0,H1007)+G1008/Resumen!$B$9)</f>
        <v>1.27262644515552</v>
      </c>
      <c r="I1008" s="26" t="n">
        <f aca="false">IF(H1008="","",H1008-AVERAGE(H960:H1056))</f>
        <v>0.0555791946652926</v>
      </c>
      <c r="J1008" s="27" t="n">
        <f aca="false">IF(I1008="","",Resumen!$B$10-(MAX(I960:I1056)-I1008))</f>
        <v>1.81203531294273</v>
      </c>
    </row>
    <row r="1009" customFormat="false" ht="15" hidden="false" customHeight="false" outlineLevel="0" collapsed="false">
      <c r="A1009" s="24" t="n">
        <v>46271.8854166667</v>
      </c>
      <c r="B1009" s="10" t="n">
        <v>3.7131</v>
      </c>
      <c r="C1009" s="10" t="n">
        <v>2.3739</v>
      </c>
      <c r="D1009" s="10" t="n">
        <f aca="false">IF(OR(B1009="",C1009="",B1009&lt;=0.05,C1009&lt;=0.05),0,1)</f>
        <v>1</v>
      </c>
      <c r="E1009" s="25" t="n">
        <f aca="false">IF(OR(A1009&lt;Resumen!$B$6,A1009&gt;=Resumen!$B$7),0,MAX(0,AVERAGEIFS(B961:B1057,D961:D1057,1)-Resumen!$B$5*AVERAGEIFS(C961:C1057,D961:D1057,1)))</f>
        <v>0.499225930927835</v>
      </c>
      <c r="F1009" s="10" t="n">
        <f aca="false">IF(B1009="","",(B1009-E1009)/Resumen!$B$5)</f>
        <v>2.55271967360776</v>
      </c>
      <c r="G1009" s="10" t="n">
        <f aca="false">IF(OR(F1009="",C1009=""),0,(F1009-C1009)*0.9)</f>
        <v>0.16093770624698</v>
      </c>
      <c r="H1009" s="26" t="n">
        <f aca="false">IF(A1009&lt;Resumen!$B$11,"",IF(H1008="",0,H1008)+G1009/Resumen!$B$9)</f>
        <v>1.28023379186988</v>
      </c>
      <c r="I1009" s="26" t="n">
        <f aca="false">IF(H1009="","",H1009-AVERAGE(H961:H1057))</f>
        <v>0.065132701992719</v>
      </c>
      <c r="J1009" s="27" t="n">
        <f aca="false">IF(I1009="","",Resumen!$B$10-(MAX(I961:I1057)-I1009))</f>
        <v>1.82158882027016</v>
      </c>
    </row>
    <row r="1010" customFormat="false" ht="15" hidden="false" customHeight="false" outlineLevel="0" collapsed="false">
      <c r="A1010" s="24" t="n">
        <v>46271.8958333333</v>
      </c>
      <c r="B1010" s="10" t="n">
        <v>2.9819</v>
      </c>
      <c r="C1010" s="10" t="n">
        <v>2.121</v>
      </c>
      <c r="D1010" s="10" t="n">
        <f aca="false">IF(OR(B1010="",C1010="",B1010&lt;=0.05,C1010&lt;=0.05),0,1)</f>
        <v>1</v>
      </c>
      <c r="E1010" s="25" t="n">
        <f aca="false">IF(OR(A1010&lt;Resumen!$B$6,A1010&gt;=Resumen!$B$7),0,MAX(0,AVERAGEIFS(B962:B1058,D962:D1058,1)-Resumen!$B$5*AVERAGEIFS(C962:C1058,D962:D1058,1)))</f>
        <v>0.498240891752577</v>
      </c>
      <c r="F1010" s="10" t="n">
        <f aca="false">IF(B1010="","",(B1010-E1010)/Resumen!$B$5)</f>
        <v>1.9727236761298</v>
      </c>
      <c r="G1010" s="10" t="n">
        <f aca="false">IF(OR(F1010="",C1010=""),0,(F1010-C1010)*0.9)</f>
        <v>-0.133448691483176</v>
      </c>
      <c r="H1010" s="26" t="n">
        <f aca="false">IF(A1010&lt;Resumen!$B$11,"",IF(H1009="",0,H1009)+G1010/Resumen!$B$9)</f>
        <v>1.27392582036734</v>
      </c>
      <c r="I1010" s="26" t="n">
        <f aca="false">IF(H1010="","",H1010-AVERAGE(H962:H1058))</f>
        <v>0.0608220929433769</v>
      </c>
      <c r="J1010" s="27" t="n">
        <f aca="false">IF(I1010="","",Resumen!$B$10-(MAX(I962:I1058)-I1010))</f>
        <v>1.81727821122082</v>
      </c>
    </row>
    <row r="1011" customFormat="false" ht="15" hidden="false" customHeight="false" outlineLevel="0" collapsed="false">
      <c r="A1011" s="24" t="n">
        <v>46271.90625</v>
      </c>
      <c r="B1011" s="10" t="n">
        <v>3.1184</v>
      </c>
      <c r="C1011" s="10" t="n">
        <v>2.4095</v>
      </c>
      <c r="D1011" s="10" t="n">
        <f aca="false">IF(OR(B1011="",C1011="",B1011&lt;=0.05,C1011&lt;=0.05),0,1)</f>
        <v>1</v>
      </c>
      <c r="E1011" s="25" t="n">
        <f aca="false">IF(OR(A1011&lt;Resumen!$B$6,A1011&gt;=Resumen!$B$7),0,MAX(0,AVERAGEIFS(B963:B1059,D963:D1059,1)-Resumen!$B$5*AVERAGEIFS(C963:C1059,D963:D1059,1)))</f>
        <v>0.496428160824743</v>
      </c>
      <c r="F1011" s="10" t="n">
        <f aca="false">IF(B1011="","",(B1011-E1011)/Resumen!$B$5)</f>
        <v>2.08258287464278</v>
      </c>
      <c r="G1011" s="10" t="n">
        <f aca="false">IF(OR(F1011="",C1011=""),0,(F1011-C1011)*0.9)</f>
        <v>-0.2942254128215</v>
      </c>
      <c r="H1011" s="26" t="n">
        <f aca="false">IF(A1011&lt;Resumen!$B$11,"",IF(H1010="",0,H1010)+G1011/Resumen!$B$9)</f>
        <v>1.26001811172836</v>
      </c>
      <c r="I1011" s="26" t="n">
        <f aca="false">IF(H1011="","",H1011-AVERAGE(H963:H1059))</f>
        <v>0.0489974863567675</v>
      </c>
      <c r="J1011" s="27" t="n">
        <f aca="false">IF(I1011="","",Resumen!$B$10-(MAX(I963:I1059)-I1011))</f>
        <v>1.80545360463421</v>
      </c>
    </row>
    <row r="1012" customFormat="false" ht="15" hidden="false" customHeight="false" outlineLevel="0" collapsed="false">
      <c r="A1012" s="24" t="n">
        <v>46271.9166666667</v>
      </c>
      <c r="B1012" s="10" t="n">
        <v>2.8623</v>
      </c>
      <c r="C1012" s="10" t="n">
        <v>1.9567</v>
      </c>
      <c r="D1012" s="10" t="n">
        <f aca="false">IF(OR(B1012="",C1012="",B1012&lt;=0.05,C1012&lt;=0.05),0,1)</f>
        <v>1</v>
      </c>
      <c r="E1012" s="25" t="n">
        <f aca="false">IF(OR(A1012&lt;Resumen!$B$6,A1012&gt;=Resumen!$B$7),0,MAX(0,AVERAGEIFS(B964:B1060,D964:D1060,1)-Resumen!$B$5*AVERAGEIFS(C964:C1060,D964:D1060,1)))</f>
        <v>0.506677923711341</v>
      </c>
      <c r="F1012" s="10" t="n">
        <f aca="false">IF(B1012="","",(B1012-E1012)/Resumen!$B$5)</f>
        <v>1.87102627187344</v>
      </c>
      <c r="G1012" s="10" t="n">
        <f aca="false">IF(OR(F1012="",C1012=""),0,(F1012-C1012)*0.9)</f>
        <v>-0.0771063553139052</v>
      </c>
      <c r="H1012" s="26" t="n">
        <f aca="false">IF(A1012&lt;Resumen!$B$11,"",IF(H1011="",0,H1011)+G1012/Resumen!$B$9)</f>
        <v>1.25637337990987</v>
      </c>
      <c r="I1012" s="26" t="n">
        <f aca="false">IF(H1012="","",H1012-AVERAGE(H964:H1060))</f>
        <v>0.0471153266919246</v>
      </c>
      <c r="J1012" s="27" t="n">
        <f aca="false">IF(I1012="","",Resumen!$B$10-(MAX(I964:I1060)-I1012))</f>
        <v>1.80357144496936</v>
      </c>
    </row>
    <row r="1013" customFormat="false" ht="15" hidden="false" customHeight="false" outlineLevel="0" collapsed="false">
      <c r="A1013" s="24" t="n">
        <v>46271.9270833333</v>
      </c>
      <c r="B1013" s="10" t="n">
        <v>3.2689</v>
      </c>
      <c r="C1013" s="10" t="n">
        <v>1.8936</v>
      </c>
      <c r="D1013" s="10" t="n">
        <f aca="false">IF(OR(B1013="",C1013="",B1013&lt;=0.05,C1013&lt;=0.05),0,1)</f>
        <v>1</v>
      </c>
      <c r="E1013" s="25" t="n">
        <f aca="false">IF(OR(A1013&lt;Resumen!$B$6,A1013&gt;=Resumen!$B$7),0,MAX(0,AVERAGEIFS(B965:B1061,D965:D1061,1)-Resumen!$B$5*AVERAGEIFS(C965:C1061,D965:D1061,1)))</f>
        <v>0.492218835051546</v>
      </c>
      <c r="F1013" s="10" t="n">
        <f aca="false">IF(B1013="","",(B1013-E1013)/Resumen!$B$5)</f>
        <v>2.20546557978432</v>
      </c>
      <c r="G1013" s="10" t="n">
        <f aca="false">IF(OR(F1013="",C1013=""),0,(F1013-C1013)*0.9)</f>
        <v>0.280679021805885</v>
      </c>
      <c r="H1013" s="26" t="n">
        <f aca="false">IF(A1013&lt;Resumen!$B$11,"",IF(H1012="",0,H1012)+G1013/Resumen!$B$9)</f>
        <v>1.26964076568364</v>
      </c>
      <c r="I1013" s="26" t="n">
        <f aca="false">IF(H1013="","",H1013-AVERAGE(H965:H1061))</f>
        <v>0.0626611885626514</v>
      </c>
      <c r="J1013" s="27" t="n">
        <f aca="false">IF(I1013="","",Resumen!$B$10-(MAX(I965:I1061)-I1013))</f>
        <v>1.81911730684009</v>
      </c>
    </row>
    <row r="1014" customFormat="false" ht="15" hidden="false" customHeight="false" outlineLevel="0" collapsed="false">
      <c r="A1014" s="24" t="n">
        <v>46271.9375</v>
      </c>
      <c r="B1014" s="10" t="n">
        <v>3.5162</v>
      </c>
      <c r="C1014" s="10" t="n">
        <v>2.0575</v>
      </c>
      <c r="D1014" s="10" t="n">
        <f aca="false">IF(OR(B1014="",C1014="",B1014&lt;=0.05,C1014&lt;=0.05),0,1)</f>
        <v>1</v>
      </c>
      <c r="E1014" s="25" t="n">
        <f aca="false">IF(OR(A1014&lt;Resumen!$B$6,A1014&gt;=Resumen!$B$7),0,MAX(0,AVERAGEIFS(B966:B1062,D966:D1062,1)-Resumen!$B$5*AVERAGEIFS(C966:C1062,D966:D1062,1)))</f>
        <v>0.484233712371134</v>
      </c>
      <c r="F1014" s="10" t="n">
        <f aca="false">IF(B1014="","",(B1014-E1014)/Resumen!$B$5)</f>
        <v>2.4082337471238</v>
      </c>
      <c r="G1014" s="10" t="n">
        <f aca="false">IF(OR(F1014="",C1014=""),0,(F1014-C1014)*0.9)</f>
        <v>0.315660372411421</v>
      </c>
      <c r="H1014" s="26" t="n">
        <f aca="false">IF(A1014&lt;Resumen!$B$11,"",IF(H1013="",0,H1013)+G1014/Resumen!$B$9)</f>
        <v>1.28456168106709</v>
      </c>
      <c r="I1014" s="26" t="n">
        <f aca="false">IF(H1014="","",H1014-AVERAGE(H966:H1062))</f>
        <v>0.0801537426360128</v>
      </c>
      <c r="J1014" s="27" t="n">
        <f aca="false">IF(I1014="","",Resumen!$B$10-(MAX(I966:I1062)-I1014))</f>
        <v>1.83660986091345</v>
      </c>
    </row>
    <row r="1015" customFormat="false" ht="15" hidden="false" customHeight="false" outlineLevel="0" collapsed="false">
      <c r="A1015" s="24" t="n">
        <v>46271.9479166667</v>
      </c>
      <c r="B1015" s="10" t="n">
        <v>3.1847</v>
      </c>
      <c r="C1015" s="10" t="n">
        <v>1.8816</v>
      </c>
      <c r="D1015" s="10" t="n">
        <f aca="false">IF(OR(B1015="",C1015="",B1015&lt;=0.05,C1015&lt;=0.05),0,1)</f>
        <v>1</v>
      </c>
      <c r="E1015" s="25" t="n">
        <f aca="false">IF(OR(A1015&lt;Resumen!$B$6,A1015&gt;=Resumen!$B$7),0,MAX(0,AVERAGEIFS(B967:B1063,D967:D1063,1)-Resumen!$B$5*AVERAGEIFS(C967:C1063,D967:D1063,1)))</f>
        <v>0.490254717525773</v>
      </c>
      <c r="F1015" s="10" t="n">
        <f aca="false">IF(B1015="","",(B1015-E1015)/Resumen!$B$5)</f>
        <v>2.14014716638144</v>
      </c>
      <c r="G1015" s="10" t="n">
        <f aca="false">IF(OR(F1015="",C1015=""),0,(F1015-C1015)*0.9)</f>
        <v>0.232692449743292</v>
      </c>
      <c r="H1015" s="26" t="n">
        <f aca="false">IF(A1015&lt;Resumen!$B$11,"",IF(H1014="",0,H1014)+G1015/Resumen!$B$9)</f>
        <v>1.29556079485024</v>
      </c>
      <c r="I1015" s="26" t="n">
        <f aca="false">IF(H1015="","",H1015-AVERAGE(H967:H1063))</f>
        <v>0.09354388172256</v>
      </c>
      <c r="J1015" s="27" t="n">
        <f aca="false">IF(I1015="","",Resumen!$B$10-(MAX(I967:I1063)-I1015))</f>
        <v>1.85</v>
      </c>
    </row>
    <row r="1016" customFormat="false" ht="15" hidden="false" customHeight="false" outlineLevel="0" collapsed="false">
      <c r="A1016" s="24" t="n">
        <v>46271.9583333333</v>
      </c>
      <c r="B1016" s="10" t="n">
        <v>2.6566</v>
      </c>
      <c r="C1016" s="10" t="n">
        <v>1.8534</v>
      </c>
      <c r="D1016" s="10" t="n">
        <f aca="false">IF(OR(B1016="",C1016="",B1016&lt;=0.05,C1016&lt;=0.05),0,1)</f>
        <v>1</v>
      </c>
      <c r="E1016" s="25" t="n">
        <f aca="false">IF(OR(A1016&lt;Resumen!$B$6,A1016&gt;=Resumen!$B$7),0,MAX(0,AVERAGEIFS(B968:B1064,D968:D1064,1)-Resumen!$B$5*AVERAGEIFS(C968:C1064,D968:D1064,1)))</f>
        <v>0.603621155670103</v>
      </c>
      <c r="F1016" s="10" t="n">
        <f aca="false">IF(B1016="","",(B1016-E1016)/Resumen!$B$5)</f>
        <v>1.63064244982518</v>
      </c>
      <c r="G1016" s="10" t="n">
        <f aca="false">IF(OR(F1016="",C1016=""),0,(F1016-C1016)*0.9)</f>
        <v>-0.200481795157341</v>
      </c>
      <c r="H1016" s="26" t="n">
        <f aca="false">IF(A1016&lt;Resumen!$B$11,"",IF(H1015="",0,H1015)+G1016/Resumen!$B$9)</f>
        <v>1.28608424295172</v>
      </c>
      <c r="I1016" s="26" t="n">
        <f aca="false">IF(H1016="","",H1016-AVERAGE(H968:H1064))</f>
        <v>0.0826465532411789</v>
      </c>
      <c r="J1016" s="27" t="n">
        <f aca="false">IF(I1016="","",Resumen!$B$10-(MAX(I968:I1064)-I1016))</f>
        <v>1.75718739343967</v>
      </c>
    </row>
    <row r="1017" customFormat="false" ht="15" hidden="false" customHeight="false" outlineLevel="0" collapsed="false">
      <c r="A1017" s="24" t="n">
        <v>46271.96875</v>
      </c>
      <c r="B1017" s="10" t="n">
        <v>3.7334</v>
      </c>
      <c r="C1017" s="10" t="n">
        <v>2.5525</v>
      </c>
      <c r="D1017" s="10" t="n">
        <f aca="false">IF(OR(B1017="",C1017="",B1017&lt;=0.05,C1017&lt;=0.05),0,1)</f>
        <v>1</v>
      </c>
      <c r="E1017" s="25" t="n">
        <f aca="false">IF(OR(A1017&lt;Resumen!$B$6,A1017&gt;=Resumen!$B$7),0,MAX(0,AVERAGEIFS(B969:B1065,D969:D1065,1)-Resumen!$B$5*AVERAGEIFS(C969:C1065,D969:D1065,1)))</f>
        <v>0.603537306185567</v>
      </c>
      <c r="F1017" s="10" t="n">
        <f aca="false">IF(B1017="","",(B1017-E1017)/Resumen!$B$5)</f>
        <v>2.48599101970964</v>
      </c>
      <c r="G1017" s="10" t="n">
        <f aca="false">IF(OR(F1017="",C1017=""),0,(F1017-C1017)*0.9)</f>
        <v>-0.0598580822613266</v>
      </c>
      <c r="H1017" s="26" t="n">
        <f aca="false">IF(A1017&lt;Resumen!$B$11,"",IF(H1016="",0,H1016)+G1017/Resumen!$B$9)</f>
        <v>1.28325481785279</v>
      </c>
      <c r="I1017" s="26" t="n">
        <f aca="false">IF(H1017="","",H1017-AVERAGE(H969:H1065))</f>
        <v>0.078421729786627</v>
      </c>
      <c r="J1017" s="27" t="n">
        <f aca="false">IF(I1017="","",Resumen!$B$10-(MAX(I969:I1065)-I1017))</f>
        <v>1.74484069560188</v>
      </c>
    </row>
    <row r="1018" customFormat="false" ht="15" hidden="false" customHeight="false" outlineLevel="0" collapsed="false">
      <c r="A1018" s="24" t="n">
        <v>46271.9791666667</v>
      </c>
      <c r="B1018" s="10" t="n">
        <v>2.5332</v>
      </c>
      <c r="C1018" s="10" t="n">
        <v>1.69</v>
      </c>
      <c r="D1018" s="10" t="n">
        <f aca="false">IF(OR(B1018="",C1018="",B1018&lt;=0.05,C1018&lt;=0.05),0,1)</f>
        <v>1</v>
      </c>
      <c r="E1018" s="25" t="n">
        <f aca="false">IF(OR(A1018&lt;Resumen!$B$6,A1018&gt;=Resumen!$B$7),0,MAX(0,AVERAGEIFS(B970:B1066,D970:D1066,1)-Resumen!$B$5*AVERAGEIFS(C970:C1066,D970:D1066,1)))</f>
        <v>0.628128437113403</v>
      </c>
      <c r="F1018" s="10" t="n">
        <f aca="false">IF(B1018="","",(B1018-E1018)/Resumen!$B$5)</f>
        <v>1.51316248045004</v>
      </c>
      <c r="G1018" s="10" t="n">
        <f aca="false">IF(OR(F1018="",C1018=""),0,(F1018-C1018)*0.9)</f>
        <v>-0.159153767594966</v>
      </c>
      <c r="H1018" s="26" t="n">
        <f aca="false">IF(A1018&lt;Resumen!$B$11,"",IF(H1017="",0,H1017)+G1018/Resumen!$B$9)</f>
        <v>1.27573179593813</v>
      </c>
      <c r="I1018" s="26" t="n">
        <f aca="false">IF(H1018="","",H1018-AVERAGE(H970:H1066))</f>
        <v>0.0686971066095861</v>
      </c>
      <c r="J1018" s="27" t="n">
        <f aca="false">IF(I1018="","",Resumen!$B$10-(MAX(I970:I1066)-I1018))</f>
        <v>1.70391544917812</v>
      </c>
    </row>
    <row r="1019" customFormat="false" ht="15" hidden="false" customHeight="false" outlineLevel="0" collapsed="false">
      <c r="A1019" s="24" t="n">
        <v>46271.9895833333</v>
      </c>
      <c r="B1019" s="10" t="n">
        <v>3.1988</v>
      </c>
      <c r="C1019" s="10" t="n">
        <v>2.0035</v>
      </c>
      <c r="D1019" s="10" t="n">
        <f aca="false">IF(OR(B1019="",C1019="",B1019&lt;=0.05,C1019&lt;=0.05),0,1)</f>
        <v>1</v>
      </c>
      <c r="E1019" s="25" t="n">
        <f aca="false">IF(OR(A1019&lt;Resumen!$B$6,A1019&gt;=Resumen!$B$7),0,MAX(0,AVERAGEIFS(B971:B1067,D971:D1067,1)-Resumen!$B$5*AVERAGEIFS(C971:C1067,D971:D1067,1)))</f>
        <v>0.622301192783506</v>
      </c>
      <c r="F1019" s="10" t="n">
        <f aca="false">IF(B1019="","",(B1019-E1019)/Resumen!$B$5)</f>
        <v>2.04646450136338</v>
      </c>
      <c r="G1019" s="10" t="n">
        <f aca="false">IF(OR(F1019="",C1019=""),0,(F1019-C1019)*0.9)</f>
        <v>0.0386680512270413</v>
      </c>
      <c r="H1019" s="26" t="n">
        <f aca="false">IF(A1019&lt;Resumen!$B$11,"",IF(H1018="",0,H1018)+G1019/Resumen!$B$9)</f>
        <v>1.27755959179351</v>
      </c>
      <c r="I1019" s="26" t="n">
        <f aca="false">IF(H1019="","",H1019-AVERAGE(H971:H1067))</f>
        <v>0.0685454661040308</v>
      </c>
      <c r="J1019" s="27" t="n">
        <f aca="false">IF(I1019="","",Resumen!$B$10-(MAX(I971:I1067)-I1019))</f>
        <v>1.70376380867256</v>
      </c>
    </row>
    <row r="1020" customFormat="false" ht="15" hidden="false" customHeight="false" outlineLevel="0" collapsed="false">
      <c r="A1020" s="24" t="n">
        <v>46272</v>
      </c>
      <c r="B1020" s="10" t="n">
        <v>2.3682</v>
      </c>
      <c r="C1020" s="10" t="n">
        <v>1.664</v>
      </c>
      <c r="D1020" s="10" t="n">
        <f aca="false">IF(OR(B1020="",C1020="",B1020&lt;=0.05,C1020&lt;=0.05),0,1)</f>
        <v>1</v>
      </c>
      <c r="E1020" s="25" t="n">
        <f aca="false">IF(OR(A1020&lt;Resumen!$B$6,A1020&gt;=Resumen!$B$7),0,MAX(0,AVERAGEIFS(B972:B1068,D972:D1068,1)-Resumen!$B$5*AVERAGEIFS(C972:C1068,D972:D1068,1)))</f>
        <v>0.627953800000001</v>
      </c>
      <c r="F1020" s="10" t="n">
        <f aca="false">IF(B1020="","",(B1020-E1020)/Resumen!$B$5)</f>
        <v>1.3822447974583</v>
      </c>
      <c r="G1020" s="10" t="n">
        <f aca="false">IF(OR(F1020="",C1020=""),0,(F1020-C1020)*0.9)</f>
        <v>-0.25357968228753</v>
      </c>
      <c r="H1020" s="26" t="n">
        <f aca="false">IF(A1020&lt;Resumen!$B$11,"",IF(H1019="",0,H1019)+G1020/Resumen!$B$9)</f>
        <v>1.2655731617153</v>
      </c>
      <c r="I1020" s="26" t="n">
        <f aca="false">IF(H1020="","",H1020-AVERAGE(H972:H1068))</f>
        <v>0.0544101617453328</v>
      </c>
      <c r="J1020" s="27" t="n">
        <f aca="false">IF(I1020="","",Resumen!$B$10-(MAX(I972:I1068)-I1020))</f>
        <v>1.68962850431386</v>
      </c>
    </row>
    <row r="1021" customFormat="false" ht="15" hidden="false" customHeight="false" outlineLevel="0" collapsed="false">
      <c r="A1021" s="24" t="n">
        <v>46272.0104166667</v>
      </c>
      <c r="B1021" s="10" t="n">
        <v>2.4278</v>
      </c>
      <c r="C1021" s="10" t="n">
        <v>1.6805</v>
      </c>
      <c r="D1021" s="10" t="n">
        <f aca="false">IF(OR(B1021="",C1021="",B1021&lt;=0.05,C1021&lt;=0.05),0,1)</f>
        <v>1</v>
      </c>
      <c r="E1021" s="25" t="n">
        <f aca="false">IF(OR(A1021&lt;Resumen!$B$6,A1021&gt;=Resumen!$B$7),0,MAX(0,AVERAGEIFS(B973:B1069,D973:D1069,1)-Resumen!$B$5*AVERAGEIFS(C973:C1069,D973:D1069,1)))</f>
        <v>0.627696951546393</v>
      </c>
      <c r="F1021" s="10" t="n">
        <f aca="false">IF(B1021="","",(B1021-E1021)/Resumen!$B$5)</f>
        <v>1.42978796541192</v>
      </c>
      <c r="G1021" s="10" t="n">
        <f aca="false">IF(OR(F1021="",C1021=""),0,(F1021-C1021)*0.9)</f>
        <v>-0.225640831129272</v>
      </c>
      <c r="H1021" s="26" t="n">
        <f aca="false">IF(A1021&lt;Resumen!$B$11,"",IF(H1020="",0,H1020)+G1021/Resumen!$B$9)</f>
        <v>1.25490737011589</v>
      </c>
      <c r="I1021" s="26" t="n">
        <f aca="false">IF(H1021="","",H1021-AVERAGE(H973:H1069))</f>
        <v>0.0416289523823192</v>
      </c>
      <c r="J1021" s="27" t="n">
        <f aca="false">IF(I1021="","",Resumen!$B$10-(MAX(I973:I1069)-I1021))</f>
        <v>1.67684729495085</v>
      </c>
    </row>
    <row r="1022" customFormat="false" ht="15" hidden="false" customHeight="false" outlineLevel="0" collapsed="false">
      <c r="A1022" s="24" t="n">
        <v>46272.0208333333</v>
      </c>
      <c r="B1022" s="10" t="n">
        <v>2.7503</v>
      </c>
      <c r="C1022" s="10" t="n">
        <v>1.6708</v>
      </c>
      <c r="D1022" s="10" t="n">
        <f aca="false">IF(OR(B1022="",C1022="",B1022&lt;=0.05,C1022&lt;=0.05),0,1)</f>
        <v>1</v>
      </c>
      <c r="E1022" s="25" t="n">
        <f aca="false">IF(OR(A1022&lt;Resumen!$B$6,A1022&gt;=Resumen!$B$7),0,MAX(0,AVERAGEIFS(B974:B1070,D974:D1070,1)-Resumen!$B$5*AVERAGEIFS(C974:C1070,D974:D1070,1)))</f>
        <v>0.620501345360825</v>
      </c>
      <c r="F1022" s="10" t="n">
        <f aca="false">IF(B1022="","",(B1022-E1022)/Resumen!$B$5)</f>
        <v>1.69165897906209</v>
      </c>
      <c r="G1022" s="10" t="n">
        <f aca="false">IF(OR(F1022="",C1022=""),0,(F1022-C1022)*0.9)</f>
        <v>0.0187730811558839</v>
      </c>
      <c r="H1022" s="26" t="n">
        <f aca="false">IF(A1022&lt;Resumen!$B$11,"",IF(H1021="",0,H1021)+G1022/Resumen!$B$9)</f>
        <v>1.25579475282179</v>
      </c>
      <c r="I1022" s="26" t="n">
        <f aca="false">IF(H1022="","",H1022-AVERAGE(H974:H1070))</f>
        <v>0.0406703231702184</v>
      </c>
      <c r="J1022" s="27" t="n">
        <f aca="false">IF(I1022="","",Resumen!$B$10-(MAX(I974:I1070)-I1022))</f>
        <v>1.67588866573875</v>
      </c>
    </row>
    <row r="1023" customFormat="false" ht="15" hidden="false" customHeight="false" outlineLevel="0" collapsed="false">
      <c r="A1023" s="24" t="n">
        <v>46272.03125</v>
      </c>
      <c r="B1023" s="10" t="n">
        <v>2.8144</v>
      </c>
      <c r="C1023" s="10" t="n">
        <v>1.6887</v>
      </c>
      <c r="D1023" s="10" t="n">
        <f aca="false">IF(OR(B1023="",C1023="",B1023&lt;=0.05,C1023&lt;=0.05),0,1)</f>
        <v>1</v>
      </c>
      <c r="E1023" s="25" t="n">
        <f aca="false">IF(OR(A1023&lt;Resumen!$B$6,A1023&gt;=Resumen!$B$7),0,MAX(0,AVERAGEIFS(B975:B1071,D975:D1071,1)-Resumen!$B$5*AVERAGEIFS(C975:C1071,D975:D1071,1)))</f>
        <v>0.624171036082474</v>
      </c>
      <c r="F1023" s="10" t="n">
        <f aca="false">IF(B1023="","",(B1023-E1023)/Resumen!$B$5)</f>
        <v>1.73965763615371</v>
      </c>
      <c r="G1023" s="10" t="n">
        <f aca="false">IF(OR(F1023="",C1023=""),0,(F1023-C1023)*0.9)</f>
        <v>0.0458618725383425</v>
      </c>
      <c r="H1023" s="26" t="n">
        <f aca="false">IF(A1023&lt;Resumen!$B$11,"",IF(H1022="",0,H1022)+G1023/Resumen!$B$9)</f>
        <v>1.25796259262456</v>
      </c>
      <c r="I1023" s="26" t="n">
        <f aca="false">IF(H1023="","",H1023-AVERAGE(H975:H1071))</f>
        <v>0.0408945520764099</v>
      </c>
      <c r="J1023" s="27" t="n">
        <f aca="false">IF(I1023="","",Resumen!$B$10-(MAX(I975:I1071)-I1023))</f>
        <v>1.67611289464494</v>
      </c>
    </row>
    <row r="1024" customFormat="false" ht="15" hidden="false" customHeight="false" outlineLevel="0" collapsed="false">
      <c r="A1024" s="24" t="n">
        <v>46272.0416666667</v>
      </c>
      <c r="B1024" s="10" t="n">
        <v>2.2879</v>
      </c>
      <c r="C1024" s="10" t="n">
        <v>1.4784</v>
      </c>
      <c r="D1024" s="10" t="n">
        <f aca="false">IF(OR(B1024="",C1024="",B1024&lt;=0.05,C1024&lt;=0.05),0,1)</f>
        <v>1</v>
      </c>
      <c r="E1024" s="25" t="n">
        <f aca="false">IF(OR(A1024&lt;Resumen!$B$6,A1024&gt;=Resumen!$B$7),0,MAX(0,AVERAGEIFS(B976:B1072,D976:D1072,1)-Resumen!$B$5*AVERAGEIFS(C976:C1072,D976:D1072,1)))</f>
        <v>0.637990177319587</v>
      </c>
      <c r="F1024" s="10" t="n">
        <f aca="false">IF(B1024="","",(B1024-E1024)/Resumen!$B$5)</f>
        <v>1.31049231348722</v>
      </c>
      <c r="G1024" s="10" t="n">
        <f aca="false">IF(OR(F1024="",C1024=""),0,(F1024-C1024)*0.9)</f>
        <v>-0.1511169178615</v>
      </c>
      <c r="H1024" s="26" t="n">
        <f aca="false">IF(A1024&lt;Resumen!$B$11,"",IF(H1023="",0,H1023)+G1024/Resumen!$B$9)</f>
        <v>1.25081946367494</v>
      </c>
      <c r="I1024" s="26" t="n">
        <f aca="false">IF(H1024="","",H1024-AVERAGE(H976:H1072))</f>
        <v>0.0313651220133473</v>
      </c>
      <c r="J1024" s="27" t="n">
        <f aca="false">IF(I1024="","",Resumen!$B$10-(MAX(I976:I1072)-I1024))</f>
        <v>1.66658346458188</v>
      </c>
    </row>
    <row r="1025" customFormat="false" ht="15" hidden="false" customHeight="false" outlineLevel="0" collapsed="false">
      <c r="A1025" s="24" t="n">
        <v>46272.0520833333</v>
      </c>
      <c r="B1025" s="10" t="n">
        <v>2.2787</v>
      </c>
      <c r="C1025" s="10" t="n">
        <v>1.4916</v>
      </c>
      <c r="D1025" s="10" t="n">
        <f aca="false">IF(OR(B1025="",C1025="",B1025&lt;=0.05,C1025&lt;=0.05),0,1)</f>
        <v>1</v>
      </c>
      <c r="E1025" s="25" t="n">
        <f aca="false">IF(OR(A1025&lt;Resumen!$B$6,A1025&gt;=Resumen!$B$7),0,MAX(0,AVERAGEIFS(B977:B1073,D977:D1073,1)-Resumen!$B$5*AVERAGEIFS(C977:C1073,D977:D1073,1)))</f>
        <v>0.639229014432989</v>
      </c>
      <c r="F1025" s="10" t="n">
        <f aca="false">IF(B1025="","",(B1025-E1025)/Resumen!$B$5)</f>
        <v>1.30220094167356</v>
      </c>
      <c r="G1025" s="10" t="n">
        <f aca="false">IF(OR(F1025="",C1025=""),0,(F1025-C1025)*0.9)</f>
        <v>-0.170459152493797</v>
      </c>
      <c r="H1025" s="26" t="n">
        <f aca="false">IF(A1025&lt;Resumen!$B$11,"",IF(H1024="",0,H1024)+G1025/Resumen!$B$9)</f>
        <v>1.24276204876643</v>
      </c>
      <c r="I1025" s="26" t="n">
        <f aca="false">IF(H1025="","",H1025-AVERAGE(H977:H1073))</f>
        <v>0.0209031612650119</v>
      </c>
      <c r="J1025" s="27" t="n">
        <f aca="false">IF(I1025="","",Resumen!$B$10-(MAX(I977:I1073)-I1025))</f>
        <v>1.65612150383354</v>
      </c>
    </row>
    <row r="1026" customFormat="false" ht="15" hidden="false" customHeight="false" outlineLevel="0" collapsed="false">
      <c r="A1026" s="24" t="n">
        <v>46272.0625</v>
      </c>
      <c r="B1026" s="10" t="n">
        <v>2.5178</v>
      </c>
      <c r="C1026" s="10" t="n">
        <v>1.4354</v>
      </c>
      <c r="D1026" s="10" t="n">
        <f aca="false">IF(OR(B1026="",C1026="",B1026&lt;=0.05,C1026&lt;=0.05),0,1)</f>
        <v>1</v>
      </c>
      <c r="E1026" s="25" t="n">
        <f aca="false">IF(OR(A1026&lt;Resumen!$B$6,A1026&gt;=Resumen!$B$7),0,MAX(0,AVERAGEIFS(B978:B1074,D978:D1074,1)-Resumen!$B$5*AVERAGEIFS(C978:C1074,D978:D1074,1)))</f>
        <v>0.630937308247423</v>
      </c>
      <c r="F1026" s="10" t="n">
        <f aca="false">IF(B1026="","",(B1026-E1026)/Resumen!$B$5)</f>
        <v>1.49869951688052</v>
      </c>
      <c r="G1026" s="10" t="n">
        <f aca="false">IF(OR(F1026="",C1026=""),0,(F1026-C1026)*0.9)</f>
        <v>0.0569695651924695</v>
      </c>
      <c r="H1026" s="26" t="n">
        <f aca="false">IF(A1026&lt;Resumen!$B$11,"",IF(H1025="",0,H1025)+G1026/Resumen!$B$9)</f>
        <v>1.24545493687011</v>
      </c>
      <c r="I1026" s="26" t="n">
        <f aca="false">IF(H1026="","",H1026-AVERAGE(H978:H1074))</f>
        <v>0.0214952669003372</v>
      </c>
      <c r="J1026" s="27" t="n">
        <f aca="false">IF(I1026="","",Resumen!$B$10-(MAX(I978:I1074)-I1026))</f>
        <v>1.65671360946887</v>
      </c>
    </row>
    <row r="1027" customFormat="false" ht="15" hidden="false" customHeight="false" outlineLevel="0" collapsed="false">
      <c r="A1027" s="24" t="n">
        <v>46272.0729166667</v>
      </c>
      <c r="B1027" s="10" t="n">
        <v>2.5191</v>
      </c>
      <c r="C1027" s="10" t="n">
        <v>1.4268</v>
      </c>
      <c r="D1027" s="10" t="n">
        <f aca="false">IF(OR(B1027="",C1027="",B1027&lt;=0.05,C1027&lt;=0.05),0,1)</f>
        <v>1</v>
      </c>
      <c r="E1027" s="25" t="n">
        <f aca="false">IF(OR(A1027&lt;Resumen!$B$6,A1027&gt;=Resumen!$B$7),0,MAX(0,AVERAGEIFS(B979:B1075,D979:D1075,1)-Resumen!$B$5*AVERAGEIFS(C979:C1075,D979:D1075,1)))</f>
        <v>0.63472268556701</v>
      </c>
      <c r="F1027" s="10" t="n">
        <f aca="false">IF(B1027="","",(B1027-E1027)/Resumen!$B$5)</f>
        <v>1.49672542846147</v>
      </c>
      <c r="G1027" s="10" t="n">
        <f aca="false">IF(OR(F1027="",C1027=""),0,(F1027-C1027)*0.9)</f>
        <v>0.0629328856153223</v>
      </c>
      <c r="H1027" s="26" t="n">
        <f aca="false">IF(A1027&lt;Resumen!$B$11,"",IF(H1026="",0,H1026)+G1027/Resumen!$B$9)</f>
        <v>1.24842970451018</v>
      </c>
      <c r="I1027" s="26" t="n">
        <f aca="false">IF(H1027="","",H1027-AVERAGE(H979:H1075))</f>
        <v>0.0222642401518873</v>
      </c>
      <c r="J1027" s="27" t="n">
        <f aca="false">IF(I1027="","",Resumen!$B$10-(MAX(I979:I1075)-I1027))</f>
        <v>1.65748258272042</v>
      </c>
    </row>
    <row r="1028" customFormat="false" ht="15" hidden="false" customHeight="false" outlineLevel="0" collapsed="false">
      <c r="A1028" s="24" t="n">
        <v>46272.0833333333</v>
      </c>
      <c r="B1028" s="10" t="n">
        <v>2.727</v>
      </c>
      <c r="C1028" s="10" t="n">
        <v>1.6793</v>
      </c>
      <c r="D1028" s="10" t="n">
        <f aca="false">IF(OR(B1028="",C1028="",B1028&lt;=0.05,C1028&lt;=0.05),0,1)</f>
        <v>1</v>
      </c>
      <c r="E1028" s="25" t="n">
        <f aca="false">IF(OR(A1028&lt;Resumen!$B$6,A1028&gt;=Resumen!$B$7),0,MAX(0,AVERAGEIFS(B980:B1076,D980:D1076,1)-Resumen!$B$5*AVERAGEIFS(C980:C1076,D980:D1076,1)))</f>
        <v>0.63072831443299</v>
      </c>
      <c r="F1028" s="10" t="n">
        <f aca="false">IF(B1028="","",(B1028-E1028)/Resumen!$B$5)</f>
        <v>1.66502913865529</v>
      </c>
      <c r="G1028" s="10" t="n">
        <f aca="false">IF(OR(F1028="",C1028=""),0,(F1028-C1028)*0.9)</f>
        <v>-0.0128437752102392</v>
      </c>
      <c r="H1028" s="26" t="n">
        <f aca="false">IF(A1028&lt;Resumen!$B$11,"",IF(H1027="",0,H1027)+G1028/Resumen!$B$9)</f>
        <v>1.2478225935141</v>
      </c>
      <c r="I1028" s="26" t="n">
        <f aca="false">IF(H1028="","",H1028-AVERAGE(H980:H1076))</f>
        <v>0.0196114565667969</v>
      </c>
      <c r="J1028" s="27" t="n">
        <f aca="false">IF(I1028="","",Resumen!$B$10-(MAX(I980:I1076)-I1028))</f>
        <v>1.65482979913533</v>
      </c>
    </row>
    <row r="1029" customFormat="false" ht="15" hidden="false" customHeight="false" outlineLevel="0" collapsed="false">
      <c r="A1029" s="24" t="n">
        <v>46272.09375</v>
      </c>
      <c r="B1029" s="10" t="n">
        <v>2.5329</v>
      </c>
      <c r="C1029" s="10" t="n">
        <v>1.3182</v>
      </c>
      <c r="D1029" s="10" t="n">
        <f aca="false">IF(OR(B1029="",C1029="",B1029&lt;=0.05,C1029&lt;=0.05),0,1)</f>
        <v>1</v>
      </c>
      <c r="E1029" s="25" t="n">
        <f aca="false">IF(OR(A1029&lt;Resumen!$B$6,A1029&gt;=Resumen!$B$7),0,MAX(0,AVERAGEIFS(B981:B1077,D981:D1077,1)-Resumen!$B$5*AVERAGEIFS(C981:C1077,D981:D1077,1)))</f>
        <v>0.628115601030928</v>
      </c>
      <c r="F1029" s="10" t="n">
        <f aca="false">IF(B1029="","",(B1029-E1029)/Resumen!$B$5)</f>
        <v>1.51293439155605</v>
      </c>
      <c r="G1029" s="10" t="n">
        <f aca="false">IF(OR(F1029="",C1029=""),0,(F1029-C1029)*0.9)</f>
        <v>0.175260952400449</v>
      </c>
      <c r="H1029" s="26" t="n">
        <f aca="false">IF(A1029&lt;Resumen!$B$11,"",IF(H1028="",0,H1028)+G1029/Resumen!$B$9)</f>
        <v>1.25610698417363</v>
      </c>
      <c r="I1029" s="26" t="n">
        <f aca="false">IF(H1029="","",H1029-AVERAGE(H981:H1077))</f>
        <v>0.0259636851509655</v>
      </c>
      <c r="J1029" s="27" t="n">
        <f aca="false">IF(I1029="","",Resumen!$B$10-(MAX(I981:I1077)-I1029))</f>
        <v>1.6611820277195</v>
      </c>
    </row>
    <row r="1030" customFormat="false" ht="15" hidden="false" customHeight="false" outlineLevel="0" collapsed="false">
      <c r="A1030" s="24" t="n">
        <v>46272.1041666667</v>
      </c>
      <c r="B1030" s="10" t="n">
        <v>2.3107</v>
      </c>
      <c r="C1030" s="10" t="n">
        <v>1.5038</v>
      </c>
      <c r="D1030" s="10" t="n">
        <f aca="false">IF(OR(B1030="",C1030="",B1030&lt;=0.05,C1030&lt;=0.05),0,1)</f>
        <v>1</v>
      </c>
      <c r="E1030" s="25" t="n">
        <f aca="false">IF(OR(A1030&lt;Resumen!$B$6,A1030&gt;=Resumen!$B$7),0,MAX(0,AVERAGEIFS(B982:B1078,D982:D1078,1)-Resumen!$B$5*AVERAGEIFS(C982:C1078,D982:D1078,1)))</f>
        <v>0.618177438144331</v>
      </c>
      <c r="F1030" s="10" t="n">
        <f aca="false">IF(B1030="","",(B1030-E1030)/Resumen!$B$5)</f>
        <v>1.34433881005216</v>
      </c>
      <c r="G1030" s="10" t="n">
        <f aca="false">IF(OR(F1030="",C1030=""),0,(F1030-C1030)*0.9)</f>
        <v>-0.143515070953056</v>
      </c>
      <c r="H1030" s="26" t="n">
        <f aca="false">IF(A1030&lt;Resumen!$B$11,"",IF(H1029="",0,H1029)+G1030/Resumen!$B$9)</f>
        <v>1.24932318608843</v>
      </c>
      <c r="I1030" s="26" t="n">
        <f aca="false">IF(H1030="","",H1030-AVERAGE(H982:H1078))</f>
        <v>0.0176069832133619</v>
      </c>
      <c r="J1030" s="27" t="n">
        <f aca="false">IF(I1030="","",Resumen!$B$10-(MAX(I982:I1078)-I1030))</f>
        <v>1.65282532578189</v>
      </c>
    </row>
    <row r="1031" customFormat="false" ht="15" hidden="false" customHeight="false" outlineLevel="0" collapsed="false">
      <c r="A1031" s="24" t="n">
        <v>46272.1145833333</v>
      </c>
      <c r="B1031" s="10" t="n">
        <v>2.5277</v>
      </c>
      <c r="C1031" s="10" t="n">
        <v>1.5102</v>
      </c>
      <c r="D1031" s="10" t="n">
        <f aca="false">IF(OR(B1031="",C1031="",B1031&lt;=0.05,C1031&lt;=0.05),0,1)</f>
        <v>1</v>
      </c>
      <c r="E1031" s="25" t="n">
        <f aca="false">IF(OR(A1031&lt;Resumen!$B$6,A1031&gt;=Resumen!$B$7),0,MAX(0,AVERAGEIFS(B983:B1079,D983:D1079,1)-Resumen!$B$5*AVERAGEIFS(C983:C1079,D983:D1079,1)))</f>
        <v>0.619205006185567</v>
      </c>
      <c r="F1031" s="10" t="n">
        <f aca="false">IF(B1031="","",(B1031-E1031)/Resumen!$B$5)</f>
        <v>1.51588164719177</v>
      </c>
      <c r="G1031" s="10" t="n">
        <f aca="false">IF(OR(F1031="",C1031=""),0,(F1031-C1031)*0.9)</f>
        <v>0.0051134824725894</v>
      </c>
      <c r="H1031" s="26" t="n">
        <f aca="false">IF(A1031&lt;Resumen!$B$11,"",IF(H1030="",0,H1030)+G1031/Resumen!$B$9)</f>
        <v>1.24956489472834</v>
      </c>
      <c r="I1031" s="26" t="n">
        <f aca="false">IF(H1031="","",H1031-AVERAGE(H983:H1079))</f>
        <v>0.0162655604205155</v>
      </c>
      <c r="J1031" s="27" t="n">
        <f aca="false">IF(I1031="","",Resumen!$B$10-(MAX(I983:I1079)-I1031))</f>
        <v>1.65148390298905</v>
      </c>
    </row>
    <row r="1032" customFormat="false" ht="15" hidden="false" customHeight="false" outlineLevel="0" collapsed="false">
      <c r="A1032" s="24" t="n">
        <v>46272.125</v>
      </c>
      <c r="B1032" s="10" t="n">
        <v>2.5401</v>
      </c>
      <c r="C1032" s="10" t="n">
        <v>1.6535</v>
      </c>
      <c r="D1032" s="10" t="n">
        <f aca="false">IF(OR(B1032="",C1032="",B1032&lt;=0.05,C1032&lt;=0.05),0,1)</f>
        <v>1</v>
      </c>
      <c r="E1032" s="25" t="n">
        <f aca="false">IF(OR(A1032&lt;Resumen!$B$6,A1032&gt;=Resumen!$B$7),0,MAX(0,AVERAGEIFS(B984:B1080,D984:D1080,1)-Resumen!$B$5*AVERAGEIFS(C984:C1080,D984:D1080,1)))</f>
        <v>0.617968473195877</v>
      </c>
      <c r="F1032" s="10" t="n">
        <f aca="false">IF(B1032="","",(B1032-E1032)/Resumen!$B$5)</f>
        <v>1.52671288864505</v>
      </c>
      <c r="G1032" s="10" t="n">
        <f aca="false">IF(OR(F1032="",C1032=""),0,(F1032-C1032)*0.9)</f>
        <v>-0.114108400219451</v>
      </c>
      <c r="H1032" s="26" t="n">
        <f aca="false">IF(A1032&lt;Resumen!$B$11,"",IF(H1031="",0,H1031)+G1032/Resumen!$B$9)</f>
        <v>1.24417111732382</v>
      </c>
      <c r="I1032" s="26" t="n">
        <f aca="false">IF(H1032="","",H1032-AVERAGE(H984:H1080))</f>
        <v>0.00935474058483177</v>
      </c>
      <c r="J1032" s="27" t="n">
        <f aca="false">IF(I1032="","",Resumen!$B$10-(MAX(I984:I1080)-I1032))</f>
        <v>1.64457308315336</v>
      </c>
    </row>
    <row r="1033" customFormat="false" ht="15" hidden="false" customHeight="false" outlineLevel="0" collapsed="false">
      <c r="A1033" s="24" t="n">
        <v>46272.1354166667</v>
      </c>
      <c r="B1033" s="10" t="n">
        <v>2.5652</v>
      </c>
      <c r="C1033" s="10" t="n">
        <v>1.485</v>
      </c>
      <c r="D1033" s="10" t="n">
        <f aca="false">IF(OR(B1033="",C1033="",B1033&lt;=0.05,C1033&lt;=0.05),0,1)</f>
        <v>1</v>
      </c>
      <c r="E1033" s="25" t="n">
        <f aca="false">IF(OR(A1033&lt;Resumen!$B$6,A1033&gt;=Resumen!$B$7),0,MAX(0,AVERAGEIFS(B985:B1081,D985:D1081,1)-Resumen!$B$5*AVERAGEIFS(C985:C1081,D985:D1081,1)))</f>
        <v>0.619441675257732</v>
      </c>
      <c r="F1033" s="10" t="n">
        <f aca="false">IF(B1033="","",(B1033-E1033)/Resumen!$B$5)</f>
        <v>1.54547920948552</v>
      </c>
      <c r="G1033" s="10" t="n">
        <f aca="false">IF(OR(F1033="",C1033=""),0,(F1033-C1033)*0.9)</f>
        <v>0.0544312885369668</v>
      </c>
      <c r="H1033" s="26" t="n">
        <f aca="false">IF(A1033&lt;Resumen!$B$11,"",IF(H1032="",0,H1032)+G1033/Resumen!$B$9)</f>
        <v>1.24674402390777</v>
      </c>
      <c r="I1033" s="26" t="n">
        <f aca="false">IF(H1033="","",H1033-AVERAGE(H985:H1081))</f>
        <v>0.0103877866502016</v>
      </c>
      <c r="J1033" s="27" t="n">
        <f aca="false">IF(I1033="","",Resumen!$B$10-(MAX(I985:I1081)-I1033))</f>
        <v>1.64560612921873</v>
      </c>
    </row>
    <row r="1034" customFormat="false" ht="15" hidden="false" customHeight="false" outlineLevel="0" collapsed="false">
      <c r="A1034" s="24" t="n">
        <v>46272.1458333333</v>
      </c>
      <c r="B1034" s="10" t="n">
        <v>2.2349</v>
      </c>
      <c r="C1034" s="10" t="n">
        <v>1.4781</v>
      </c>
      <c r="D1034" s="10" t="n">
        <f aca="false">IF(OR(B1034="",C1034="",B1034&lt;=0.05,C1034&lt;=0.05),0,1)</f>
        <v>1</v>
      </c>
      <c r="E1034" s="25" t="n">
        <f aca="false">IF(OR(A1034&lt;Resumen!$B$6,A1034&gt;=Resumen!$B$7),0,MAX(0,AVERAGEIFS(B986:B1082,D986:D1082,1)-Resumen!$B$5*AVERAGEIFS(C986:C1082,D986:D1082,1)))</f>
        <v>0.622831837113402</v>
      </c>
      <c r="F1034" s="10" t="n">
        <f aca="false">IF(B1034="","",(B1034-E1034)/Resumen!$B$5)</f>
        <v>1.28043539546195</v>
      </c>
      <c r="G1034" s="10" t="n">
        <f aca="false">IF(OR(F1034="",C1034=""),0,(F1034-C1034)*0.9)</f>
        <v>-0.177898144084243</v>
      </c>
      <c r="H1034" s="26" t="n">
        <f aca="false">IF(A1034&lt;Resumen!$B$11,"",IF(H1033="",0,H1033)+G1034/Resumen!$B$9)</f>
        <v>1.23833497612495</v>
      </c>
      <c r="I1034" s="26" t="n">
        <f aca="false">IF(H1034="","",H1034-AVERAGE(H986:H1082))</f>
        <v>0.000347748963454908</v>
      </c>
      <c r="J1034" s="27" t="n">
        <f aca="false">IF(I1034="","",Resumen!$B$10-(MAX(I986:I1082)-I1034))</f>
        <v>1.63556609153199</v>
      </c>
    </row>
    <row r="1035" customFormat="false" ht="15" hidden="false" customHeight="false" outlineLevel="0" collapsed="false">
      <c r="A1035" s="24" t="n">
        <v>46272.15625</v>
      </c>
      <c r="B1035" s="10" t="n">
        <v>2.6436</v>
      </c>
      <c r="C1035" s="10" t="n">
        <v>1.4872</v>
      </c>
      <c r="D1035" s="10" t="n">
        <f aca="false">IF(OR(B1035="",C1035="",B1035&lt;=0.05,C1035&lt;=0.05),0,1)</f>
        <v>1</v>
      </c>
      <c r="E1035" s="25" t="n">
        <f aca="false">IF(OR(A1035&lt;Resumen!$B$6,A1035&gt;=Resumen!$B$7),0,MAX(0,AVERAGEIFS(B987:B1083,D987:D1083,1)-Resumen!$B$5*AVERAGEIFS(C987:C1083,D987:D1083,1)))</f>
        <v>0.615637865979382</v>
      </c>
      <c r="F1035" s="10" t="n">
        <f aca="false">IF(B1035="","",(B1035-E1035)/Resumen!$B$5)</f>
        <v>1.61077214775268</v>
      </c>
      <c r="G1035" s="10" t="n">
        <f aca="false">IF(OR(F1035="",C1035=""),0,(F1035-C1035)*0.9)</f>
        <v>0.111214932977408</v>
      </c>
      <c r="H1035" s="26" t="n">
        <f aca="false">IF(A1035&lt;Resumen!$B$11,"",IF(H1034="",0,H1034)+G1035/Resumen!$B$9)</f>
        <v>1.24359198254503</v>
      </c>
      <c r="I1035" s="26" t="n">
        <f aca="false">IF(H1035="","",H1035-AVERAGE(H987:H1083))</f>
        <v>0.00424228012689265</v>
      </c>
      <c r="J1035" s="27" t="n">
        <f aca="false">IF(I1035="","",Resumen!$B$10-(MAX(I987:I1083)-I1035))</f>
        <v>1.63946062269542</v>
      </c>
    </row>
    <row r="1036" customFormat="false" ht="15" hidden="false" customHeight="false" outlineLevel="0" collapsed="false">
      <c r="A1036" s="24" t="n">
        <v>46272.1666666667</v>
      </c>
      <c r="B1036" s="10" t="n">
        <v>2.5707</v>
      </c>
      <c r="C1036" s="10" t="n">
        <v>1.498</v>
      </c>
      <c r="D1036" s="10" t="n">
        <f aca="false">IF(OR(B1036="",C1036="",B1036&lt;=0.05,C1036&lt;=0.05),0,1)</f>
        <v>1</v>
      </c>
      <c r="E1036" s="25" t="n">
        <f aca="false">IF(OR(A1036&lt;Resumen!$B$6,A1036&gt;=Resumen!$B$7),0,MAX(0,AVERAGEIFS(B988:B1084,D988:D1084,1)-Resumen!$B$5*AVERAGEIFS(C988:C1084,D988:D1084,1)))</f>
        <v>0.614683</v>
      </c>
      <c r="F1036" s="10" t="n">
        <f aca="false">IF(B1036="","",(B1036-E1036)/Resumen!$B$5)</f>
        <v>1.55362748212867</v>
      </c>
      <c r="G1036" s="10" t="n">
        <f aca="false">IF(OR(F1036="",C1036=""),0,(F1036-C1036)*0.9)</f>
        <v>0.0500647339158062</v>
      </c>
      <c r="H1036" s="26" t="n">
        <f aca="false">IF(A1036&lt;Resumen!$B$11,"",IF(H1035="",0,H1035)+G1036/Resumen!$B$9)</f>
        <v>1.24595848693943</v>
      </c>
      <c r="I1036" s="26" t="n">
        <f aca="false">IF(H1036="","",H1036-AVERAGE(H988:H1084))</f>
        <v>0.00530421761879452</v>
      </c>
      <c r="J1036" s="27" t="n">
        <f aca="false">IF(I1036="","",Resumen!$B$10-(MAX(I988:I1084)-I1036))</f>
        <v>1.64052256018733</v>
      </c>
    </row>
    <row r="1037" customFormat="false" ht="15" hidden="false" customHeight="false" outlineLevel="0" collapsed="false">
      <c r="A1037" s="24" t="n">
        <v>46272.1770833333</v>
      </c>
      <c r="B1037" s="10" t="n">
        <v>2.6292</v>
      </c>
      <c r="C1037" s="10" t="n">
        <v>1.6181</v>
      </c>
      <c r="D1037" s="10" t="n">
        <f aca="false">IF(OR(B1037="",C1037="",B1037&lt;=0.05,C1037&lt;=0.05),0,1)</f>
        <v>1</v>
      </c>
      <c r="E1037" s="25" t="n">
        <f aca="false">IF(OR(A1037&lt;Resumen!$B$6,A1037&gt;=Resumen!$B$7),0,MAX(0,AVERAGEIFS(B989:B1085,D989:D1085,1)-Resumen!$B$5*AVERAGEIFS(C989:C1085,D989:D1085,1)))</f>
        <v>0.611815601030928</v>
      </c>
      <c r="F1037" s="10" t="n">
        <f aca="false">IF(B1037="","",(B1037-E1037)/Resumen!$B$5)</f>
        <v>1.60237045192142</v>
      </c>
      <c r="G1037" s="10" t="n">
        <f aca="false">IF(OR(F1037="",C1037=""),0,(F1037-C1037)*0.9)</f>
        <v>-0.0141565932707188</v>
      </c>
      <c r="H1037" s="26" t="n">
        <f aca="false">IF(A1037&lt;Resumen!$B$11,"",IF(H1036="",0,H1036)+G1037/Resumen!$B$9)</f>
        <v>1.24528932049102</v>
      </c>
      <c r="I1037" s="26" t="n">
        <f aca="false">IF(H1037="","",H1037-AVERAGE(H989:H1085))</f>
        <v>0.00345531583306946</v>
      </c>
      <c r="J1037" s="27" t="n">
        <f aca="false">IF(I1037="","",Resumen!$B$10-(MAX(I989:I1085)-I1037))</f>
        <v>1.6386736584016</v>
      </c>
    </row>
    <row r="1038" customFormat="false" ht="15" hidden="false" customHeight="false" outlineLevel="0" collapsed="false">
      <c r="A1038" s="24" t="n">
        <v>46272.1875</v>
      </c>
      <c r="B1038" s="10" t="n">
        <v>2.6047</v>
      </c>
      <c r="C1038" s="10" t="n">
        <v>1.6632</v>
      </c>
      <c r="D1038" s="10" t="n">
        <f aca="false">IF(OR(B1038="",C1038="",B1038&lt;=0.05,C1038&lt;=0.05),0,1)</f>
        <v>1</v>
      </c>
      <c r="E1038" s="25" t="n">
        <f aca="false">IF(OR(A1038&lt;Resumen!$B$6,A1038&gt;=Resumen!$B$7),0,MAX(0,AVERAGEIFS(B990:B1086,D990:D1086,1)-Resumen!$B$5*AVERAGEIFS(C990:C1086,D990:D1086,1)))</f>
        <v>0.618495696907218</v>
      </c>
      <c r="F1038" s="10" t="n">
        <f aca="false">IF(B1038="","",(B1038-E1038)/Resumen!$B$5)</f>
        <v>1.57760468871547</v>
      </c>
      <c r="G1038" s="10" t="n">
        <f aca="false">IF(OR(F1038="",C1038=""),0,(F1038-C1038)*0.9)</f>
        <v>-0.077035780156073</v>
      </c>
      <c r="H1038" s="26" t="n">
        <f aca="false">IF(A1038&lt;Resumen!$B$11,"",IF(H1037="",0,H1037)+G1038/Resumen!$B$9)</f>
        <v>1.2416479246819</v>
      </c>
      <c r="I1038" s="26" t="n">
        <f aca="false">IF(H1038="","",H1038-AVERAGE(H990:H1086))</f>
        <v>-0.00156130439477442</v>
      </c>
      <c r="J1038" s="27" t="n">
        <f aca="false">IF(I1038="","",Resumen!$B$10-(MAX(I990:I1086)-I1038))</f>
        <v>1.63365703817376</v>
      </c>
    </row>
    <row r="1039" customFormat="false" ht="15" hidden="false" customHeight="false" outlineLevel="0" collapsed="false">
      <c r="A1039" s="24" t="n">
        <v>46272.1979166667</v>
      </c>
      <c r="B1039" s="10" t="n">
        <v>2.5584</v>
      </c>
      <c r="C1039" s="10" t="n">
        <v>1.6832</v>
      </c>
      <c r="D1039" s="10" t="n">
        <f aca="false">IF(OR(B1039="",C1039="",B1039&lt;=0.05,C1039&lt;=0.05),0,1)</f>
        <v>1</v>
      </c>
      <c r="E1039" s="25" t="n">
        <f aca="false">IF(OR(A1039&lt;Resumen!$B$6,A1039&gt;=Resumen!$B$7),0,MAX(0,AVERAGEIFS(B991:B1087,D991:D1087,1)-Resumen!$B$5*AVERAGEIFS(C991:C1087,D991:D1087,1)))</f>
        <v>0.63032887628866</v>
      </c>
      <c r="F1039" s="10" t="n">
        <f aca="false">IF(B1039="","",(B1039-E1039)/Resumen!$B$5)</f>
        <v>1.53143059865873</v>
      </c>
      <c r="G1039" s="10" t="n">
        <f aca="false">IF(OR(F1039="",C1039=""),0,(F1039-C1039)*0.9)</f>
        <v>-0.136592461207144</v>
      </c>
      <c r="H1039" s="26" t="n">
        <f aca="false">IF(A1039&lt;Resumen!$B$11,"",IF(H1038="",0,H1038)+G1039/Resumen!$B$9)</f>
        <v>1.23519135067446</v>
      </c>
      <c r="I1039" s="26" t="n">
        <f aca="false">IF(H1039="","",H1039-AVERAGE(H991:H1087))</f>
        <v>-0.00976095330573545</v>
      </c>
      <c r="J1039" s="27" t="n">
        <f aca="false">IF(I1039="","",Resumen!$B$10-(MAX(I991:I1087)-I1039))</f>
        <v>1.6254573892628</v>
      </c>
    </row>
    <row r="1040" customFormat="false" ht="15" hidden="false" customHeight="false" outlineLevel="0" collapsed="false">
      <c r="A1040" s="24" t="n">
        <v>46272.2083333333</v>
      </c>
      <c r="B1040" s="10" t="n">
        <v>2.6462</v>
      </c>
      <c r="C1040" s="10" t="n">
        <v>2.1723</v>
      </c>
      <c r="D1040" s="10" t="n">
        <f aca="false">IF(OR(B1040="",C1040="",B1040&lt;=0.05,C1040&lt;=0.05),0,1)</f>
        <v>1</v>
      </c>
      <c r="E1040" s="25" t="n">
        <f aca="false">IF(OR(A1040&lt;Resumen!$B$6,A1040&gt;=Resumen!$B$7),0,MAX(0,AVERAGEIFS(B992:B1088,D992:D1088,1)-Resumen!$B$5*AVERAGEIFS(C992:C1088,D992:D1088,1)))</f>
        <v>0.64280315257732</v>
      </c>
      <c r="F1040" s="10" t="n">
        <f aca="false">IF(B1040="","",(B1040-E1040)/Resumen!$B$5)</f>
        <v>1.59126040303628</v>
      </c>
      <c r="G1040" s="10" t="n">
        <f aca="false">IF(OR(F1040="",C1040=""),0,(F1040-C1040)*0.9)</f>
        <v>-0.522935637267345</v>
      </c>
      <c r="H1040" s="26" t="n">
        <f aca="false">IF(A1040&lt;Resumen!$B$11,"",IF(H1039="",0,H1039)+G1040/Resumen!$B$9)</f>
        <v>1.2104727636214</v>
      </c>
      <c r="I1040" s="26" t="n">
        <f aca="false">IF(H1040="","",H1040-AVERAGE(H992:H1088))</f>
        <v>-0.0366110976316418</v>
      </c>
      <c r="J1040" s="27" t="n">
        <f aca="false">IF(I1040="","",Resumen!$B$10-(MAX(I992:I1088)-I1040))</f>
        <v>1.59860724493689</v>
      </c>
    </row>
    <row r="1041" customFormat="false" ht="15" hidden="false" customHeight="false" outlineLevel="0" collapsed="false">
      <c r="A1041" s="24" t="n">
        <v>46272.21875</v>
      </c>
      <c r="B1041" s="10" t="n">
        <v>3.692</v>
      </c>
      <c r="C1041" s="10" t="n">
        <v>1.9988</v>
      </c>
      <c r="D1041" s="10" t="n">
        <f aca="false">IF(OR(B1041="",C1041="",B1041&lt;=0.05,C1041&lt;=0.05),0,1)</f>
        <v>1</v>
      </c>
      <c r="E1041" s="25" t="n">
        <f aca="false">IF(OR(A1041&lt;Resumen!$B$6,A1041&gt;=Resumen!$B$7),0,MAX(0,AVERAGEIFS(B993:B1089,D993:D1089,1)-Resumen!$B$5*AVERAGEIFS(C993:C1089,D993:D1089,1)))</f>
        <v>0.639915731958763</v>
      </c>
      <c r="F1041" s="10" t="n">
        <f aca="false">IF(B1041="","",(B1041-E1041)/Resumen!$B$5)</f>
        <v>2.42421308025515</v>
      </c>
      <c r="G1041" s="10" t="n">
        <f aca="false">IF(OR(F1041="",C1041=""),0,(F1041-C1041)*0.9)</f>
        <v>0.382871772229638</v>
      </c>
      <c r="H1041" s="26" t="n">
        <f aca="false">IF(A1041&lt;Resumen!$B$11,"",IF(H1040="",0,H1040)+G1041/Resumen!$B$9)</f>
        <v>1.22857068726163</v>
      </c>
      <c r="I1041" s="26" t="n">
        <f aca="false">IF(H1041="","",H1041-AVERAGE(H993:H1089))</f>
        <v>-0.020500982245633</v>
      </c>
      <c r="J1041" s="27" t="n">
        <f aca="false">IF(I1041="","",Resumen!$B$10-(MAX(I993:I1089)-I1041))</f>
        <v>1.6147173603229</v>
      </c>
    </row>
    <row r="1042" customFormat="false" ht="15" hidden="false" customHeight="false" outlineLevel="0" collapsed="false">
      <c r="A1042" s="24" t="n">
        <v>46272.2291666667</v>
      </c>
      <c r="B1042" s="10" t="n">
        <v>3.3376</v>
      </c>
      <c r="C1042" s="10" t="n">
        <v>2.6769</v>
      </c>
      <c r="D1042" s="10" t="n">
        <f aca="false">IF(OR(B1042="",C1042="",B1042&lt;=0.05,C1042&lt;=0.05),0,1)</f>
        <v>1</v>
      </c>
      <c r="E1042" s="25" t="n">
        <f aca="false">IF(OR(A1042&lt;Resumen!$B$6,A1042&gt;=Resumen!$B$7),0,MAX(0,AVERAGEIFS(B994:B1090,D994:D1090,1)-Resumen!$B$5*AVERAGEIFS(C994:C1090,D994:D1090,1)))</f>
        <v>0.640202095876289</v>
      </c>
      <c r="F1042" s="10" t="n">
        <f aca="false">IF(B1042="","",(B1042-E1042)/Resumen!$B$5)</f>
        <v>2.1424923781761</v>
      </c>
      <c r="G1042" s="10" t="n">
        <f aca="false">IF(OR(F1042="",C1042=""),0,(F1042-C1042)*0.9)</f>
        <v>-0.480966859641509</v>
      </c>
      <c r="H1042" s="26" t="n">
        <f aca="false">IF(A1042&lt;Resumen!$B$11,"",IF(H1041="",0,H1041)+G1042/Resumen!$B$9)</f>
        <v>1.20583591773662</v>
      </c>
      <c r="I1042" s="26" t="n">
        <f aca="false">IF(H1042="","",H1042-AVERAGE(H994:H1090))</f>
        <v>-0.0451911423120648</v>
      </c>
      <c r="J1042" s="27" t="n">
        <f aca="false">IF(I1042="","",Resumen!$B$10-(MAX(I994:I1090)-I1042))</f>
        <v>1.59002720025647</v>
      </c>
    </row>
    <row r="1043" customFormat="false" ht="15" hidden="false" customHeight="false" outlineLevel="0" collapsed="false">
      <c r="A1043" s="24" t="n">
        <v>46272.2395833333</v>
      </c>
      <c r="B1043" s="10" t="n">
        <v>4.2142</v>
      </c>
      <c r="C1043" s="10" t="n">
        <v>3.422</v>
      </c>
      <c r="D1043" s="10" t="n">
        <f aca="false">IF(OR(B1043="",C1043="",B1043&lt;=0.05,C1043&lt;=0.05),0,1)</f>
        <v>1</v>
      </c>
      <c r="E1043" s="25" t="n">
        <f aca="false">IF(OR(A1043&lt;Resumen!$B$6,A1043&gt;=Resumen!$B$7),0,MAX(0,AVERAGEIFS(B995:B1091,D995:D1091,1)-Resumen!$B$5*AVERAGEIFS(C995:C1091,D995:D1091,1)))</f>
        <v>0.630233454639176</v>
      </c>
      <c r="F1043" s="10" t="n">
        <f aca="false">IF(B1043="","",(B1043-E1043)/Resumen!$B$5)</f>
        <v>2.84667716073139</v>
      </c>
      <c r="G1043" s="10" t="n">
        <f aca="false">IF(OR(F1043="",C1043=""),0,(F1043-C1043)*0.9)</f>
        <v>-0.517790555341746</v>
      </c>
      <c r="H1043" s="26" t="n">
        <f aca="false">IF(A1043&lt;Resumen!$B$11,"",IF(H1042="",0,H1042)+G1043/Resumen!$B$9)</f>
        <v>1.18136053299452</v>
      </c>
      <c r="I1043" s="26" t="n">
        <f aca="false">IF(H1043="","",H1043-AVERAGE(H995:H1091))</f>
        <v>-0.0712366874281887</v>
      </c>
      <c r="J1043" s="27" t="n">
        <f aca="false">IF(I1043="","",Resumen!$B$10-(MAX(I995:I1091)-I1043))</f>
        <v>1.56398165514034</v>
      </c>
    </row>
    <row r="1044" customFormat="false" ht="15" hidden="false" customHeight="false" outlineLevel="0" collapsed="false">
      <c r="A1044" s="24" t="n">
        <v>46272.25</v>
      </c>
      <c r="B1044" s="10" t="n">
        <v>5.461</v>
      </c>
      <c r="C1044" s="10" t="n">
        <v>3.9749</v>
      </c>
      <c r="D1044" s="10" t="n">
        <f aca="false">IF(OR(B1044="",C1044="",B1044&lt;=0.05,C1044&lt;=0.05),0,1)</f>
        <v>1</v>
      </c>
      <c r="E1044" s="25" t="n">
        <f aca="false">IF(OR(A1044&lt;Resumen!$B$6,A1044&gt;=Resumen!$B$7),0,MAX(0,AVERAGEIFS(B996:B1092,D996:D1092,1)-Resumen!$B$5*AVERAGEIFS(C996:C1092,D996:D1092,1)))</f>
        <v>0.633517395876289</v>
      </c>
      <c r="F1044" s="10" t="n">
        <f aca="false">IF(B1044="","",(B1044-E1044)/Resumen!$B$5)</f>
        <v>3.83437855768365</v>
      </c>
      <c r="G1044" s="10" t="n">
        <f aca="false">IF(OR(F1044="",C1044=""),0,(F1044-C1044)*0.9)</f>
        <v>-0.126469298084718</v>
      </c>
      <c r="H1044" s="26" t="n">
        <f aca="false">IF(A1044&lt;Resumen!$B$11,"",IF(H1043="",0,H1043)+G1044/Resumen!$B$9)</f>
        <v>1.17538246966998</v>
      </c>
      <c r="I1044" s="26" t="n">
        <f aca="false">IF(H1044="","",H1044-AVERAGE(H996:H1092))</f>
        <v>-0.0788419427004554</v>
      </c>
      <c r="J1044" s="27" t="n">
        <f aca="false">IF(I1044="","",Resumen!$B$10-(MAX(I996:I1092)-I1044))</f>
        <v>1.55637639986808</v>
      </c>
    </row>
    <row r="1045" customFormat="false" ht="15" hidden="false" customHeight="false" outlineLevel="0" collapsed="false">
      <c r="A1045" s="24" t="n">
        <v>46272.2604166667</v>
      </c>
      <c r="B1045" s="10" t="n">
        <v>4.9355</v>
      </c>
      <c r="C1045" s="10" t="n">
        <v>3.6126</v>
      </c>
      <c r="D1045" s="10" t="n">
        <f aca="false">IF(OR(B1045="",C1045="",B1045&lt;=0.05,C1045&lt;=0.05),0,1)</f>
        <v>1</v>
      </c>
      <c r="E1045" s="25" t="n">
        <f aca="false">IF(OR(A1045&lt;Resumen!$B$6,A1045&gt;=Resumen!$B$7),0,MAX(0,AVERAGEIFS(B997:B1093,D997:D1093,1)-Resumen!$B$5*AVERAGEIFS(C997:C1093,D997:D1093,1)))</f>
        <v>0.639402650515464</v>
      </c>
      <c r="F1045" s="10" t="n">
        <f aca="false">IF(B1045="","",(B1045-E1045)/Resumen!$B$5)</f>
        <v>3.41230925296627</v>
      </c>
      <c r="G1045" s="10" t="n">
        <f aca="false">IF(OR(F1045="",C1045=""),0,(F1045-C1045)*0.9)</f>
        <v>-0.180261672330355</v>
      </c>
      <c r="H1045" s="26" t="n">
        <f aca="false">IF(A1045&lt;Resumen!$B$11,"",IF(H1044="",0,H1044)+G1045/Resumen!$B$9)</f>
        <v>1.16686170053075</v>
      </c>
      <c r="I1045" s="26" t="n">
        <f aca="false">IF(H1045="","",H1045-AVERAGE(H997:H1093))</f>
        <v>-0.0891355883609004</v>
      </c>
      <c r="J1045" s="27" t="n">
        <f aca="false">IF(I1045="","",Resumen!$B$10-(MAX(I997:I1093)-I1045))</f>
        <v>1.54608275420763</v>
      </c>
    </row>
    <row r="1046" customFormat="false" ht="15" hidden="false" customHeight="false" outlineLevel="0" collapsed="false">
      <c r="A1046" s="24" t="n">
        <v>46272.2708333333</v>
      </c>
      <c r="B1046" s="10" t="n">
        <v>4.9749</v>
      </c>
      <c r="C1046" s="10" t="n">
        <v>3.6478</v>
      </c>
      <c r="D1046" s="10" t="n">
        <f aca="false">IF(OR(B1046="",C1046="",B1046&lt;=0.05,C1046&lt;=0.05),0,1)</f>
        <v>1</v>
      </c>
      <c r="E1046" s="25" t="n">
        <f aca="false">IF(OR(A1046&lt;Resumen!$B$6,A1046&gt;=Resumen!$B$7),0,MAX(0,AVERAGEIFS(B998:B1094,D998:D1094,1)-Resumen!$B$5*AVERAGEIFS(C998:C1094,D998:D1094,1)))</f>
        <v>0.632650892783506</v>
      </c>
      <c r="F1046" s="10" t="n">
        <f aca="false">IF(B1046="","",(B1046-E1046)/Resumen!$B$5)</f>
        <v>3.44896672535067</v>
      </c>
      <c r="G1046" s="10" t="n">
        <f aca="false">IF(OR(F1046="",C1046=""),0,(F1046-C1046)*0.9)</f>
        <v>-0.178949947184397</v>
      </c>
      <c r="H1046" s="26" t="n">
        <f aca="false">IF(A1046&lt;Resumen!$B$11,"",IF(H1045="",0,H1045)+G1046/Resumen!$B$9)</f>
        <v>1.158402935183</v>
      </c>
      <c r="I1046" s="26" t="n">
        <f aca="false">IF(H1046="","",H1046-AVERAGE(H998:H1094))</f>
        <v>-0.0990827179427438</v>
      </c>
      <c r="J1046" s="27" t="n">
        <f aca="false">IF(I1046="","",Resumen!$B$10-(MAX(I998:I1094)-I1046))</f>
        <v>1.53613562462579</v>
      </c>
    </row>
    <row r="1047" customFormat="false" ht="15" hidden="false" customHeight="false" outlineLevel="0" collapsed="false">
      <c r="A1047" s="24" t="n">
        <v>46272.28125</v>
      </c>
      <c r="B1047" s="10" t="n">
        <v>5.7177</v>
      </c>
      <c r="C1047" s="10" t="n">
        <v>4.0333</v>
      </c>
      <c r="D1047" s="10" t="n">
        <f aca="false">IF(OR(B1047="",C1047="",B1047&lt;=0.05,C1047&lt;=0.05),0,1)</f>
        <v>1</v>
      </c>
      <c r="E1047" s="25" t="n">
        <f aca="false">IF(OR(A1047&lt;Resumen!$B$6,A1047&gt;=Resumen!$B$7),0,MAX(0,AVERAGEIFS(B999:B1095,D999:D1095,1)-Resumen!$B$5*AVERAGEIFS(C999:C1095,D999:D1095,1)))</f>
        <v>0.639331163917526</v>
      </c>
      <c r="F1047" s="10" t="n">
        <f aca="false">IF(B1047="","",(B1047-E1047)/Resumen!$B$5)</f>
        <v>4.03365276892969</v>
      </c>
      <c r="G1047" s="10" t="n">
        <f aca="false">IF(OR(F1047="",C1047=""),0,(F1047-C1047)*0.9)</f>
        <v>0.000317492036717049</v>
      </c>
      <c r="H1047" s="26" t="n">
        <f aca="false">IF(A1047&lt;Resumen!$B$11,"",IF(H1046="",0,H1046)+G1047/Resumen!$B$9)</f>
        <v>1.15841794267913</v>
      </c>
      <c r="I1047" s="26" t="n">
        <f aca="false">IF(H1047="","",H1047-AVERAGE(H999:H1095))</f>
        <v>-0.10072208169037</v>
      </c>
      <c r="J1047" s="27" t="n">
        <f aca="false">IF(I1047="","",Resumen!$B$10-(MAX(I999:I1095)-I1047))</f>
        <v>1.53449626087816</v>
      </c>
    </row>
    <row r="1048" customFormat="false" ht="15" hidden="false" customHeight="false" outlineLevel="0" collapsed="false">
      <c r="A1048" s="24" t="n">
        <v>46272.2916666667</v>
      </c>
      <c r="B1048" s="10" t="n">
        <v>4.5097</v>
      </c>
      <c r="C1048" s="10" t="n">
        <v>3.8399</v>
      </c>
      <c r="D1048" s="10" t="n">
        <f aca="false">IF(OR(B1048="",C1048="",B1048&lt;=0.05,C1048&lt;=0.05),0,1)</f>
        <v>1</v>
      </c>
      <c r="E1048" s="25" t="n">
        <f aca="false">IF(OR(A1048&lt;Resumen!$B$6,A1048&gt;=Resumen!$B$7),0,MAX(0,AVERAGEIFS(B1000:B1096,D1000:D1096,1)-Resumen!$B$5*AVERAGEIFS(C1000:C1096,D1000:D1096,1)))</f>
        <v>0.626723603092783</v>
      </c>
      <c r="F1048" s="10" t="n">
        <f aca="false">IF(B1048="","",(B1048-E1048)/Resumen!$B$5)</f>
        <v>3.08417505711455</v>
      </c>
      <c r="G1048" s="10" t="n">
        <f aca="false">IF(OR(F1048="",C1048=""),0,(F1048-C1048)*0.9)</f>
        <v>-0.680152448596907</v>
      </c>
      <c r="H1048" s="26" t="n">
        <f aca="false">IF(A1048&lt;Resumen!$B$11,"",IF(H1047="",0,H1047)+G1048/Resumen!$B$9)</f>
        <v>1.12626789148381</v>
      </c>
      <c r="I1048" s="26" t="n">
        <f aca="false">IF(H1048="","",H1048-AVERAGE(H1000:H1096))</f>
        <v>-0.134041824249829</v>
      </c>
      <c r="J1048" s="27" t="n">
        <f aca="false">IF(I1048="","",Resumen!$B$10-(MAX(I1000:I1096)-I1048))</f>
        <v>1.5011765183187</v>
      </c>
    </row>
    <row r="1049" customFormat="false" ht="15" hidden="false" customHeight="false" outlineLevel="0" collapsed="false">
      <c r="A1049" s="24" t="n">
        <v>46272.3020833333</v>
      </c>
      <c r="B1049" s="10" t="n">
        <v>5.0557</v>
      </c>
      <c r="C1049" s="10" t="n">
        <v>3.7614</v>
      </c>
      <c r="D1049" s="10" t="n">
        <f aca="false">IF(OR(B1049="",C1049="",B1049&lt;=0.05,C1049&lt;=0.05),0,1)</f>
        <v>1</v>
      </c>
      <c r="E1049" s="25" t="n">
        <f aca="false">IF(OR(A1049&lt;Resumen!$B$6,A1049&gt;=Resumen!$B$7),0,MAX(0,AVERAGEIFS(B1001:B1097,D1001:D1097,1)-Resumen!$B$5*AVERAGEIFS(C1001:C1097,D1001:D1097,1)))</f>
        <v>0.624810718556701</v>
      </c>
      <c r="F1049" s="10" t="n">
        <f aca="false">IF(B1049="","",(B1049-E1049)/Resumen!$B$5)</f>
        <v>3.51937194713527</v>
      </c>
      <c r="G1049" s="10" t="n">
        <f aca="false">IF(OR(F1049="",C1049=""),0,(F1049-C1049)*0.9)</f>
        <v>-0.217825247578261</v>
      </c>
      <c r="H1049" s="26" t="n">
        <f aca="false">IF(A1049&lt;Resumen!$B$11,"",IF(H1048="",0,H1048)+G1049/Resumen!$B$9)</f>
        <v>1.11597153384264</v>
      </c>
      <c r="I1049" s="26" t="n">
        <f aca="false">IF(H1049="","",H1049-AVERAGE(H1001:H1097))</f>
        <v>-0.145374476786446</v>
      </c>
      <c r="J1049" s="27" t="n">
        <f aca="false">IF(I1049="","",Resumen!$B$10-(MAX(I1001:I1097)-I1049))</f>
        <v>1.48984386578209</v>
      </c>
    </row>
    <row r="1050" customFormat="false" ht="15" hidden="false" customHeight="false" outlineLevel="0" collapsed="false">
      <c r="A1050" s="24" t="n">
        <v>46272.3125</v>
      </c>
      <c r="B1050" s="10" t="n">
        <v>5.3066</v>
      </c>
      <c r="C1050" s="10" t="n">
        <v>3.6343</v>
      </c>
      <c r="D1050" s="10" t="n">
        <f aca="false">IF(OR(B1050="",C1050="",B1050&lt;=0.05,C1050&lt;=0.05),0,1)</f>
        <v>1</v>
      </c>
      <c r="E1050" s="25" t="n">
        <f aca="false">IF(OR(A1050&lt;Resumen!$B$6,A1050&gt;=Resumen!$B$7),0,MAX(0,AVERAGEIFS(B1002:B1098,D1002:D1098,1)-Resumen!$B$5*AVERAGEIFS(C1002:C1098,D1002:D1098,1)))</f>
        <v>0.622000339175258</v>
      </c>
      <c r="F1050" s="10" t="n">
        <f aca="false">IF(B1050="","",(B1050-E1050)/Resumen!$B$5)</f>
        <v>3.72088932551608</v>
      </c>
      <c r="G1050" s="10" t="n">
        <f aca="false">IF(OR(F1050="",C1050=""),0,(F1050-C1050)*0.9)</f>
        <v>0.0779303929644707</v>
      </c>
      <c r="H1050" s="26" t="n">
        <f aca="false">IF(A1050&lt;Resumen!$B$11,"",IF(H1049="",0,H1049)+G1050/Resumen!$B$9)</f>
        <v>1.1196552170061</v>
      </c>
      <c r="I1050" s="26" t="n">
        <f aca="false">IF(H1050="","",H1050-AVERAGE(H1002:H1098))</f>
        <v>-0.142558553743251</v>
      </c>
      <c r="J1050" s="27" t="n">
        <f aca="false">IF(I1050="","",Resumen!$B$10-(MAX(I1002:I1098)-I1050))</f>
        <v>1.49265978882528</v>
      </c>
    </row>
    <row r="1051" customFormat="false" ht="15" hidden="false" customHeight="false" outlineLevel="0" collapsed="false">
      <c r="A1051" s="24" t="n">
        <v>46272.3229166667</v>
      </c>
      <c r="B1051" s="10" t="n">
        <v>5.5264</v>
      </c>
      <c r="C1051" s="10" t="n">
        <v>3.5405</v>
      </c>
      <c r="D1051" s="10" t="n">
        <f aca="false">IF(OR(B1051="",C1051="",B1051&lt;=0.05,C1051&lt;=0.05),0,1)</f>
        <v>1</v>
      </c>
      <c r="E1051" s="25" t="n">
        <f aca="false">IF(OR(A1051&lt;Resumen!$B$6,A1051&gt;=Resumen!$B$7),0,MAX(0,AVERAGEIFS(B1003:B1099,D1003:D1099,1)-Resumen!$B$5*AVERAGEIFS(C1003:C1099,D1003:D1099,1)))</f>
        <v>0.61991650515464</v>
      </c>
      <c r="F1051" s="10" t="n">
        <f aca="false">IF(B1051="","",(B1051-E1051)/Resumen!$B$5)</f>
        <v>3.89712747803444</v>
      </c>
      <c r="G1051" s="10" t="n">
        <f aca="false">IF(OR(F1051="",C1051=""),0,(F1051-C1051)*0.9)</f>
        <v>0.320964730230996</v>
      </c>
      <c r="H1051" s="26" t="n">
        <f aca="false">IF(A1051&lt;Resumen!$B$11,"",IF(H1050="",0,H1050)+G1051/Resumen!$B$9)</f>
        <v>1.13482686349521</v>
      </c>
      <c r="I1051" s="26" t="n">
        <f aca="false">IF(H1051="","",H1051-AVERAGE(H1003:H1099))</f>
        <v>-0.128109304419006</v>
      </c>
      <c r="J1051" s="27" t="n">
        <f aca="false">IF(I1051="","",Resumen!$B$10-(MAX(I1003:I1099)-I1051))</f>
        <v>1.50710903814953</v>
      </c>
    </row>
    <row r="1052" customFormat="false" ht="15" hidden="false" customHeight="false" outlineLevel="0" collapsed="false">
      <c r="A1052" s="24" t="n">
        <v>46272.3333333333</v>
      </c>
      <c r="B1052" s="10" t="n">
        <v>4.1651</v>
      </c>
      <c r="C1052" s="10" t="n">
        <v>3.175</v>
      </c>
      <c r="D1052" s="10" t="n">
        <f aca="false">IF(OR(B1052="",C1052="",B1052&lt;=0.05,C1052&lt;=0.05),0,1)</f>
        <v>1</v>
      </c>
      <c r="E1052" s="25" t="n">
        <f aca="false">IF(OR(A1052&lt;Resumen!$B$6,A1052&gt;=Resumen!$B$7),0,MAX(0,AVERAGEIFS(B1004:B1100,D1004:D1100,1)-Resumen!$B$5*AVERAGEIFS(C1004:C1100,D1004:D1100,1)))</f>
        <v>0.622969560824743</v>
      </c>
      <c r="F1052" s="10" t="n">
        <f aca="false">IF(B1052="","",(B1052-E1052)/Resumen!$B$5)</f>
        <v>2.81344752913047</v>
      </c>
      <c r="G1052" s="10" t="n">
        <f aca="false">IF(OR(F1052="",C1052=""),0,(F1052-C1052)*0.9)</f>
        <v>-0.32539722378258</v>
      </c>
      <c r="H1052" s="26" t="n">
        <f aca="false">IF(A1052&lt;Resumen!$B$11,"",IF(H1051="",0,H1051)+G1052/Resumen!$B$9)</f>
        <v>1.11944569795651</v>
      </c>
      <c r="I1052" s="26" t="n">
        <f aca="false">IF(H1052="","",H1052-AVERAGE(H1004:H1100))</f>
        <v>-0.144246975997857</v>
      </c>
      <c r="J1052" s="27" t="n">
        <f aca="false">IF(I1052="","",Resumen!$B$10-(MAX(I1004:I1100)-I1052))</f>
        <v>1.49097136657067</v>
      </c>
    </row>
    <row r="1053" customFormat="false" ht="15" hidden="false" customHeight="false" outlineLevel="0" collapsed="false">
      <c r="A1053" s="24" t="n">
        <v>46272.34375</v>
      </c>
      <c r="B1053" s="10" t="n">
        <v>5.8916</v>
      </c>
      <c r="C1053" s="10" t="n">
        <v>4.4476</v>
      </c>
      <c r="D1053" s="10" t="n">
        <f aca="false">IF(OR(B1053="",C1053="",B1053&lt;=0.05,C1053&lt;=0.05),0,1)</f>
        <v>1</v>
      </c>
      <c r="E1053" s="25" t="n">
        <f aca="false">IF(OR(A1053&lt;Resumen!$B$6,A1053&gt;=Resumen!$B$7),0,MAX(0,AVERAGEIFS(B1005:B1101,D1005:D1101,1)-Resumen!$B$5*AVERAGEIFS(C1005:C1101,D1005:D1101,1)))</f>
        <v>0.610347093814434</v>
      </c>
      <c r="F1053" s="10" t="n">
        <f aca="false">IF(B1053="","",(B1053-E1053)/Resumen!$B$5)</f>
        <v>4.19479976662873</v>
      </c>
      <c r="G1053" s="10" t="n">
        <f aca="false">IF(OR(F1053="",C1053=""),0,(F1053-C1053)*0.9)</f>
        <v>-0.227520210034146</v>
      </c>
      <c r="H1053" s="26" t="n">
        <f aca="false">IF(A1053&lt;Resumen!$B$11,"",IF(H1052="",0,H1052)+G1053/Resumen!$B$9)</f>
        <v>1.1086910702026</v>
      </c>
      <c r="I1053" s="26" t="n">
        <f aca="false">IF(H1053="","",H1053-AVERAGE(H1005:H1101))</f>
        <v>-0.155261914091183</v>
      </c>
      <c r="J1053" s="27" t="n">
        <f aca="false">IF(I1053="","",Resumen!$B$10-(MAX(I1005:I1101)-I1053))</f>
        <v>1.47995642847735</v>
      </c>
    </row>
    <row r="1054" customFormat="false" ht="15" hidden="false" customHeight="false" outlineLevel="0" collapsed="false">
      <c r="A1054" s="24" t="n">
        <v>46272.3541666667</v>
      </c>
      <c r="B1054" s="10" t="n">
        <v>7.0056</v>
      </c>
      <c r="C1054" s="10" t="n">
        <v>4.4696</v>
      </c>
      <c r="D1054" s="10" t="n">
        <f aca="false">IF(OR(B1054="",C1054="",B1054&lt;=0.05,C1054&lt;=0.05),0,1)</f>
        <v>1</v>
      </c>
      <c r="E1054" s="25" t="n">
        <f aca="false">IF(OR(A1054&lt;Resumen!$B$6,A1054&gt;=Resumen!$B$7),0,MAX(0,AVERAGEIFS(B1006:B1102,D1006:D1102,1)-Resumen!$B$5*AVERAGEIFS(C1006:C1102,D1006:D1102,1)))</f>
        <v>0.606007687628867</v>
      </c>
      <c r="F1054" s="10" t="n">
        <f aca="false">IF(B1054="","",(B1054-E1054)/Resumen!$B$5)</f>
        <v>5.08307570482219</v>
      </c>
      <c r="G1054" s="10" t="n">
        <f aca="false">IF(OR(F1054="",C1054=""),0,(F1054-C1054)*0.9)</f>
        <v>0.552128134339969</v>
      </c>
      <c r="H1054" s="26" t="n">
        <f aca="false">IF(A1054&lt;Resumen!$B$11,"",IF(H1053="",0,H1053)+G1054/Resumen!$B$9)</f>
        <v>1.13478955418516</v>
      </c>
      <c r="I1054" s="26" t="n">
        <f aca="false">IF(H1054="","",H1054-AVERAGE(H1006:H1102))</f>
        <v>-0.129200883252491</v>
      </c>
      <c r="J1054" s="27" t="n">
        <f aca="false">IF(I1054="","",Resumen!$B$10-(MAX(I1006:I1102)-I1054))</f>
        <v>1.50601745931604</v>
      </c>
    </row>
    <row r="1055" customFormat="false" ht="15" hidden="false" customHeight="false" outlineLevel="0" collapsed="false">
      <c r="A1055" s="24" t="n">
        <v>46272.3645833333</v>
      </c>
      <c r="B1055" s="10" t="n">
        <v>5.5915</v>
      </c>
      <c r="C1055" s="10" t="n">
        <v>5.1688</v>
      </c>
      <c r="D1055" s="10" t="n">
        <f aca="false">IF(OR(B1055="",C1055="",B1055&lt;=0.05,C1055&lt;=0.05),0,1)</f>
        <v>1</v>
      </c>
      <c r="E1055" s="25" t="n">
        <f aca="false">IF(OR(A1055&lt;Resumen!$B$6,A1055&gt;=Resumen!$B$7),0,MAX(0,AVERAGEIFS(B1007:B1103,D1007:D1103,1)-Resumen!$B$5*AVERAGEIFS(C1007:C1103,D1007:D1103,1)))</f>
        <v>0.595852417525773</v>
      </c>
      <c r="F1055" s="10" t="n">
        <f aca="false">IF(B1055="","",(B1055-E1055)/Resumen!$B$5)</f>
        <v>3.9679488343719</v>
      </c>
      <c r="G1055" s="10" t="n">
        <f aca="false">IF(OR(F1055="",C1055=""),0,(F1055-C1055)*0.9)</f>
        <v>-1.08076604906529</v>
      </c>
      <c r="H1055" s="26" t="n">
        <f aca="false">IF(A1055&lt;Resumen!$B$11,"",IF(H1054="",0,H1054)+G1055/Resumen!$B$9)</f>
        <v>1.0837029428243</v>
      </c>
      <c r="I1055" s="26" t="n">
        <f aca="false">IF(H1055="","",H1055-AVERAGE(H1007:H1103))</f>
        <v>-0.179912504210791</v>
      </c>
      <c r="J1055" s="27" t="n">
        <f aca="false">IF(I1055="","",Resumen!$B$10-(MAX(I1007:I1103)-I1055))</f>
        <v>1.45530583835774</v>
      </c>
    </row>
    <row r="1056" customFormat="false" ht="15" hidden="false" customHeight="false" outlineLevel="0" collapsed="false">
      <c r="A1056" s="24" t="n">
        <v>46272.375</v>
      </c>
      <c r="B1056" s="10" t="n">
        <v>6.6154</v>
      </c>
      <c r="C1056" s="10" t="n">
        <v>4.4326</v>
      </c>
      <c r="D1056" s="10" t="n">
        <f aca="false">IF(OR(B1056="",C1056="",B1056&lt;=0.05,C1056&lt;=0.05),0,1)</f>
        <v>1</v>
      </c>
      <c r="E1056" s="25" t="n">
        <f aca="false">IF(OR(A1056&lt;Resumen!$B$6,A1056&gt;=Resumen!$B$7),0,MAX(0,AVERAGEIFS(B1008:B1104,D1008:D1104,1)-Resumen!$B$5*AVERAGEIFS(C1008:C1104,D1008:D1104,1)))</f>
        <v>0.592038798969072</v>
      </c>
      <c r="F1056" s="10" t="n">
        <f aca="false">IF(B1056="","",(B1056-E1056)/Resumen!$B$5)</f>
        <v>4.78424241543362</v>
      </c>
      <c r="G1056" s="10" t="n">
        <f aca="false">IF(OR(F1056="",C1056=""),0,(F1056-C1056)*0.9)</f>
        <v>0.316478173890259</v>
      </c>
      <c r="H1056" s="26" t="n">
        <f aca="false">IF(A1056&lt;Resumen!$B$11,"",IF(H1055="",0,H1055)+G1056/Resumen!$B$9)</f>
        <v>1.0986625147758</v>
      </c>
      <c r="I1056" s="26" t="n">
        <f aca="false">IF(H1056="","",H1056-AVERAGE(H1008:H1104))</f>
        <v>-0.164373719650025</v>
      </c>
      <c r="J1056" s="27" t="n">
        <f aca="false">IF(I1056="","",Resumen!$B$10-(MAX(I1008:I1104)-I1056))</f>
        <v>1.47084462291851</v>
      </c>
    </row>
    <row r="1057" customFormat="false" ht="15" hidden="false" customHeight="false" outlineLevel="0" collapsed="false">
      <c r="A1057" s="24" t="n">
        <v>46272.3854166667</v>
      </c>
      <c r="B1057" s="10" t="n">
        <v>7.1012</v>
      </c>
      <c r="C1057" s="10" t="n">
        <v>4.2195</v>
      </c>
      <c r="D1057" s="10" t="n">
        <f aca="false">IF(OR(B1057="",C1057="",B1057&lt;=0.05,C1057&lt;=0.05),0,1)</f>
        <v>1</v>
      </c>
      <c r="E1057" s="25" t="n">
        <f aca="false">IF(OR(A1057&lt;Resumen!$B$6,A1057&gt;=Resumen!$B$7),0,MAX(0,AVERAGEIFS(B1009:B1105,D1009:D1105,1)-Resumen!$B$5*AVERAGEIFS(C1009:C1105,D1009:D1105,1)))</f>
        <v>0.585099701030928</v>
      </c>
      <c r="F1057" s="10" t="n">
        <f aca="false">IF(B1057="","",(B1057-E1057)/Resumen!$B$5)</f>
        <v>5.17561580537655</v>
      </c>
      <c r="G1057" s="10" t="n">
        <f aca="false">IF(OR(F1057="",C1057=""),0,(F1057-C1057)*0.9)</f>
        <v>0.860504224838893</v>
      </c>
      <c r="H1057" s="26" t="n">
        <f aca="false">IF(A1057&lt;Resumen!$B$11,"",IF(H1056="",0,H1056)+G1057/Resumen!$B$9)</f>
        <v>1.13933759422221</v>
      </c>
      <c r="I1057" s="26" t="n">
        <f aca="false">IF(H1057="","",H1057-AVERAGE(H1009:H1105))</f>
        <v>-0.122817559327417</v>
      </c>
      <c r="J1057" s="27" t="n">
        <f aca="false">IF(I1057="","",Resumen!$B$10-(MAX(I1009:I1105)-I1057))</f>
        <v>1.51240078324112</v>
      </c>
    </row>
    <row r="1058" customFormat="false" ht="15" hidden="false" customHeight="false" outlineLevel="0" collapsed="false">
      <c r="A1058" s="24" t="n">
        <v>46272.3958333333</v>
      </c>
      <c r="B1058" s="10" t="n">
        <v>6.0789</v>
      </c>
      <c r="C1058" s="10" t="n">
        <v>4.5456</v>
      </c>
      <c r="D1058" s="10" t="n">
        <f aca="false">IF(OR(B1058="",C1058="",B1058&lt;=0.05,C1058&lt;=0.05),0,1)</f>
        <v>1</v>
      </c>
      <c r="E1058" s="25" t="n">
        <f aca="false">IF(OR(A1058&lt;Resumen!$B$6,A1058&gt;=Resumen!$B$7),0,MAX(0,AVERAGEIFS(B1010:B1106,D1010:D1106,1)-Resumen!$B$5*AVERAGEIFS(C1010:C1106,D1010:D1106,1)))</f>
        <v>0.585954654639176</v>
      </c>
      <c r="F1058" s="10" t="n">
        <f aca="false">IF(B1058="","",(B1058-E1058)/Resumen!$B$5)</f>
        <v>4.36294308606896</v>
      </c>
      <c r="G1058" s="10" t="n">
        <f aca="false">IF(OR(F1058="",C1058=""),0,(F1058-C1058)*0.9)</f>
        <v>-0.164391222537934</v>
      </c>
      <c r="H1058" s="26" t="n">
        <f aca="false">IF(A1058&lt;Resumen!$B$11,"",IF(H1057="",0,H1057)+G1058/Resumen!$B$9)</f>
        <v>1.13156700362659</v>
      </c>
      <c r="I1058" s="26" t="n">
        <f aca="false">IF(H1058="","",H1058-AVERAGE(H1010:H1106))</f>
        <v>-0.129682075549356</v>
      </c>
      <c r="J1058" s="27" t="n">
        <f aca="false">IF(I1058="","",Resumen!$B$10-(MAX(I1010:I1106)-I1058))</f>
        <v>1.50553626701918</v>
      </c>
    </row>
    <row r="1059" customFormat="false" ht="15" hidden="false" customHeight="false" outlineLevel="0" collapsed="false">
      <c r="A1059" s="24" t="n">
        <v>46272.40625</v>
      </c>
      <c r="B1059" s="10" t="n">
        <v>4.8145</v>
      </c>
      <c r="C1059" s="10" t="n">
        <v>3.7062</v>
      </c>
      <c r="D1059" s="10" t="n">
        <f aca="false">IF(OR(B1059="",C1059="",B1059&lt;=0.05,C1059&lt;=0.05),0,1)</f>
        <v>1</v>
      </c>
      <c r="E1059" s="25" t="n">
        <f aca="false">IF(OR(A1059&lt;Resumen!$B$6,A1059&gt;=Resumen!$B$7),0,MAX(0,AVERAGEIFS(B1011:B1107,D1011:D1107,1)-Resumen!$B$5*AVERAGEIFS(C1011:C1107,D1011:D1107,1)))</f>
        <v>0.597951489690722</v>
      </c>
      <c r="F1059" s="10" t="n">
        <f aca="false">IF(B1059="","",(B1059-E1059)/Resumen!$B$5)</f>
        <v>3.34912510747361</v>
      </c>
      <c r="G1059" s="10" t="n">
        <f aca="false">IF(OR(F1059="",C1059=""),0,(F1059-C1059)*0.9)</f>
        <v>-0.321367403273749</v>
      </c>
      <c r="H1059" s="26" t="n">
        <f aca="false">IF(A1059&lt;Resumen!$B$11,"",IF(H1058="",0,H1058)+G1059/Resumen!$B$9)</f>
        <v>1.11637632322977</v>
      </c>
      <c r="I1059" s="26" t="n">
        <f aca="false">IF(H1059="","",H1059-AVERAGE(H1011:H1107))</f>
        <v>-0.144315096079022</v>
      </c>
      <c r="J1059" s="27" t="n">
        <f aca="false">IF(I1059="","",Resumen!$B$10-(MAX(I1011:I1107)-I1059))</f>
        <v>1.49090324648951</v>
      </c>
    </row>
    <row r="1060" customFormat="false" ht="15" hidden="false" customHeight="false" outlineLevel="0" collapsed="false">
      <c r="A1060" s="24" t="n">
        <v>46272.4166666667</v>
      </c>
      <c r="B1060" s="10" t="n">
        <v>5.1924</v>
      </c>
      <c r="C1060" s="10" t="n">
        <v>3.9522</v>
      </c>
      <c r="D1060" s="10" t="n">
        <f aca="false">IF(OR(B1060="",C1060="",B1060&lt;=0.05,C1060&lt;=0.05),0,1)</f>
        <v>1</v>
      </c>
      <c r="E1060" s="25" t="n">
        <f aca="false">IF(OR(A1060&lt;Resumen!$B$6,A1060&gt;=Resumen!$B$7),0,MAX(0,AVERAGEIFS(B1012:B1108,D1012:D1108,1)-Resumen!$B$5*AVERAGEIFS(C1012:C1108,D1012:D1108,1)))</f>
        <v>0.59880539072165</v>
      </c>
      <c r="F1060" s="10" t="n">
        <f aca="false">IF(B1060="","",(B1060-E1060)/Resumen!$B$5)</f>
        <v>3.64860572619408</v>
      </c>
      <c r="G1060" s="10" t="n">
        <f aca="false">IF(OR(F1060="",C1060=""),0,(F1060-C1060)*0.9)</f>
        <v>-0.273234846425325</v>
      </c>
      <c r="H1060" s="26" t="n">
        <f aca="false">IF(A1060&lt;Resumen!$B$11,"",IF(H1059="",0,H1059)+G1060/Resumen!$B$9)</f>
        <v>1.10346081536232</v>
      </c>
      <c r="I1060" s="26" t="n">
        <f aca="false">IF(H1060="","",H1060-AVERAGE(H1012:H1108))</f>
        <v>-0.156642829982227</v>
      </c>
      <c r="J1060" s="27" t="n">
        <f aca="false">IF(I1060="","",Resumen!$B$10-(MAX(I1012:I1108)-I1060))</f>
        <v>1.4785755125863</v>
      </c>
    </row>
    <row r="1061" customFormat="false" ht="15" hidden="false" customHeight="false" outlineLevel="0" collapsed="false">
      <c r="A1061" s="24" t="n">
        <v>46272.4270833333</v>
      </c>
      <c r="B1061" s="10" t="n">
        <v>5.6385</v>
      </c>
      <c r="C1061" s="10" t="n">
        <v>3.9904</v>
      </c>
      <c r="D1061" s="10" t="n">
        <f aca="false">IF(OR(B1061="",C1061="",B1061&lt;=0.05,C1061&lt;=0.05),0,1)</f>
        <v>1</v>
      </c>
      <c r="E1061" s="25" t="n">
        <f aca="false">IF(OR(A1061&lt;Resumen!$B$6,A1061&gt;=Resumen!$B$7),0,MAX(0,AVERAGEIFS(B1013:B1109,D1013:D1109,1)-Resumen!$B$5*AVERAGEIFS(C1013:C1109,D1013:D1109,1)))</f>
        <v>0.599189762886599</v>
      </c>
      <c r="F1061" s="10" t="n">
        <f aca="false">IF(B1061="","",(B1061-E1061)/Resumen!$B$5)</f>
        <v>4.00262925902574</v>
      </c>
      <c r="G1061" s="10" t="n">
        <f aca="false">IF(OR(F1061="",C1061=""),0,(F1061-C1061)*0.9)</f>
        <v>0.011006333123162</v>
      </c>
      <c r="H1061" s="26" t="n">
        <f aca="false">IF(A1061&lt;Resumen!$B$11,"",IF(H1060="",0,H1060)+G1061/Resumen!$B$9)</f>
        <v>1.10398107251071</v>
      </c>
      <c r="I1061" s="26" t="n">
        <f aca="false">IF(H1061="","",H1061-AVERAGE(H1013:H1109))</f>
        <v>-0.155490806680433</v>
      </c>
      <c r="J1061" s="27" t="n">
        <f aca="false">IF(I1061="","",Resumen!$B$10-(MAX(I1013:I1109)-I1061))</f>
        <v>1.4797275358881</v>
      </c>
    </row>
    <row r="1062" customFormat="false" ht="15" hidden="false" customHeight="false" outlineLevel="0" collapsed="false">
      <c r="A1062" s="24" t="n">
        <v>46272.4375</v>
      </c>
      <c r="B1062" s="10" t="n">
        <v>5.2287</v>
      </c>
      <c r="C1062" s="10" t="n">
        <v>4.5678</v>
      </c>
      <c r="D1062" s="10" t="n">
        <f aca="false">IF(OR(B1062="",C1062="",B1062&lt;=0.05,C1062&lt;=0.05),0,1)</f>
        <v>1</v>
      </c>
      <c r="E1062" s="25" t="n">
        <f aca="false">IF(OR(A1062&lt;Resumen!$B$6,A1062&gt;=Resumen!$B$7),0,MAX(0,AVERAGEIFS(B1014:B1110,D1014:D1110,1)-Resumen!$B$5*AVERAGEIFS(C1014:C1110,D1014:D1110,1)))</f>
        <v>0.589918819587628</v>
      </c>
      <c r="F1062" s="10" t="n">
        <f aca="false">IF(B1062="","",(B1062-E1062)/Resumen!$B$5)</f>
        <v>3.68449656903286</v>
      </c>
      <c r="G1062" s="10" t="n">
        <f aca="false">IF(OR(F1062="",C1062=""),0,(F1062-C1062)*0.9)</f>
        <v>-0.794973087870426</v>
      </c>
      <c r="H1062" s="26" t="n">
        <f aca="false">IF(A1062&lt;Resumen!$B$11,"",IF(H1061="",0,H1061)+G1062/Resumen!$B$9)</f>
        <v>1.06640357716147</v>
      </c>
      <c r="I1062" s="26" t="n">
        <f aca="false">IF(H1062="","",H1062-AVERAGE(H1014:H1110))</f>
        <v>-0.192062111150605</v>
      </c>
      <c r="J1062" s="27" t="n">
        <f aca="false">IF(I1062="","",Resumen!$B$10-(MAX(I1014:I1110)-I1062))</f>
        <v>1.44315623141793</v>
      </c>
    </row>
    <row r="1063" customFormat="false" ht="15" hidden="false" customHeight="false" outlineLevel="0" collapsed="false">
      <c r="A1063" s="24" t="n">
        <v>46272.4479166667</v>
      </c>
      <c r="B1063" s="10" t="n">
        <v>6.9724</v>
      </c>
      <c r="C1063" s="10" t="n">
        <v>4.4006</v>
      </c>
      <c r="D1063" s="10" t="n">
        <f aca="false">IF(OR(B1063="",C1063="",B1063&lt;=0.05,C1063&lt;=0.05),0,1)</f>
        <v>1</v>
      </c>
      <c r="E1063" s="25" t="n">
        <f aca="false">IF(OR(A1063&lt;Resumen!$B$6,A1063&gt;=Resumen!$B$7),0,MAX(0,AVERAGEIFS(B1015:B1111,D1015:D1111,1)-Resumen!$B$5*AVERAGEIFS(C1015:C1111,D1015:D1111,1)))</f>
        <v>0.588544650515464</v>
      </c>
      <c r="F1063" s="10" t="n">
        <f aca="false">IF(B1063="","",(B1063-E1063)/Resumen!$B$5)</f>
        <v>5.07057613144125</v>
      </c>
      <c r="G1063" s="10" t="n">
        <f aca="false">IF(OR(F1063="",C1063=""),0,(F1063-C1063)*0.9)</f>
        <v>0.602978518297128</v>
      </c>
      <c r="H1063" s="26" t="n">
        <f aca="false">IF(A1063&lt;Resumen!$B$11,"",IF(H1062="",0,H1062)+G1063/Resumen!$B$9)</f>
        <v>1.09490570234372</v>
      </c>
      <c r="I1063" s="26" t="n">
        <f aca="false">IF(H1063="","",H1063-AVERAGE(H1015:H1111))</f>
        <v>-0.16243978315636</v>
      </c>
      <c r="J1063" s="27" t="n">
        <f aca="false">IF(I1063="","",Resumen!$B$10-(MAX(I1015:I1111)-I1063))</f>
        <v>1.47277855941217</v>
      </c>
    </row>
    <row r="1064" customFormat="false" ht="15" hidden="false" customHeight="false" outlineLevel="0" collapsed="false">
      <c r="A1064" s="24" t="n">
        <v>46272.4583333333</v>
      </c>
      <c r="B1064" s="10" t="n">
        <v>16.0212</v>
      </c>
      <c r="C1064" s="10" t="n">
        <v>4.3541</v>
      </c>
      <c r="D1064" s="10" t="n">
        <f aca="false">IF(OR(B1064="",C1064="",B1064&lt;=0.05,C1064&lt;=0.05),0,1)</f>
        <v>1</v>
      </c>
      <c r="E1064" s="25" t="n">
        <f aca="false">IF(OR(A1064&lt;Resumen!$B$6,A1064&gt;=Resumen!$B$7),0,MAX(0,AVERAGEIFS(B1016:B1112,D1016:D1112,1)-Resumen!$B$5*AVERAGEIFS(C1016:C1112,D1016:D1112,1)))</f>
        <v>0.581536197938144</v>
      </c>
      <c r="F1064" s="10" t="n">
        <f aca="false">IF(B1064="","",(B1064-E1064)/Resumen!$B$5)</f>
        <v>12.2634343145845</v>
      </c>
      <c r="G1064" s="10" t="n">
        <f aca="false">IF(OR(F1064="",C1064=""),0,(F1064-C1064)*0.9)</f>
        <v>7.11840088312603</v>
      </c>
      <c r="H1064" s="26" t="n">
        <f aca="false">IF(A1064&lt;Resumen!$B$11,"",IF(H1063="",0,H1063)+G1064/Resumen!$B$9)</f>
        <v>1.43138460982007</v>
      </c>
      <c r="I1064" s="26" t="n">
        <f aca="false">IF(H1064="","",H1064-AVERAGE(H1016:H1112))</f>
        <v>0.175459159801507</v>
      </c>
      <c r="J1064" s="27" t="n">
        <f aca="false">IF(I1064="","",Resumen!$B$10-(MAX(I1016:I1112)-I1064))</f>
        <v>1.81067750237004</v>
      </c>
    </row>
    <row r="1065" customFormat="false" ht="15" hidden="false" customHeight="false" outlineLevel="0" collapsed="false">
      <c r="A1065" s="24" t="n">
        <v>46272.46875</v>
      </c>
      <c r="B1065" s="10" t="n">
        <v>5.4833</v>
      </c>
      <c r="C1065" s="10" t="n">
        <v>3.7203</v>
      </c>
      <c r="D1065" s="10" t="n">
        <f aca="false">IF(OR(B1065="",C1065="",B1065&lt;=0.05,C1065&lt;=0.05),0,1)</f>
        <v>1</v>
      </c>
      <c r="E1065" s="25" t="n">
        <f aca="false">IF(OR(A1065&lt;Resumen!$B$6,A1065&gt;=Resumen!$B$7),0,MAX(0,AVERAGEIFS(B1017:B1113,D1017:D1113,1)-Resumen!$B$5*AVERAGEIFS(C1017:C1113,D1017:D1113,1)))</f>
        <v>0.591106636082475</v>
      </c>
      <c r="F1065" s="10" t="n">
        <f aca="false">IF(B1065="","",(B1065-E1065)/Resumen!$B$5)</f>
        <v>3.88577709604251</v>
      </c>
      <c r="G1065" s="10" t="n">
        <f aca="false">IF(OR(F1065="",C1065=""),0,(F1065-C1065)*0.9)</f>
        <v>0.148929386438263</v>
      </c>
      <c r="H1065" s="26" t="n">
        <f aca="false">IF(A1065&lt;Resumen!$B$11,"",IF(H1064="",0,H1064)+G1065/Resumen!$B$9)</f>
        <v>1.43842433658773</v>
      </c>
      <c r="I1065" s="26" t="n">
        <f aca="false">IF(H1065="","",H1065-AVERAGE(H1017:H1113))</f>
        <v>0.183581034184748</v>
      </c>
      <c r="J1065" s="27" t="n">
        <f aca="false">IF(I1065="","",Resumen!$B$10-(MAX(I1017:I1113)-I1065))</f>
        <v>1.81879937675328</v>
      </c>
    </row>
    <row r="1066" customFormat="false" ht="15" hidden="false" customHeight="false" outlineLevel="0" collapsed="false">
      <c r="A1066" s="24" t="n">
        <v>46272.4791666667</v>
      </c>
      <c r="B1066" s="10" t="n">
        <v>7.3065</v>
      </c>
      <c r="C1066" s="10" t="n">
        <v>4.6182</v>
      </c>
      <c r="D1066" s="10" t="n">
        <f aca="false">IF(OR(B1066="",C1066="",B1066&lt;=0.05,C1066&lt;=0.05),0,1)</f>
        <v>1</v>
      </c>
      <c r="E1066" s="25" t="n">
        <f aca="false">IF(OR(A1066&lt;Resumen!$B$6,A1066&gt;=Resumen!$B$7),0,MAX(0,AVERAGEIFS(B1018:B1114,D1018:D1114,1)-Resumen!$B$5*AVERAGEIFS(C1018:C1114,D1018:D1114,1)))</f>
        <v>0.595772114432991</v>
      </c>
      <c r="F1066" s="10" t="n">
        <f aca="false">IF(B1066="","",(B1066-E1066)/Resumen!$B$5)</f>
        <v>5.33020483365132</v>
      </c>
      <c r="G1066" s="10" t="n">
        <f aca="false">IF(OR(F1066="",C1066=""),0,(F1066-C1066)*0.9)</f>
        <v>0.640804350286186</v>
      </c>
      <c r="H1066" s="26" t="n">
        <f aca="false">IF(A1066&lt;Resumen!$B$11,"",IF(H1065="",0,H1065)+G1066/Resumen!$B$9)</f>
        <v>1.46871444685695</v>
      </c>
      <c r="I1066" s="26" t="n">
        <f aca="false">IF(H1066="","",H1066-AVERAGE(H1018:H1114))</f>
        <v>0.214781657431469</v>
      </c>
      <c r="J1066" s="27" t="n">
        <f aca="false">IF(I1066="","",Resumen!$B$10-(MAX(I1018:I1114)-I1066))</f>
        <v>1.85</v>
      </c>
    </row>
    <row r="1067" customFormat="false" ht="15" hidden="false" customHeight="false" outlineLevel="0" collapsed="false">
      <c r="A1067" s="24" t="n">
        <v>46272.4895833333</v>
      </c>
      <c r="B1067" s="10" t="n">
        <v>5.6011</v>
      </c>
      <c r="C1067" s="10" t="n">
        <v>4.9504</v>
      </c>
      <c r="D1067" s="10" t="n">
        <f aca="false">IF(OR(B1067="",C1067="",B1067&lt;=0.05,C1067&lt;=0.05),0,1)</f>
        <v>1</v>
      </c>
      <c r="E1067" s="25" t="n">
        <f aca="false">IF(OR(A1067&lt;Resumen!$B$6,A1067&gt;=Resumen!$B$7),0,MAX(0,AVERAGEIFS(B1019:B1115,D1019:D1115,1)-Resumen!$B$5*AVERAGEIFS(C1019:C1115,D1019:D1115,1)))</f>
        <v>0.599276881443299</v>
      </c>
      <c r="F1067" s="10" t="n">
        <f aca="false">IF(B1067="","",(B1067-E1067)/Resumen!$B$5)</f>
        <v>3.97285394643106</v>
      </c>
      <c r="G1067" s="10" t="n">
        <f aca="false">IF(OR(F1067="",C1067=""),0,(F1067-C1067)*0.9)</f>
        <v>-0.879791448212049</v>
      </c>
      <c r="H1067" s="26" t="n">
        <f aca="false">IF(A1067&lt;Resumen!$B$11,"",IF(H1066="",0,H1066)+G1067/Resumen!$B$9)</f>
        <v>1.42712768177279</v>
      </c>
      <c r="I1067" s="26" t="n">
        <f aca="false">IF(H1067="","",H1067-AVERAGE(H1019:H1115))</f>
        <v>0.173957049975084</v>
      </c>
      <c r="J1067" s="27" t="n">
        <f aca="false">IF(I1067="","",Resumen!$B$10-(MAX(I1019:I1115)-I1067))</f>
        <v>1.80917539254362</v>
      </c>
    </row>
    <row r="1068" customFormat="false" ht="15" hidden="false" customHeight="false" outlineLevel="0" collapsed="false">
      <c r="A1068" s="24" t="n">
        <v>46272.5</v>
      </c>
      <c r="B1068" s="10" t="n">
        <v>5.9229</v>
      </c>
      <c r="C1068" s="10" t="n">
        <v>4.13</v>
      </c>
      <c r="D1068" s="10" t="n">
        <f aca="false">IF(OR(B1068="",C1068="",B1068&lt;=0.05,C1068&lt;=0.05),0,1)</f>
        <v>1</v>
      </c>
      <c r="E1068" s="25" t="n">
        <f aca="false">IF(OR(A1068&lt;Resumen!$B$6,A1068&gt;=Resumen!$B$7),0,MAX(0,AVERAGEIFS(B1020:B1116,D1020:D1116,1)-Resumen!$B$5*AVERAGEIFS(C1020:C1116,D1020:D1116,1)))</f>
        <v>0.59157917628866</v>
      </c>
      <c r="F1068" s="10" t="n">
        <f aca="false">IF(B1068="","",(B1068-E1068)/Resumen!$B$5)</f>
        <v>4.23456777101775</v>
      </c>
      <c r="G1068" s="10" t="n">
        <f aca="false">IF(OR(F1068="",C1068=""),0,(F1068-C1068)*0.9)</f>
        <v>0.0941109939159706</v>
      </c>
      <c r="H1068" s="26" t="n">
        <f aca="false">IF(A1068&lt;Resumen!$B$11,"",IF(H1067="",0,H1067)+G1068/Resumen!$B$9)</f>
        <v>1.43157620398084</v>
      </c>
      <c r="I1068" s="26" t="n">
        <f aca="false">IF(H1068="","",H1068-AVERAGE(H1020:H1116))</f>
        <v>0.179399925228288</v>
      </c>
      <c r="J1068" s="27" t="n">
        <f aca="false">IF(I1068="","",Resumen!$B$10-(MAX(I1020:I1116)-I1068))</f>
        <v>1.81461826779682</v>
      </c>
    </row>
    <row r="1069" customFormat="false" ht="15" hidden="false" customHeight="false" outlineLevel="0" collapsed="false">
      <c r="A1069" s="24" t="n">
        <v>46272.5104166667</v>
      </c>
      <c r="B1069" s="10" t="n">
        <v>5.5413</v>
      </c>
      <c r="C1069" s="10" t="n">
        <v>3.7861</v>
      </c>
      <c r="D1069" s="10" t="n">
        <f aca="false">IF(OR(B1069="",C1069="",B1069&lt;=0.05,C1069&lt;=0.05),0,1)</f>
        <v>1</v>
      </c>
      <c r="E1069" s="25" t="n">
        <f aca="false">IF(OR(A1069&lt;Resumen!$B$6,A1069&gt;=Resumen!$B$7),0,MAX(0,AVERAGEIFS(B1021:B1117,D1021:D1117,1)-Resumen!$B$5*AVERAGEIFS(C1021:C1117,D1021:D1117,1)))</f>
        <v>0.598708954639176</v>
      </c>
      <c r="F1069" s="10" t="n">
        <f aca="false">IF(B1069="","",(B1069-E1069)/Resumen!$B$5)</f>
        <v>3.92580702570359</v>
      </c>
      <c r="G1069" s="10" t="n">
        <f aca="false">IF(OR(F1069="",C1069=""),0,(F1069-C1069)*0.9)</f>
        <v>0.125736323133234</v>
      </c>
      <c r="H1069" s="26" t="n">
        <f aca="false">IF(A1069&lt;Resumen!$B$11,"",IF(H1068="",0,H1068)+G1069/Resumen!$B$9)</f>
        <v>1.43751962039312</v>
      </c>
      <c r="I1069" s="26" t="n">
        <f aca="false">IF(H1069="","",H1069-AVERAGE(H1021:H1117))</f>
        <v>0.186065885178997</v>
      </c>
      <c r="J1069" s="27" t="n">
        <f aca="false">IF(I1069="","",Resumen!$B$10-(MAX(I1021:I1117)-I1069))</f>
        <v>1.82128422774753</v>
      </c>
    </row>
    <row r="1070" customFormat="false" ht="15" hidden="false" customHeight="false" outlineLevel="0" collapsed="false">
      <c r="A1070" s="24" t="n">
        <v>46272.5208333333</v>
      </c>
      <c r="B1070" s="10" t="n">
        <v>4.1347</v>
      </c>
      <c r="C1070" s="10" t="n">
        <v>3.7578</v>
      </c>
      <c r="D1070" s="10" t="n">
        <f aca="false">IF(OR(B1070="",C1070="",B1070&lt;=0.05,C1070&lt;=0.05),0,1)</f>
        <v>1</v>
      </c>
      <c r="E1070" s="25" t="n">
        <f aca="false">IF(OR(A1070&lt;Resumen!$B$6,A1070&gt;=Resumen!$B$7),0,MAX(0,AVERAGEIFS(B1022:B1118,D1022:D1118,1)-Resumen!$B$5*AVERAGEIFS(C1022:C1118,D1022:D1118,1)))</f>
        <v>0.601213909278351</v>
      </c>
      <c r="F1070" s="10" t="n">
        <f aca="false">IF(B1070="","",(B1070-E1070)/Resumen!$B$5)</f>
        <v>2.80658148587899</v>
      </c>
      <c r="G1070" s="10" t="n">
        <f aca="false">IF(OR(F1070="",C1070=""),0,(F1070-C1070)*0.9)</f>
        <v>-0.856096662708909</v>
      </c>
      <c r="H1070" s="26" t="n">
        <f aca="false">IF(A1070&lt;Resumen!$B$11,"",IF(H1069="",0,H1069)+G1070/Resumen!$B$9)</f>
        <v>1.39705288151567</v>
      </c>
      <c r="I1070" s="26" t="n">
        <f aca="false">IF(H1070="","",H1070-AVERAGE(H1022:H1118))</f>
        <v>0.14620457155725</v>
      </c>
      <c r="J1070" s="27" t="n">
        <f aca="false">IF(I1070="","",Resumen!$B$10-(MAX(I1022:I1118)-I1070))</f>
        <v>1.78142291412578</v>
      </c>
    </row>
    <row r="1071" customFormat="false" ht="15" hidden="false" customHeight="false" outlineLevel="0" collapsed="false">
      <c r="A1071" s="24" t="n">
        <v>46272.53125</v>
      </c>
      <c r="B1071" s="10" t="n">
        <v>4.9527</v>
      </c>
      <c r="C1071" s="10" t="n">
        <v>3.4144</v>
      </c>
      <c r="D1071" s="10" t="n">
        <f aca="false">IF(OR(B1071="",C1071="",B1071&lt;=0.05,C1071&lt;=0.05),0,1)</f>
        <v>1</v>
      </c>
      <c r="E1071" s="25" t="n">
        <f aca="false">IF(OR(A1071&lt;Resumen!$B$6,A1071&gt;=Resumen!$B$7),0,MAX(0,AVERAGEIFS(B1023:B1119,D1023:D1119,1)-Resumen!$B$5*AVERAGEIFS(C1023:C1119,D1023:D1119,1)))</f>
        <v>0.599128196907217</v>
      </c>
      <c r="F1071" s="10" t="n">
        <f aca="false">IF(B1071="","",(B1071-E1071)/Resumen!$B$5)</f>
        <v>3.45796012954153</v>
      </c>
      <c r="G1071" s="10" t="n">
        <f aca="false">IF(OR(F1071="",C1071=""),0,(F1071-C1071)*0.9)</f>
        <v>0.0392041165873756</v>
      </c>
      <c r="H1071" s="26" t="n">
        <f aca="false">IF(A1071&lt;Resumen!$B$11,"",IF(H1070="",0,H1070)+G1071/Resumen!$B$9)</f>
        <v>1.39890601658554</v>
      </c>
      <c r="I1071" s="26" t="n">
        <f aca="false">IF(H1071="","",H1071-AVERAGE(H1023:H1119))</f>
        <v>0.148705317864417</v>
      </c>
      <c r="J1071" s="27" t="n">
        <f aca="false">IF(I1071="","",Resumen!$B$10-(MAX(I1023:I1119)-I1071))</f>
        <v>1.78392366043295</v>
      </c>
    </row>
    <row r="1072" customFormat="false" ht="15" hidden="false" customHeight="false" outlineLevel="0" collapsed="false">
      <c r="A1072" s="24" t="n">
        <v>46272.5416666667</v>
      </c>
      <c r="B1072" s="10" t="n">
        <v>4.7813</v>
      </c>
      <c r="C1072" s="10" t="n">
        <v>3.3263</v>
      </c>
      <c r="D1072" s="10" t="n">
        <f aca="false">IF(OR(B1072="",C1072="",B1072&lt;=0.05,C1072&lt;=0.05),0,1)</f>
        <v>1</v>
      </c>
      <c r="E1072" s="25" t="n">
        <f aca="false">IF(OR(A1072&lt;Resumen!$B$6,A1072&gt;=Resumen!$B$7),0,MAX(0,AVERAGEIFS(B1024:B1120,D1024:D1120,1)-Resumen!$B$5*AVERAGEIFS(C1024:C1120,D1024:D1120,1)))</f>
        <v>0.593138439175259</v>
      </c>
      <c r="F1072" s="10" t="n">
        <f aca="false">IF(B1072="","",(B1072-E1072)/Resumen!$B$5)</f>
        <v>3.32657788786715</v>
      </c>
      <c r="G1072" s="10" t="n">
        <f aca="false">IF(OR(F1072="",C1072=""),0,(F1072-C1072)*0.9)</f>
        <v>0.000250099080435096</v>
      </c>
      <c r="H1072" s="26" t="n">
        <f aca="false">IF(A1072&lt;Resumen!$B$11,"",IF(H1071="",0,H1071)+G1072/Resumen!$B$9)</f>
        <v>1.39891783849143</v>
      </c>
      <c r="I1072" s="26" t="n">
        <f aca="false">IF(H1072="","",H1072-AVERAGE(H1024:H1120))</f>
        <v>0.149535599170376</v>
      </c>
      <c r="J1072" s="27" t="n">
        <f aca="false">IF(I1072="","",Resumen!$B$10-(MAX(I1024:I1120)-I1072))</f>
        <v>1.78475394173891</v>
      </c>
    </row>
    <row r="1073" customFormat="false" ht="15" hidden="false" customHeight="false" outlineLevel="0" collapsed="false">
      <c r="A1073" s="24" t="n">
        <v>46272.5520833333</v>
      </c>
      <c r="B1073" s="10" t="n">
        <v>4.3759</v>
      </c>
      <c r="C1073" s="10" t="n">
        <v>3.1088</v>
      </c>
      <c r="D1073" s="10" t="n">
        <f aca="false">IF(OR(B1073="",C1073="",B1073&lt;=0.05,C1073&lt;=0.05),0,1)</f>
        <v>1</v>
      </c>
      <c r="E1073" s="25" t="n">
        <f aca="false">IF(OR(A1073&lt;Resumen!$B$6,A1073&gt;=Resumen!$B$7),0,MAX(0,AVERAGEIFS(B1025:B1121,D1025:D1121,1)-Resumen!$B$5*AVERAGEIFS(C1025:C1121,D1025:D1121,1)))</f>
        <v>0.592288078350515</v>
      </c>
      <c r="F1073" s="10" t="n">
        <f aca="false">IF(B1073="","",(B1073-E1073)/Resumen!$B$5)</f>
        <v>3.00525172490031</v>
      </c>
      <c r="G1073" s="10" t="n">
        <f aca="false">IF(OR(F1073="",C1073=""),0,(F1073-C1073)*0.9)</f>
        <v>-0.0931934475897251</v>
      </c>
      <c r="H1073" s="26" t="n">
        <f aca="false">IF(A1073&lt;Resumen!$B$11,"",IF(H1072="",0,H1072)+G1073/Resumen!$B$9)</f>
        <v>1.39451268767964</v>
      </c>
      <c r="I1073" s="26" t="n">
        <f aca="false">IF(H1073="","",H1073-AVERAGE(H1025:H1121))</f>
        <v>0.145941685394563</v>
      </c>
      <c r="J1073" s="27" t="n">
        <f aca="false">IF(I1073="","",Resumen!$B$10-(MAX(I1025:I1121)-I1073))</f>
        <v>1.7811600279631</v>
      </c>
    </row>
    <row r="1074" customFormat="false" ht="15" hidden="false" customHeight="false" outlineLevel="0" collapsed="false">
      <c r="A1074" s="24" t="n">
        <v>46272.5625</v>
      </c>
      <c r="B1074" s="10" t="n">
        <v>4.4555</v>
      </c>
      <c r="C1074" s="10" t="n">
        <v>3.5848</v>
      </c>
      <c r="D1074" s="10" t="n">
        <f aca="false">IF(OR(B1074="",C1074="",B1074&lt;=0.05,C1074&lt;=0.05),0,1)</f>
        <v>1</v>
      </c>
      <c r="E1074" s="25" t="n">
        <f aca="false">IF(OR(A1074&lt;Resumen!$B$6,A1074&gt;=Resumen!$B$7),0,MAX(0,AVERAGEIFS(B1026:B1122,D1026:D1122,1)-Resumen!$B$5*AVERAGEIFS(C1026:C1122,D1026:D1122,1)))</f>
        <v>0.588334192783505</v>
      </c>
      <c r="F1074" s="10" t="n">
        <f aca="false">IF(B1074="","",(B1074-E1074)/Resumen!$B$5)</f>
        <v>3.07161700334908</v>
      </c>
      <c r="G1074" s="10" t="n">
        <f aca="false">IF(OR(F1074="",C1074=""),0,(F1074-C1074)*0.9)</f>
        <v>-0.461864696985826</v>
      </c>
      <c r="H1074" s="26" t="n">
        <f aca="false">IF(A1074&lt;Resumen!$B$11,"",IF(H1073="",0,H1073)+G1074/Resumen!$B$9)</f>
        <v>1.3726808561777</v>
      </c>
      <c r="I1074" s="26" t="n">
        <f aca="false">IF(H1074="","",H1074-AVERAGE(H1026:H1122))</f>
        <v>0.1250190118345</v>
      </c>
      <c r="J1074" s="27" t="n">
        <f aca="false">IF(I1074="","",Resumen!$B$10-(MAX(I1026:I1122)-I1074))</f>
        <v>1.76023735440303</v>
      </c>
    </row>
    <row r="1075" customFormat="false" ht="15" hidden="false" customHeight="false" outlineLevel="0" collapsed="false">
      <c r="A1075" s="24" t="n">
        <v>46272.5729166667</v>
      </c>
      <c r="B1075" s="10" t="n">
        <v>4.8803</v>
      </c>
      <c r="C1075" s="10" t="n">
        <v>3.3368</v>
      </c>
      <c r="D1075" s="10" t="n">
        <f aca="false">IF(OR(B1075="",C1075="",B1075&lt;=0.05,C1075&lt;=0.05),0,1)</f>
        <v>1</v>
      </c>
      <c r="E1075" s="25" t="n">
        <f aca="false">IF(OR(A1075&lt;Resumen!$B$6,A1075&gt;=Resumen!$B$7),0,MAX(0,AVERAGEIFS(B1027:B1123,D1027:D1123,1)-Resumen!$B$5*AVERAGEIFS(C1027:C1123,D1027:D1123,1)))</f>
        <v>0.585377656701032</v>
      </c>
      <c r="F1075" s="10" t="n">
        <f aca="false">IF(B1075="","",(B1075-E1075)/Resumen!$B$5)</f>
        <v>3.41137596767194</v>
      </c>
      <c r="G1075" s="10" t="n">
        <f aca="false">IF(OR(F1075="",C1075=""),0,(F1075-C1075)*0.9)</f>
        <v>0.0671183709047426</v>
      </c>
      <c r="H1075" s="26" t="n">
        <f aca="false">IF(A1075&lt;Resumen!$B$11,"",IF(H1074="",0,H1074)+G1075/Resumen!$B$9)</f>
        <v>1.37585346706102</v>
      </c>
      <c r="I1075" s="26" t="n">
        <f aca="false">IF(H1075="","",H1075-AVERAGE(H1027:H1123))</f>
        <v>0.12916955098904</v>
      </c>
      <c r="J1075" s="27" t="n">
        <f aca="false">IF(I1075="","",Resumen!$B$10-(MAX(I1027:I1123)-I1075))</f>
        <v>1.76438789355757</v>
      </c>
    </row>
    <row r="1076" customFormat="false" ht="15" hidden="false" customHeight="false" outlineLevel="0" collapsed="false">
      <c r="A1076" s="24" t="n">
        <v>46272.5833333333</v>
      </c>
      <c r="B1076" s="10" t="n">
        <v>4.473</v>
      </c>
      <c r="C1076" s="10" t="n">
        <v>3.6042</v>
      </c>
      <c r="D1076" s="10" t="n">
        <f aca="false">IF(OR(B1076="",C1076="",B1076&lt;=0.05,C1076&lt;=0.05),0,1)</f>
        <v>1</v>
      </c>
      <c r="E1076" s="25" t="n">
        <f aca="false">IF(OR(A1076&lt;Resumen!$B$6,A1076&gt;=Resumen!$B$7),0,MAX(0,AVERAGEIFS(B1028:B1124,D1028:D1124,1)-Resumen!$B$5*AVERAGEIFS(C1028:C1124,D1028:D1124,1)))</f>
        <v>0.594869874226805</v>
      </c>
      <c r="F1076" s="10" t="n">
        <f aca="false">IF(B1076="","",(B1076-E1076)/Resumen!$B$5)</f>
        <v>3.08032575518125</v>
      </c>
      <c r="G1076" s="10" t="n">
        <f aca="false">IF(OR(F1076="",C1076=""),0,(F1076-C1076)*0.9)</f>
        <v>-0.471486820336874</v>
      </c>
      <c r="H1076" s="26" t="n">
        <f aca="false">IF(A1076&lt;Resumen!$B$11,"",IF(H1075="",0,H1075)+G1076/Resumen!$B$9)</f>
        <v>1.35356680846997</v>
      </c>
      <c r="I1076" s="26" t="n">
        <f aca="false">IF(H1076="","",H1076-AVERAGE(H1028:H1124))</f>
        <v>0.107507637020039</v>
      </c>
      <c r="J1076" s="27" t="n">
        <f aca="false">IF(I1076="","",Resumen!$B$10-(MAX(I1028:I1124)-I1076))</f>
        <v>1.74272597958857</v>
      </c>
    </row>
    <row r="1077" customFormat="false" ht="15" hidden="false" customHeight="false" outlineLevel="0" collapsed="false">
      <c r="A1077" s="24" t="n">
        <v>46272.59375</v>
      </c>
      <c r="B1077" s="10" t="n">
        <v>5.0831</v>
      </c>
      <c r="C1077" s="10" t="n">
        <v>4.0409</v>
      </c>
      <c r="D1077" s="10" t="n">
        <f aca="false">IF(OR(B1077="",C1077="",B1077&lt;=0.05,C1077&lt;=0.05),0,1)</f>
        <v>1</v>
      </c>
      <c r="E1077" s="25" t="n">
        <f aca="false">IF(OR(A1077&lt;Resumen!$B$6,A1077&gt;=Resumen!$B$7),0,MAX(0,AVERAGEIFS(B1029:B1125,D1029:D1125,1)-Resumen!$B$5*AVERAGEIFS(C1029:C1125,D1029:D1125,1)))</f>
        <v>0.593533864948454</v>
      </c>
      <c r="F1077" s="10" t="n">
        <f aca="false">IF(B1077="","",(B1077-E1077)/Resumen!$B$5)</f>
        <v>3.56597786739599</v>
      </c>
      <c r="G1077" s="10" t="n">
        <f aca="false">IF(OR(F1077="",C1077=""),0,(F1077-C1077)*0.9)</f>
        <v>-0.427429919343612</v>
      </c>
      <c r="H1077" s="26" t="n">
        <f aca="false">IF(A1077&lt;Resumen!$B$11,"",IF(H1076="",0,H1076)+G1077/Resumen!$B$9)</f>
        <v>1.33336267068049</v>
      </c>
      <c r="I1077" s="26" t="n">
        <f aca="false">IF(H1077="","",H1077-AVERAGE(H1029:H1125))</f>
        <v>0.0879449541860879</v>
      </c>
      <c r="J1077" s="27" t="n">
        <f aca="false">IF(I1077="","",Resumen!$B$10-(MAX(I1029:I1125)-I1077))</f>
        <v>1.72316329675462</v>
      </c>
    </row>
    <row r="1078" customFormat="false" ht="15" hidden="false" customHeight="false" outlineLevel="0" collapsed="false">
      <c r="A1078" s="24" t="n">
        <v>46272.6041666667</v>
      </c>
      <c r="B1078" s="10" t="n">
        <v>4.8121</v>
      </c>
      <c r="C1078" s="10" t="n">
        <v>4.0597</v>
      </c>
      <c r="D1078" s="10" t="n">
        <f aca="false">IF(OR(B1078="",C1078="",B1078&lt;=0.05,C1078&lt;=0.05),0,1)</f>
        <v>1</v>
      </c>
      <c r="E1078" s="25" t="n">
        <f aca="false">IF(OR(A1078&lt;Resumen!$B$6,A1078&gt;=Resumen!$B$7),0,MAX(0,AVERAGEIFS(B1030:B1126,D1030:D1126,1)-Resumen!$B$5*AVERAGEIFS(C1030:C1126,D1030:D1126,1)))</f>
        <v>0.594024856701031</v>
      </c>
      <c r="F1078" s="10" t="n">
        <f aca="false">IF(B1078="","",(B1078-E1078)/Resumen!$B$5)</f>
        <v>3.35033768331928</v>
      </c>
      <c r="G1078" s="10" t="n">
        <f aca="false">IF(OR(F1078="",C1078=""),0,(F1078-C1078)*0.9)</f>
        <v>-0.638426085012651</v>
      </c>
      <c r="H1078" s="26" t="n">
        <f aca="false">IF(A1078&lt;Resumen!$B$11,"",IF(H1077="",0,H1077)+G1078/Resumen!$B$9)</f>
        <v>1.30318497837059</v>
      </c>
      <c r="I1078" s="26" t="n">
        <f aca="false">IF(H1078="","",H1078-AVERAGE(H1030:H1126))</f>
        <v>0.0583628477263922</v>
      </c>
      <c r="J1078" s="27" t="n">
        <f aca="false">IF(I1078="","",Resumen!$B$10-(MAX(I1030:I1126)-I1078))</f>
        <v>1.69358119029492</v>
      </c>
    </row>
    <row r="1079" customFormat="false" ht="15" hidden="false" customHeight="false" outlineLevel="0" collapsed="false">
      <c r="A1079" s="24" t="n">
        <v>46272.6145833333</v>
      </c>
      <c r="B1079" s="10" t="n">
        <v>5.4662</v>
      </c>
      <c r="C1079" s="10" t="n">
        <v>3.5302</v>
      </c>
      <c r="D1079" s="10" t="n">
        <f aca="false">IF(OR(B1079="",C1079="",B1079&lt;=0.05,C1079&lt;=0.05),0,1)</f>
        <v>1</v>
      </c>
      <c r="E1079" s="25" t="n">
        <f aca="false">IF(OR(A1079&lt;Resumen!$B$6,A1079&gt;=Resumen!$B$7),0,MAX(0,AVERAGEIFS(B1031:B1127,D1031:D1127,1)-Resumen!$B$5*AVERAGEIFS(C1031:C1127,D1031:D1127,1)))</f>
        <v>0.594573180412371</v>
      </c>
      <c r="F1079" s="10" t="n">
        <f aca="false">IF(B1079="","",(B1079-E1079)/Resumen!$B$5)</f>
        <v>3.86944147703545</v>
      </c>
      <c r="G1079" s="10" t="n">
        <f aca="false">IF(OR(F1079="",C1079=""),0,(F1079-C1079)*0.9)</f>
        <v>0.305317329331904</v>
      </c>
      <c r="H1079" s="26" t="n">
        <f aca="false">IF(A1079&lt;Resumen!$B$11,"",IF(H1078="",0,H1078)+G1079/Resumen!$B$9)</f>
        <v>1.31761698958967</v>
      </c>
      <c r="I1079" s="26" t="n">
        <f aca="false">IF(H1079="","",H1079-AVERAGE(H1031:H1127))</f>
        <v>0.0733492969027609</v>
      </c>
      <c r="J1079" s="27" t="n">
        <f aca="false">IF(I1079="","",Resumen!$B$10-(MAX(I1031:I1127)-I1079))</f>
        <v>1.70856763947129</v>
      </c>
    </row>
    <row r="1080" customFormat="false" ht="15" hidden="false" customHeight="false" outlineLevel="0" collapsed="false">
      <c r="A1080" s="24" t="n">
        <v>46272.625</v>
      </c>
      <c r="B1080" s="10" t="n">
        <v>5.0523</v>
      </c>
      <c r="C1080" s="10" t="n">
        <v>3.4179</v>
      </c>
      <c r="D1080" s="10" t="n">
        <f aca="false">IF(OR(B1080="",C1080="",B1080&lt;=0.05,C1080&lt;=0.05),0,1)</f>
        <v>1</v>
      </c>
      <c r="E1080" s="25" t="n">
        <f aca="false">IF(OR(A1080&lt;Resumen!$B$6,A1080&gt;=Resumen!$B$7),0,MAX(0,AVERAGEIFS(B1032:B1128,D1032:D1128,1)-Resumen!$B$5*AVERAGEIFS(C1032:C1128,D1032:D1128,1)))</f>
        <v>0.596384534020619</v>
      </c>
      <c r="F1080" s="10" t="n">
        <f aca="false">IF(B1080="","",(B1080-E1080)/Resumen!$B$5)</f>
        <v>3.53924977440777</v>
      </c>
      <c r="G1080" s="10" t="n">
        <f aca="false">IF(OR(F1080="",C1080=""),0,(F1080-C1080)*0.9)</f>
        <v>0.109214796966992</v>
      </c>
      <c r="H1080" s="26" t="n">
        <f aca="false">IF(A1080&lt;Resumen!$B$11,"",IF(H1079="",0,H1079)+G1080/Resumen!$B$9)</f>
        <v>1.32277945180093</v>
      </c>
      <c r="I1080" s="26" t="n">
        <f aca="false">IF(H1080="","",H1080-AVERAGE(H1032:H1128))</f>
        <v>0.078981463253347</v>
      </c>
      <c r="J1080" s="27" t="n">
        <f aca="false">IF(I1080="","",Resumen!$B$10-(MAX(I1032:I1128)-I1080))</f>
        <v>1.71419980582188</v>
      </c>
    </row>
    <row r="1081" customFormat="false" ht="15" hidden="false" customHeight="false" outlineLevel="0" collapsed="false">
      <c r="A1081" s="24" t="n">
        <v>46272.6354166667</v>
      </c>
      <c r="B1081" s="10" t="n">
        <v>4.3233</v>
      </c>
      <c r="C1081" s="10" t="n">
        <v>2.6579</v>
      </c>
      <c r="D1081" s="10" t="n">
        <f aca="false">IF(OR(B1081="",C1081="",B1081&lt;=0.05,C1081&lt;=0.05),0,1)</f>
        <v>1</v>
      </c>
      <c r="E1081" s="25" t="n">
        <f aca="false">IF(OR(A1081&lt;Resumen!$B$6,A1081&gt;=Resumen!$B$7),0,MAX(0,AVERAGEIFS(B1033:B1129,D1033:D1129,1)-Resumen!$B$5*AVERAGEIFS(C1033:C1129,D1033:D1129,1)))</f>
        <v>0.601549864948453</v>
      </c>
      <c r="F1081" s="10" t="n">
        <f aca="false">IF(B1081="","",(B1081-E1081)/Resumen!$B$5)</f>
        <v>2.95611607232053</v>
      </c>
      <c r="G1081" s="10" t="n">
        <f aca="false">IF(OR(F1081="",C1081=""),0,(F1081-C1081)*0.9)</f>
        <v>0.268394465088477</v>
      </c>
      <c r="H1081" s="26" t="n">
        <f aca="false">IF(A1081&lt;Resumen!$B$11,"",IF(H1080="",0,H1080)+G1081/Resumen!$B$9)</f>
        <v>1.33546616021598</v>
      </c>
      <c r="I1081" s="26" t="n">
        <f aca="false">IF(H1081="","",H1081-AVERAGE(H1033:H1129))</f>
        <v>0.0919396640091252</v>
      </c>
      <c r="J1081" s="27" t="n">
        <f aca="false">IF(I1081="","",Resumen!$B$10-(MAX(I1033:I1129)-I1081))</f>
        <v>1.72715800657766</v>
      </c>
    </row>
    <row r="1082" customFormat="false" ht="15" hidden="false" customHeight="false" outlineLevel="0" collapsed="false">
      <c r="A1082" s="24" t="n">
        <v>46272.6458333333</v>
      </c>
      <c r="B1082" s="10" t="n">
        <v>4.7581</v>
      </c>
      <c r="C1082" s="10" t="n">
        <v>3.2226</v>
      </c>
      <c r="D1082" s="10" t="n">
        <f aca="false">IF(OR(B1082="",C1082="",B1082&lt;=0.05,C1082&lt;=0.05),0,1)</f>
        <v>1</v>
      </c>
      <c r="E1082" s="25" t="n">
        <f aca="false">IF(OR(A1082&lt;Resumen!$B$6,A1082&gt;=Resumen!$B$7),0,MAX(0,AVERAGEIFS(B1034:B1130,D1034:D1130,1)-Resumen!$B$5*AVERAGEIFS(C1034:C1130,D1034:D1130,1)))</f>
        <v>0.597051801030927</v>
      </c>
      <c r="F1082" s="10" t="n">
        <f aca="false">IF(B1082="","",(B1082-E1082)/Resumen!$B$5)</f>
        <v>3.30504225493969</v>
      </c>
      <c r="G1082" s="10" t="n">
        <f aca="false">IF(OR(F1082="",C1082=""),0,(F1082-C1082)*0.9)</f>
        <v>0.0741980294457231</v>
      </c>
      <c r="H1082" s="26" t="n">
        <f aca="false">IF(A1082&lt;Resumen!$B$11,"",IF(H1081="",0,H1081)+G1082/Resumen!$B$9)</f>
        <v>1.33897341869927</v>
      </c>
      <c r="I1082" s="26" t="n">
        <f aca="false">IF(H1082="","",H1082-AVERAGE(H1034:H1130))</f>
        <v>0.0958450501228787</v>
      </c>
      <c r="J1082" s="27" t="n">
        <f aca="false">IF(I1082="","",Resumen!$B$10-(MAX(I1034:I1130)-I1082))</f>
        <v>1.73106339269141</v>
      </c>
    </row>
    <row r="1083" customFormat="false" ht="15" hidden="false" customHeight="false" outlineLevel="0" collapsed="false">
      <c r="A1083" s="24" t="n">
        <v>46272.65625</v>
      </c>
      <c r="B1083" s="10" t="n">
        <v>4.0426</v>
      </c>
      <c r="C1083" s="10" t="n">
        <v>2.5395</v>
      </c>
      <c r="D1083" s="10" t="n">
        <f aca="false">IF(OR(B1083="",C1083="",B1083&lt;=0.05,C1083&lt;=0.05),0,1)</f>
        <v>1</v>
      </c>
      <c r="E1083" s="25" t="n">
        <f aca="false">IF(OR(A1083&lt;Resumen!$B$6,A1083&gt;=Resumen!$B$7),0,MAX(0,AVERAGEIFS(B1035:B1131,D1035:D1131,1)-Resumen!$B$5*AVERAGEIFS(C1035:C1131,D1035:D1131,1)))</f>
        <v>0.59863995670103</v>
      </c>
      <c r="F1083" s="10" t="n">
        <f aca="false">IF(B1083="","",(B1083-E1083)/Resumen!$B$5)</f>
        <v>2.735472631691</v>
      </c>
      <c r="G1083" s="10" t="n">
        <f aca="false">IF(OR(F1083="",C1083=""),0,(F1083-C1083)*0.9)</f>
        <v>0.176375368521901</v>
      </c>
      <c r="H1083" s="26" t="n">
        <f aca="false">IF(A1083&lt;Resumen!$B$11,"",IF(H1082="",0,H1082)+G1083/Resumen!$B$9)</f>
        <v>1.34731048657173</v>
      </c>
      <c r="I1083" s="26" t="n">
        <f aca="false">IF(H1083="","",H1083-AVERAGE(H1035:H1131))</f>
        <v>0.104497246220058</v>
      </c>
      <c r="J1083" s="27" t="n">
        <f aca="false">IF(I1083="","",Resumen!$B$10-(MAX(I1035:I1131)-I1083))</f>
        <v>1.73971558878859</v>
      </c>
    </row>
    <row r="1084" customFormat="false" ht="15" hidden="false" customHeight="false" outlineLevel="0" collapsed="false">
      <c r="A1084" s="24" t="n">
        <v>46272.6666666667</v>
      </c>
      <c r="B1084" s="10" t="n">
        <v>3.8716</v>
      </c>
      <c r="C1084" s="10" t="n">
        <v>2.9384</v>
      </c>
      <c r="D1084" s="10" t="n">
        <f aca="false">IF(OR(B1084="",C1084="",B1084&lt;=0.05,C1084&lt;=0.05),0,1)</f>
        <v>1</v>
      </c>
      <c r="E1084" s="25" t="n">
        <f aca="false">IF(OR(A1084&lt;Resumen!$B$6,A1084&gt;=Resumen!$B$7),0,MAX(0,AVERAGEIFS(B1036:B1132,D1036:D1132,1)-Resumen!$B$5*AVERAGEIFS(C1036:C1132,D1036:D1132,1)))</f>
        <v>0.599877198969072</v>
      </c>
      <c r="F1084" s="10" t="n">
        <f aca="false">IF(B1084="","",(B1084-E1084)/Resumen!$B$5)</f>
        <v>2.59866783243124</v>
      </c>
      <c r="G1084" s="10" t="n">
        <f aca="false">IF(OR(F1084="",C1084=""),0,(F1084-C1084)*0.9)</f>
        <v>-0.305758950811886</v>
      </c>
      <c r="H1084" s="26" t="n">
        <f aca="false">IF(A1084&lt;Resumen!$B$11,"",IF(H1083="",0,H1083)+G1084/Resumen!$B$9)</f>
        <v>1.33285760039554</v>
      </c>
      <c r="I1084" s="26" t="n">
        <f aca="false">IF(H1084="","",H1084-AVERAGE(H1036:H1132))</f>
        <v>0.090288635293984</v>
      </c>
      <c r="J1084" s="27" t="n">
        <f aca="false">IF(I1084="","",Resumen!$B$10-(MAX(I1036:I1132)-I1084))</f>
        <v>1.72550697786252</v>
      </c>
    </row>
    <row r="1085" customFormat="false" ht="15" hidden="false" customHeight="false" outlineLevel="0" collapsed="false">
      <c r="A1085" s="24" t="n">
        <v>46272.6770833333</v>
      </c>
      <c r="B1085" s="10" t="n">
        <v>3.9463</v>
      </c>
      <c r="C1085" s="10" t="n">
        <v>3.0155</v>
      </c>
      <c r="D1085" s="10" t="n">
        <f aca="false">IF(OR(B1085="",C1085="",B1085&lt;=0.05,C1085&lt;=0.05),0,1)</f>
        <v>1</v>
      </c>
      <c r="E1085" s="25" t="n">
        <f aca="false">IF(OR(A1085&lt;Resumen!$B$6,A1085&gt;=Resumen!$B$7),0,MAX(0,AVERAGEIFS(B1037:B1133,D1037:D1133,1)-Resumen!$B$5*AVERAGEIFS(C1037:C1133,D1037:D1133,1)))</f>
        <v>0.602316222680412</v>
      </c>
      <c r="F1085" s="10" t="n">
        <f aca="false">IF(B1085="","",(B1085-E1085)/Resumen!$B$5)</f>
        <v>2.65606336562318</v>
      </c>
      <c r="G1085" s="10" t="n">
        <f aca="false">IF(OR(F1085="",C1085=""),0,(F1085-C1085)*0.9)</f>
        <v>-0.323492970939135</v>
      </c>
      <c r="H1085" s="26" t="n">
        <f aca="false">IF(A1085&lt;Resumen!$B$11,"",IF(H1084="",0,H1084)+G1085/Resumen!$B$9)</f>
        <v>1.3175664467748</v>
      </c>
      <c r="I1085" s="26" t="n">
        <f aca="false">IF(H1085="","",H1085-AVERAGE(H1037:H1133))</f>
        <v>0.0751331766559034</v>
      </c>
      <c r="J1085" s="27" t="n">
        <f aca="false">IF(I1085="","",Resumen!$B$10-(MAX(I1037:I1133)-I1085))</f>
        <v>1.71035151922444</v>
      </c>
    </row>
    <row r="1086" customFormat="false" ht="15" hidden="false" customHeight="false" outlineLevel="0" collapsed="false">
      <c r="A1086" s="24" t="n">
        <v>46272.6875</v>
      </c>
      <c r="B1086" s="10" t="n">
        <v>4.9697</v>
      </c>
      <c r="C1086" s="10" t="n">
        <v>3.0954</v>
      </c>
      <c r="D1086" s="10" t="n">
        <f aca="false">IF(OR(B1086="",C1086="",B1086&lt;=0.05,C1086&lt;=0.05),0,1)</f>
        <v>1</v>
      </c>
      <c r="E1086" s="25" t="n">
        <f aca="false">IF(OR(A1086&lt;Resumen!$B$6,A1086&gt;=Resumen!$B$7),0,MAX(0,AVERAGEIFS(B1038:B1134,D1038:D1134,1)-Resumen!$B$5*AVERAGEIFS(C1038:C1134,D1038:D1134,1)))</f>
        <v>0.607026991752578</v>
      </c>
      <c r="F1086" s="10" t="n">
        <f aca="false">IF(B1086="","",(B1086-E1086)/Resumen!$B$5)</f>
        <v>3.46518904547055</v>
      </c>
      <c r="G1086" s="10" t="n">
        <f aca="false">IF(OR(F1086="",C1086=""),0,(F1086-C1086)*0.9)</f>
        <v>0.332810140923495</v>
      </c>
      <c r="H1086" s="26" t="n">
        <f aca="false">IF(A1086&lt;Resumen!$B$11,"",IF(H1085="",0,H1085)+G1086/Resumen!$B$9)</f>
        <v>1.33329801267754</v>
      </c>
      <c r="I1086" s="26" t="n">
        <f aca="false">IF(H1086="","",H1086-AVERAGE(H1038:H1134))</f>
        <v>0.0908155053971977</v>
      </c>
      <c r="J1086" s="27" t="n">
        <f aca="false">IF(I1086="","",Resumen!$B$10-(MAX(I1038:I1134)-I1086))</f>
        <v>1.72603384796573</v>
      </c>
    </row>
    <row r="1087" customFormat="false" ht="15" hidden="false" customHeight="false" outlineLevel="0" collapsed="false">
      <c r="A1087" s="24" t="n">
        <v>46272.6979166667</v>
      </c>
      <c r="B1087" s="10" t="n">
        <v>5.2085</v>
      </c>
      <c r="C1087" s="10" t="n">
        <v>3.0873</v>
      </c>
      <c r="D1087" s="10" t="n">
        <f aca="false">IF(OR(B1087="",C1087="",B1087&lt;=0.05,C1087&lt;=0.05),0,1)</f>
        <v>1</v>
      </c>
      <c r="E1087" s="25" t="n">
        <f aca="false">IF(OR(A1087&lt;Resumen!$B$6,A1087&gt;=Resumen!$B$7),0,MAX(0,AVERAGEIFS(B1039:B1135,D1039:D1135,1)-Resumen!$B$5*AVERAGEIFS(C1039:C1135,D1039:D1135,1)))</f>
        <v>0.614674073195876</v>
      </c>
      <c r="F1087" s="10" t="n">
        <f aca="false">IF(B1087="","",(B1087-E1087)/Resumen!$B$5)</f>
        <v>3.64878945735038</v>
      </c>
      <c r="G1087" s="10" t="n">
        <f aca="false">IF(OR(F1087="",C1087=""),0,(F1087-C1087)*0.9)</f>
        <v>0.505340511615339</v>
      </c>
      <c r="H1087" s="26" t="n">
        <f aca="false">IF(A1087&lt;Resumen!$B$11,"",IF(H1086="",0,H1086)+G1087/Resumen!$B$9)</f>
        <v>1.35718489767371</v>
      </c>
      <c r="I1087" s="26" t="n">
        <f aca="false">IF(H1087="","",H1087-AVERAGE(H1039:H1135))</f>
        <v>0.114364408567101</v>
      </c>
      <c r="J1087" s="27" t="n">
        <f aca="false">IF(I1087="","",Resumen!$B$10-(MAX(I1039:I1135)-I1087))</f>
        <v>1.74958275113563</v>
      </c>
    </row>
    <row r="1088" customFormat="false" ht="15" hidden="false" customHeight="false" outlineLevel="0" collapsed="false">
      <c r="A1088" s="24" t="n">
        <v>46272.7083333333</v>
      </c>
      <c r="B1088" s="10" t="n">
        <v>4.6454</v>
      </c>
      <c r="C1088" s="10" t="n">
        <v>2.8664</v>
      </c>
      <c r="D1088" s="10" t="n">
        <f aca="false">IF(OR(B1088="",C1088="",B1088&lt;=0.05,C1088&lt;=0.05),0,1)</f>
        <v>1</v>
      </c>
      <c r="E1088" s="25" t="n">
        <f aca="false">IF(OR(A1088&lt;Resumen!$B$6,A1088&gt;=Resumen!$B$7),0,MAX(0,AVERAGEIFS(B1040:B1136,D1040:D1136,1)-Resumen!$B$5*AVERAGEIFS(C1040:C1136,D1040:D1136,1)))</f>
        <v>0.613581907216495</v>
      </c>
      <c r="F1088" s="10" t="n">
        <f aca="false">IF(B1088="","",(B1088-E1088)/Resumen!$B$5)</f>
        <v>3.20239721428396</v>
      </c>
      <c r="G1088" s="10" t="n">
        <f aca="false">IF(OR(F1088="",C1088=""),0,(F1088-C1088)*0.9)</f>
        <v>0.302397492855563</v>
      </c>
      <c r="H1088" s="26" t="n">
        <f aca="false">IF(A1088&lt;Resumen!$B$11,"",IF(H1087="",0,H1087)+G1088/Resumen!$B$9)</f>
        <v>1.37147889146392</v>
      </c>
      <c r="I1088" s="26" t="n">
        <f aca="false">IF(H1088="","",H1088-AVERAGE(H1040:H1136))</f>
        <v>0.128319090091707</v>
      </c>
      <c r="J1088" s="27" t="n">
        <f aca="false">IF(I1088="","",Resumen!$B$10-(MAX(I1040:I1136)-I1088))</f>
        <v>1.76353743266024</v>
      </c>
    </row>
    <row r="1089" customFormat="false" ht="15" hidden="false" customHeight="false" outlineLevel="0" collapsed="false">
      <c r="A1089" s="24" t="n">
        <v>46272.71875</v>
      </c>
      <c r="B1089" s="10" t="n">
        <v>4.5747</v>
      </c>
      <c r="C1089" s="10" t="n">
        <v>3.3864</v>
      </c>
      <c r="D1089" s="10" t="n">
        <f aca="false">IF(OR(B1089="",C1089="",B1089&lt;=0.05,C1089&lt;=0.05),0,1)</f>
        <v>1</v>
      </c>
      <c r="E1089" s="25" t="n">
        <f aca="false">IF(OR(A1089&lt;Resumen!$B$6,A1089&gt;=Resumen!$B$7),0,MAX(0,AVERAGEIFS(B1041:B1137,D1041:D1137,1)-Resumen!$B$5*AVERAGEIFS(C1041:C1137,D1041:D1137,1)))</f>
        <v>0.642791050515465</v>
      </c>
      <c r="F1089" s="10" t="n">
        <f aca="false">IF(B1089="","",(B1089-E1089)/Resumen!$B$5)</f>
        <v>3.12304126249765</v>
      </c>
      <c r="G1089" s="10" t="n">
        <f aca="false">IF(OR(F1089="",C1089=""),0,(F1089-C1089)*0.9)</f>
        <v>-0.237022863752119</v>
      </c>
      <c r="H1089" s="26" t="n">
        <f aca="false">IF(A1089&lt;Resumen!$B$11,"",IF(H1088="",0,H1088)+G1089/Resumen!$B$9)</f>
        <v>1.36027508381784</v>
      </c>
      <c r="I1089" s="26" t="n">
        <f aca="false">IF(H1089="","",H1089-AVERAGE(H1041:H1137))</f>
        <v>0.115744623464166</v>
      </c>
      <c r="J1089" s="27" t="n">
        <f aca="false">IF(I1089="","",Resumen!$B$10-(MAX(I1041:I1137)-I1089))</f>
        <v>1.7509629660327</v>
      </c>
    </row>
    <row r="1090" customFormat="false" ht="15" hidden="false" customHeight="false" outlineLevel="0" collapsed="false">
      <c r="A1090" s="24" t="n">
        <v>46272.7291666667</v>
      </c>
      <c r="B1090" s="10" t="n">
        <v>4.112</v>
      </c>
      <c r="C1090" s="10" t="n">
        <v>2.9073</v>
      </c>
      <c r="D1090" s="10" t="n">
        <f aca="false">IF(OR(B1090="",C1090="",B1090&lt;=0.05,C1090&lt;=0.05),0,1)</f>
        <v>1</v>
      </c>
      <c r="E1090" s="25" t="n">
        <f aca="false">IF(OR(A1090&lt;Resumen!$B$6,A1090&gt;=Resumen!$B$7),0,MAX(0,AVERAGEIFS(B1042:B1138,D1042:D1138,1)-Resumen!$B$5*AVERAGEIFS(C1042:C1138,D1042:D1138,1)))</f>
        <v>0.635781965979382</v>
      </c>
      <c r="F1090" s="10" t="n">
        <f aca="false">IF(B1090="","",(B1090-E1090)/Resumen!$B$5)</f>
        <v>2.76109454648183</v>
      </c>
      <c r="G1090" s="10" t="n">
        <f aca="false">IF(OR(F1090="",C1090=""),0,(F1090-C1090)*0.9)</f>
        <v>-0.131584908166357</v>
      </c>
      <c r="H1090" s="26" t="n">
        <f aca="false">IF(A1090&lt;Resumen!$B$11,"",IF(H1089="",0,H1089)+G1090/Resumen!$B$9)</f>
        <v>1.35405521128367</v>
      </c>
      <c r="I1090" s="26" t="n">
        <f aca="false">IF(H1090="","",H1090-AVERAGE(H1042:H1138))</f>
        <v>0.108347329970732</v>
      </c>
      <c r="J1090" s="27" t="n">
        <f aca="false">IF(I1090="","",Resumen!$B$10-(MAX(I1042:I1138)-I1090))</f>
        <v>1.74356567253926</v>
      </c>
    </row>
    <row r="1091" customFormat="false" ht="15" hidden="false" customHeight="false" outlineLevel="0" collapsed="false">
      <c r="A1091" s="24" t="n">
        <v>46272.7395833333</v>
      </c>
      <c r="B1091" s="10" t="n">
        <v>4.6239</v>
      </c>
      <c r="C1091" s="10" t="n">
        <v>3.6753</v>
      </c>
      <c r="D1091" s="10" t="n">
        <f aca="false">IF(OR(B1091="",C1091="",B1091&lt;=0.05,C1091&lt;=0.05),0,1)</f>
        <v>1</v>
      </c>
      <c r="E1091" s="25" t="n">
        <f aca="false">IF(OR(A1091&lt;Resumen!$B$6,A1091&gt;=Resumen!$B$7),0,MAX(0,AVERAGEIFS(B1043:B1139,D1043:D1139,1)-Resumen!$B$5*AVERAGEIFS(C1043:C1139,D1043:D1139,1)))</f>
        <v>0.64473424742268</v>
      </c>
      <c r="F1091" s="10" t="n">
        <f aca="false">IF(B1091="","",(B1091-E1091)/Resumen!$B$5)</f>
        <v>3.16057645161026</v>
      </c>
      <c r="G1091" s="10" t="n">
        <f aca="false">IF(OR(F1091="",C1091=""),0,(F1091-C1091)*0.9)</f>
        <v>-0.463251193550764</v>
      </c>
      <c r="H1091" s="26" t="n">
        <f aca="false">IF(A1091&lt;Resumen!$B$11,"",IF(H1090="",0,H1090)+G1091/Resumen!$B$9)</f>
        <v>1.33215784162827</v>
      </c>
      <c r="I1091" s="26" t="n">
        <f aca="false">IF(H1091="","",H1091-AVERAGE(H1043:H1139))</f>
        <v>0.0849267775473108</v>
      </c>
      <c r="J1091" s="27" t="n">
        <f aca="false">IF(I1091="","",Resumen!$B$10-(MAX(I1043:I1139)-I1091))</f>
        <v>1.72014512011584</v>
      </c>
    </row>
    <row r="1092" customFormat="false" ht="15" hidden="false" customHeight="false" outlineLevel="0" collapsed="false">
      <c r="A1092" s="24" t="n">
        <v>46272.75</v>
      </c>
      <c r="B1092" s="10" t="n">
        <v>4.3037</v>
      </c>
      <c r="C1092" s="10" t="n">
        <v>3.2796</v>
      </c>
      <c r="D1092" s="10" t="n">
        <f aca="false">IF(OR(B1092="",C1092="",B1092&lt;=0.05,C1092&lt;=0.05),0,1)</f>
        <v>1</v>
      </c>
      <c r="E1092" s="25" t="n">
        <f aca="false">IF(OR(A1092&lt;Resumen!$B$6,A1092&gt;=Resumen!$B$7),0,MAX(0,AVERAGEIFS(B1044:B1140,D1044:D1140,1)-Resumen!$B$5*AVERAGEIFS(C1044:C1140,D1044:D1140,1)))</f>
        <v>0.653631388659794</v>
      </c>
      <c r="F1092" s="10" t="n">
        <f aca="false">IF(B1092="","",(B1092-E1092)/Resumen!$B$5)</f>
        <v>2.89918078740287</v>
      </c>
      <c r="G1092" s="10" t="n">
        <f aca="false">IF(OR(F1092="",C1092=""),0,(F1092-C1092)*0.9)</f>
        <v>-0.342377291337421</v>
      </c>
      <c r="H1092" s="26" t="n">
        <f aca="false">IF(A1092&lt;Resumen!$B$11,"",IF(H1091="",0,H1091)+G1092/Resumen!$B$9)</f>
        <v>1.31597404714614</v>
      </c>
      <c r="I1092" s="26" t="n">
        <f aca="false">IF(H1092="","",H1092-AVERAGE(H1044:H1140))</f>
        <v>0.0668827534360965</v>
      </c>
      <c r="J1092" s="27" t="n">
        <f aca="false">IF(I1092="","",Resumen!$B$10-(MAX(I1044:I1140)-I1092))</f>
        <v>1.70210109600463</v>
      </c>
    </row>
    <row r="1093" customFormat="false" ht="15" hidden="false" customHeight="false" outlineLevel="0" collapsed="false">
      <c r="A1093" s="24" t="n">
        <v>46272.7604166667</v>
      </c>
      <c r="B1093" s="10" t="n">
        <v>4.406</v>
      </c>
      <c r="C1093" s="10" t="n">
        <v>2.9699</v>
      </c>
      <c r="D1093" s="10" t="n">
        <f aca="false">IF(OR(B1093="",C1093="",B1093&lt;=0.05,C1093&lt;=0.05),0,1)</f>
        <v>1</v>
      </c>
      <c r="E1093" s="25" t="n">
        <f aca="false">IF(OR(A1093&lt;Resumen!$B$6,A1093&gt;=Resumen!$B$7),0,MAX(0,AVERAGEIFS(B1045:B1141,D1045:D1141,1)-Resumen!$B$5*AVERAGEIFS(C1045:C1141,D1045:D1141,1)))</f>
        <v>0.647265365979381</v>
      </c>
      <c r="F1093" s="10" t="n">
        <f aca="false">IF(B1093="","",(B1093-E1093)/Resumen!$B$5)</f>
        <v>2.9854921636383</v>
      </c>
      <c r="G1093" s="10" t="n">
        <f aca="false">IF(OR(F1093="",C1093=""),0,(F1093-C1093)*0.9)</f>
        <v>0.0140329472744697</v>
      </c>
      <c r="H1093" s="26" t="n">
        <f aca="false">IF(A1093&lt;Resumen!$B$11,"",IF(H1092="",0,H1092)+G1093/Resumen!$B$9)</f>
        <v>1.31663736898557</v>
      </c>
      <c r="I1093" s="26" t="n">
        <f aca="false">IF(H1093="","",H1093-AVERAGE(H1045:H1141))</f>
        <v>0.0658670803430068</v>
      </c>
      <c r="J1093" s="27" t="n">
        <f aca="false">IF(I1093="","",Resumen!$B$10-(MAX(I1045:I1141)-I1093))</f>
        <v>1.70108542291154</v>
      </c>
    </row>
    <row r="1094" customFormat="false" ht="15" hidden="false" customHeight="false" outlineLevel="0" collapsed="false">
      <c r="A1094" s="24" t="n">
        <v>46272.7708333333</v>
      </c>
      <c r="B1094" s="10" t="n">
        <v>3.7041</v>
      </c>
      <c r="C1094" s="10" t="n">
        <v>2.7483</v>
      </c>
      <c r="D1094" s="10" t="n">
        <f aca="false">IF(OR(B1094="",C1094="",B1094&lt;=0.05,C1094&lt;=0.05),0,1)</f>
        <v>1</v>
      </c>
      <c r="E1094" s="25" t="n">
        <f aca="false">IF(OR(A1094&lt;Resumen!$B$6,A1094&gt;=Resumen!$B$7),0,MAX(0,AVERAGEIFS(B1046:B1142,D1046:D1142,1)-Resumen!$B$5*AVERAGEIFS(C1046:C1142,D1046:D1142,1)))</f>
        <v>0.651942149484535</v>
      </c>
      <c r="F1094" s="10" t="n">
        <f aca="false">IF(B1094="","",(B1094-E1094)/Resumen!$B$5)</f>
        <v>2.42427152542928</v>
      </c>
      <c r="G1094" s="10" t="n">
        <f aca="false">IF(OR(F1094="",C1094=""),0,(F1094-C1094)*0.9)</f>
        <v>-0.291625627113647</v>
      </c>
      <c r="H1094" s="26" t="n">
        <f aca="false">IF(A1094&lt;Resumen!$B$11,"",IF(H1093="",0,H1093)+G1094/Resumen!$B$9)</f>
        <v>1.30285254933093</v>
      </c>
      <c r="I1094" s="26" t="n">
        <f aca="false">IF(H1094="","",H1094-AVERAGE(H1046:H1142))</f>
        <v>0.0502089744161594</v>
      </c>
      <c r="J1094" s="27" t="n">
        <f aca="false">IF(I1094="","",Resumen!$B$10-(MAX(I1046:I1142)-I1094))</f>
        <v>1.68542731698469</v>
      </c>
    </row>
    <row r="1095" customFormat="false" ht="15" hidden="false" customHeight="false" outlineLevel="0" collapsed="false">
      <c r="A1095" s="24" t="n">
        <v>46272.78125</v>
      </c>
      <c r="B1095" s="10" t="n">
        <v>3.8733</v>
      </c>
      <c r="C1095" s="10" t="n">
        <v>2.5587</v>
      </c>
      <c r="D1095" s="10" t="n">
        <f aca="false">IF(OR(B1095="",C1095="",B1095&lt;=0.05,C1095&lt;=0.05),0,1)</f>
        <v>1</v>
      </c>
      <c r="E1095" s="25" t="n">
        <f aca="false">IF(OR(A1095&lt;Resumen!$B$6,A1095&gt;=Resumen!$B$7),0,MAX(0,AVERAGEIFS(B1047:B1143,D1047:D1143,1)-Resumen!$B$5*AVERAGEIFS(C1047:C1143,D1047:D1143,1)))</f>
        <v>0.65549004742268</v>
      </c>
      <c r="F1095" s="10" t="n">
        <f aca="false">IF(B1095="","",(B1095-E1095)/Resumen!$B$5)</f>
        <v>2.555845871785</v>
      </c>
      <c r="G1095" s="10" t="n">
        <f aca="false">IF(OR(F1095="",C1095=""),0,(F1095-C1095)*0.9)</f>
        <v>-0.00256871539349648</v>
      </c>
      <c r="H1095" s="26" t="n">
        <f aca="false">IF(A1095&lt;Resumen!$B$11,"",IF(H1094="",0,H1094)+G1095/Resumen!$B$9)</f>
        <v>1.30273112900586</v>
      </c>
      <c r="I1095" s="26" t="n">
        <f aca="false">IF(H1095="","",H1095-AVERAGE(H1047:H1143))</f>
        <v>0.0480632524857809</v>
      </c>
      <c r="J1095" s="27" t="n">
        <f aca="false">IF(I1095="","",Resumen!$B$10-(MAX(I1047:I1143)-I1095))</f>
        <v>1.68328159505431</v>
      </c>
    </row>
    <row r="1096" customFormat="false" ht="15" hidden="false" customHeight="false" outlineLevel="0" collapsed="false">
      <c r="A1096" s="24" t="n">
        <v>46272.7916666667</v>
      </c>
      <c r="B1096" s="10" t="n">
        <v>4.0889</v>
      </c>
      <c r="C1096" s="10" t="n">
        <v>2.8308</v>
      </c>
      <c r="D1096" s="10" t="n">
        <f aca="false">IF(OR(B1096="",C1096="",B1096&lt;=0.05,C1096&lt;=0.05),0,1)</f>
        <v>1</v>
      </c>
      <c r="E1096" s="25" t="n">
        <f aca="false">IF(OR(A1096&lt;Resumen!$B$6,A1096&gt;=Resumen!$B$7),0,MAX(0,AVERAGEIFS(B1048:B1144,D1048:D1144,1)-Resumen!$B$5*AVERAGEIFS(C1048:C1144,D1048:D1144,1)))</f>
        <v>0.651788482474227</v>
      </c>
      <c r="F1096" s="10" t="n">
        <f aca="false">IF(B1096="","",(B1096-E1096)/Resumen!$B$5)</f>
        <v>2.73003297658918</v>
      </c>
      <c r="G1096" s="10" t="n">
        <f aca="false">IF(OR(F1096="",C1096=""),0,(F1096-C1096)*0.9)</f>
        <v>-0.090690321069741</v>
      </c>
      <c r="H1096" s="26" t="n">
        <f aca="false">IF(A1096&lt;Resumen!$B$11,"",IF(H1095="",0,H1095)+G1096/Resumen!$B$9)</f>
        <v>1.2984442982059</v>
      </c>
      <c r="I1096" s="26" t="n">
        <f aca="false">IF(H1096="","",H1096-AVERAGE(H1048:H1144))</f>
        <v>0.0418440687618253</v>
      </c>
      <c r="J1096" s="27" t="n">
        <f aca="false">IF(I1096="","",Resumen!$B$10-(MAX(I1048:I1144)-I1096))</f>
        <v>1.67706241133036</v>
      </c>
    </row>
    <row r="1097" customFormat="false" ht="15" hidden="false" customHeight="false" outlineLevel="0" collapsed="false">
      <c r="A1097" s="24" t="n">
        <v>46272.8020833333</v>
      </c>
      <c r="B1097" s="10" t="n">
        <v>3.7203</v>
      </c>
      <c r="C1097" s="10" t="n">
        <v>2.1206</v>
      </c>
      <c r="D1097" s="10" t="n">
        <f aca="false">IF(OR(B1097="",C1097="",B1097&lt;=0.05,C1097&lt;=0.05),0,1)</f>
        <v>1</v>
      </c>
      <c r="E1097" s="25" t="n">
        <f aca="false">IF(OR(A1097&lt;Resumen!$B$6,A1097&gt;=Resumen!$B$7),0,MAX(0,AVERAGEIFS(B1049:B1145,D1049:D1145,1)-Resumen!$B$5*AVERAGEIFS(C1049:C1145,D1049:D1145,1)))</f>
        <v>0.665651626804124</v>
      </c>
      <c r="F1097" s="10" t="n">
        <f aca="false">IF(B1097="","",(B1097-E1097)/Resumen!$B$5)</f>
        <v>2.42624970071158</v>
      </c>
      <c r="G1097" s="10" t="n">
        <f aca="false">IF(OR(F1097="",C1097=""),0,(F1097-C1097)*0.9)</f>
        <v>0.27508473064042</v>
      </c>
      <c r="H1097" s="26" t="n">
        <f aca="false">IF(A1097&lt;Resumen!$B$11,"",IF(H1096="",0,H1096)+G1097/Resumen!$B$9)</f>
        <v>1.31144724804661</v>
      </c>
      <c r="I1097" s="26" t="n">
        <f aca="false">IF(H1097="","",H1097-AVERAGE(H1049:H1145))</f>
        <v>0.0524180208026204</v>
      </c>
      <c r="J1097" s="27" t="n">
        <f aca="false">IF(I1097="","",Resumen!$B$10-(MAX(I1049:I1145)-I1097))</f>
        <v>1.68763636337115</v>
      </c>
    </row>
    <row r="1098" customFormat="false" ht="15" hidden="false" customHeight="false" outlineLevel="0" collapsed="false">
      <c r="A1098" s="24" t="n">
        <v>46272.8125</v>
      </c>
      <c r="B1098" s="10" t="n">
        <v>2.8752</v>
      </c>
      <c r="C1098" s="10" t="n">
        <v>2.0098</v>
      </c>
      <c r="D1098" s="10" t="n">
        <f aca="false">IF(OR(B1098="",C1098="",B1098&lt;=0.05,C1098&lt;=0.05),0,1)</f>
        <v>1</v>
      </c>
      <c r="E1098" s="25" t="n">
        <f aca="false">IF(OR(A1098&lt;Resumen!$B$6,A1098&gt;=Resumen!$B$7),0,MAX(0,AVERAGEIFS(B1050:B1146,D1050:D1146,1)-Resumen!$B$5*AVERAGEIFS(C1050:C1146,D1050:D1146,1)))</f>
        <v>0.671309336082475</v>
      </c>
      <c r="F1098" s="10" t="n">
        <f aca="false">IF(B1098="","",(B1098-E1098)/Resumen!$B$5)</f>
        <v>1.75050886728954</v>
      </c>
      <c r="G1098" s="10" t="n">
        <f aca="false">IF(OR(F1098="",C1098=""),0,(F1098-C1098)*0.9)</f>
        <v>-0.233362019439418</v>
      </c>
      <c r="H1098" s="26" t="n">
        <f aca="false">IF(A1098&lt;Resumen!$B$11,"",IF(H1097="",0,H1097)+G1098/Resumen!$B$9)</f>
        <v>1.30041648444722</v>
      </c>
      <c r="I1098" s="26" t="n">
        <f aca="false">IF(H1098="","",H1098-AVERAGE(H1050:H1146))</f>
        <v>0.0387370637353996</v>
      </c>
      <c r="J1098" s="27" t="n">
        <f aca="false">IF(I1098="","",Resumen!$B$10-(MAX(I1050:I1146)-I1098))</f>
        <v>1.67395540630393</v>
      </c>
    </row>
    <row r="1099" customFormat="false" ht="15" hidden="false" customHeight="false" outlineLevel="0" collapsed="false">
      <c r="A1099" s="24" t="n">
        <v>46272.8229166667</v>
      </c>
      <c r="B1099" s="10" t="n">
        <v>2.7195</v>
      </c>
      <c r="C1099" s="10" t="n">
        <v>1.9983</v>
      </c>
      <c r="D1099" s="10" t="n">
        <f aca="false">IF(OR(B1099="",C1099="",B1099&lt;=0.05,C1099&lt;=0.05),0,1)</f>
        <v>1</v>
      </c>
      <c r="E1099" s="25" t="n">
        <f aca="false">IF(OR(A1099&lt;Resumen!$B$6,A1099&gt;=Resumen!$B$7),0,MAX(0,AVERAGEIFS(B1051:B1147,D1051:D1147,1)-Resumen!$B$5*AVERAGEIFS(C1051:C1147,D1051:D1147,1)))</f>
        <v>0.667625073195877</v>
      </c>
      <c r="F1099" s="10" t="n">
        <f aca="false">IF(B1099="","",(B1099-E1099)/Resumen!$B$5)</f>
        <v>1.62976562891511</v>
      </c>
      <c r="G1099" s="10" t="n">
        <f aca="false">IF(OR(F1099="",C1099=""),0,(F1099-C1099)*0.9)</f>
        <v>-0.331680933976401</v>
      </c>
      <c r="H1099" s="26" t="n">
        <f aca="false">IF(A1099&lt;Resumen!$B$11,"",IF(H1098="",0,H1098)+G1099/Resumen!$B$9)</f>
        <v>1.28473829490332</v>
      </c>
      <c r="I1099" s="26" t="n">
        <f aca="false">IF(H1099="","",H1099-AVERAGE(H1051:H1147))</f>
        <v>0.0205055562484398</v>
      </c>
      <c r="J1099" s="27" t="n">
        <f aca="false">IF(I1099="","",Resumen!$B$10-(MAX(I1051:I1147)-I1099))</f>
        <v>1.65572389881697</v>
      </c>
    </row>
    <row r="1100" customFormat="false" ht="15" hidden="false" customHeight="false" outlineLevel="0" collapsed="false">
      <c r="A1100" s="24" t="n">
        <v>46272.8333333333</v>
      </c>
      <c r="B1100" s="10" t="n">
        <v>3.5356</v>
      </c>
      <c r="C1100" s="10" t="n">
        <v>2.587</v>
      </c>
      <c r="D1100" s="10" t="n">
        <f aca="false">IF(OR(B1100="",C1100="",B1100&lt;=0.05,C1100&lt;=0.05),0,1)</f>
        <v>1</v>
      </c>
      <c r="E1100" s="25" t="n">
        <f aca="false">IF(OR(A1100&lt;Resumen!$B$6,A1100&gt;=Resumen!$B$7),0,MAX(0,AVERAGEIFS(B1052:B1148,D1052:D1148,1)-Resumen!$B$5*AVERAGEIFS(C1052:C1148,D1052:D1148,1)))</f>
        <v>0.657721361855671</v>
      </c>
      <c r="F1100" s="10" t="n">
        <f aca="false">IF(B1100="","",(B1100-E1100)/Resumen!$B$5)</f>
        <v>2.28584482775562</v>
      </c>
      <c r="G1100" s="10" t="n">
        <f aca="false">IF(OR(F1100="",C1100=""),0,(F1100-C1100)*0.9)</f>
        <v>-0.271039655019939</v>
      </c>
      <c r="H1100" s="26" t="n">
        <f aca="false">IF(A1100&lt;Resumen!$B$11,"",IF(H1099="",0,H1099)+G1100/Resumen!$B$9)</f>
        <v>1.27192655129668</v>
      </c>
      <c r="I1100" s="26" t="n">
        <f aca="false">IF(H1100="","",H1100-AVERAGE(H1052:H1148))</f>
        <v>0.00545209252374668</v>
      </c>
      <c r="J1100" s="27" t="n">
        <f aca="false">IF(I1100="","",Resumen!$B$10-(MAX(I1052:I1148)-I1100))</f>
        <v>1.64067043509228</v>
      </c>
    </row>
    <row r="1101" customFormat="false" ht="15" hidden="false" customHeight="false" outlineLevel="0" collapsed="false">
      <c r="A1101" s="24" t="n">
        <v>46272.84375</v>
      </c>
      <c r="B1101" s="10" t="n">
        <v>4.0584</v>
      </c>
      <c r="C1101" s="10" t="n">
        <v>3.4062</v>
      </c>
      <c r="D1101" s="10" t="n">
        <f aca="false">IF(OR(B1101="",C1101="",B1101&lt;=0.05,C1101&lt;=0.05),0,1)</f>
        <v>1</v>
      </c>
      <c r="E1101" s="25" t="n">
        <f aca="false">IF(OR(A1101&lt;Resumen!$B$6,A1101&gt;=Resumen!$B$7),0,MAX(0,AVERAGEIFS(B1053:B1149,D1053:D1149,1)-Resumen!$B$5*AVERAGEIFS(C1053:C1149,D1053:D1149,1)))</f>
        <v>0.659899449484536</v>
      </c>
      <c r="F1101" s="10" t="n">
        <f aca="false">IF(B1101="","",(B1101-E1101)/Resumen!$B$5)</f>
        <v>2.69936501232364</v>
      </c>
      <c r="G1101" s="10" t="n">
        <f aca="false">IF(OR(F1101="",C1101=""),0,(F1101-C1101)*0.9)</f>
        <v>-0.636151488908723</v>
      </c>
      <c r="H1101" s="26" t="n">
        <f aca="false">IF(A1101&lt;Resumen!$B$11,"",IF(H1100="",0,H1100)+G1101/Resumen!$B$9)</f>
        <v>1.24185637661955</v>
      </c>
      <c r="I1101" s="26" t="n">
        <f aca="false">IF(H1101="","",H1101-AVERAGE(H1053:H1149))</f>
        <v>-0.0269575656399426</v>
      </c>
      <c r="J1101" s="27" t="n">
        <f aca="false">IF(I1101="","",Resumen!$B$10-(MAX(I1053:I1149)-I1101))</f>
        <v>1.60826077692859</v>
      </c>
    </row>
    <row r="1102" customFormat="false" ht="15" hidden="false" customHeight="false" outlineLevel="0" collapsed="false">
      <c r="A1102" s="24" t="n">
        <v>46272.8541666667</v>
      </c>
      <c r="B1102" s="10" t="n">
        <v>3.5942</v>
      </c>
      <c r="C1102" s="10" t="n">
        <v>2.6089</v>
      </c>
      <c r="D1102" s="10" t="n">
        <f aca="false">IF(OR(B1102="",C1102="",B1102&lt;=0.05,C1102&lt;=0.05),0,1)</f>
        <v>1</v>
      </c>
      <c r="E1102" s="25" t="n">
        <f aca="false">IF(OR(A1102&lt;Resumen!$B$6,A1102&gt;=Resumen!$B$7),0,MAX(0,AVERAGEIFS(B1054:B1150,D1054:D1150,1)-Resumen!$B$5*AVERAGEIFS(C1054:C1150,D1054:D1150,1)))</f>
        <v>0.670582094845361</v>
      </c>
      <c r="F1102" s="10" t="n">
        <f aca="false">IF(B1102="","",(B1102-E1102)/Resumen!$B$5)</f>
        <v>2.32217466652473</v>
      </c>
      <c r="G1102" s="10" t="n">
        <f aca="false">IF(OR(F1102="",C1102=""),0,(F1102-C1102)*0.9)</f>
        <v>-0.25805280012774</v>
      </c>
      <c r="H1102" s="26" t="n">
        <f aca="false">IF(A1102&lt;Resumen!$B$11,"",IF(H1101="",0,H1101)+G1102/Resumen!$B$9)</f>
        <v>1.22965850722672</v>
      </c>
      <c r="I1102" s="26" t="n">
        <f aca="false">IF(H1102="","",H1102-AVERAGE(H1054:H1150))</f>
        <v>-0.0418713068495469</v>
      </c>
      <c r="J1102" s="27" t="n">
        <f aca="false">IF(I1102="","",Resumen!$B$10-(MAX(I1054:I1150)-I1102))</f>
        <v>1.59334703571898</v>
      </c>
    </row>
    <row r="1103" customFormat="false" ht="15" hidden="false" customHeight="false" outlineLevel="0" collapsed="false">
      <c r="A1103" s="24" t="n">
        <v>46272.8645833333</v>
      </c>
      <c r="B1103" s="10" t="n">
        <v>3.281</v>
      </c>
      <c r="C1103" s="10" t="n">
        <v>2.9379</v>
      </c>
      <c r="D1103" s="10" t="n">
        <f aca="false">IF(OR(B1103="",C1103="",B1103&lt;=0.05,C1103&lt;=0.05),0,1)</f>
        <v>1</v>
      </c>
      <c r="E1103" s="25" t="n">
        <f aca="false">IF(OR(A1103&lt;Resumen!$B$6,A1103&gt;=Resumen!$B$7),0,MAX(0,AVERAGEIFS(B1055:B1151,D1055:D1151,1)-Resumen!$B$5*AVERAGEIFS(C1055:C1151,D1055:D1151,1)))</f>
        <v>0.660421636082475</v>
      </c>
      <c r="F1103" s="10" t="n">
        <f aca="false">IF(B1103="","",(B1103-E1103)/Resumen!$B$5)</f>
        <v>2.08147606347699</v>
      </c>
      <c r="G1103" s="10" t="n">
        <f aca="false">IF(OR(F1103="",C1103=""),0,(F1103-C1103)*0.9)</f>
        <v>-0.770781542870713</v>
      </c>
      <c r="H1103" s="26" t="n">
        <f aca="false">IF(A1103&lt;Resumen!$B$11,"",IF(H1102="",0,H1102)+G1103/Resumen!$B$9)</f>
        <v>1.19322451935412</v>
      </c>
      <c r="I1103" s="26" t="n">
        <f aca="false">IF(H1103="","",H1103-AVERAGE(H1055:H1151))</f>
        <v>-0.0806896858394541</v>
      </c>
      <c r="J1103" s="27" t="n">
        <f aca="false">IF(I1103="","",Resumen!$B$10-(MAX(I1055:I1151)-I1103))</f>
        <v>1.55452865672908</v>
      </c>
    </row>
    <row r="1104" customFormat="false" ht="15" hidden="false" customHeight="false" outlineLevel="0" collapsed="false">
      <c r="A1104" s="24" t="n">
        <v>46272.875</v>
      </c>
      <c r="B1104" s="10" t="n">
        <v>3.5536</v>
      </c>
      <c r="C1104" s="10" t="n">
        <v>2.212</v>
      </c>
      <c r="D1104" s="10" t="n">
        <f aca="false">IF(OR(B1104="",C1104="",B1104&lt;=0.05,C1104&lt;=0.05),0,1)</f>
        <v>1</v>
      </c>
      <c r="E1104" s="25" t="n">
        <f aca="false">IF(OR(A1104&lt;Resumen!$B$6,A1104&gt;=Resumen!$B$7),0,MAX(0,AVERAGEIFS(B1056:B1152,D1056:D1152,1)-Resumen!$B$5*AVERAGEIFS(C1056:C1152,D1056:D1152,1)))</f>
        <v>0.673847858762886</v>
      </c>
      <c r="F1104" s="10" t="n">
        <f aca="false">IF(B1104="","",(B1104-E1104)/Resumen!$B$5)</f>
        <v>2.28733291599453</v>
      </c>
      <c r="G1104" s="10" t="n">
        <f aca="false">IF(OR(F1104="",C1104=""),0,(F1104-C1104)*0.9)</f>
        <v>0.067799624395077</v>
      </c>
      <c r="H1104" s="26" t="n">
        <f aca="false">IF(A1104&lt;Resumen!$B$11,"",IF(H1103="",0,H1103)+G1104/Resumen!$B$9)</f>
        <v>1.19642933233366</v>
      </c>
      <c r="I1104" s="26" t="n">
        <f aca="false">IF(H1104="","",H1104-AVERAGE(H1056:H1152))</f>
        <v>-0.0803282895772406</v>
      </c>
      <c r="J1104" s="27" t="n">
        <f aca="false">IF(I1104="","",Resumen!$B$10-(MAX(I1056:I1152)-I1104))</f>
        <v>1.55489005299129</v>
      </c>
    </row>
    <row r="1105" customFormat="false" ht="15" hidden="false" customHeight="false" outlineLevel="0" collapsed="false">
      <c r="A1105" s="24" t="n">
        <v>46272.8854166667</v>
      </c>
      <c r="B1105" s="10" t="n">
        <v>2.8267</v>
      </c>
      <c r="C1105" s="10" t="n">
        <v>1.9323</v>
      </c>
      <c r="D1105" s="10" t="n">
        <f aca="false">IF(OR(B1105="",C1105="",B1105&lt;=0.05,C1105&lt;=0.05),0,1)</f>
        <v>1</v>
      </c>
      <c r="E1105" s="25" t="n">
        <f aca="false">IF(OR(A1105&lt;Resumen!$B$6,A1105&gt;=Resumen!$B$7),0,MAX(0,AVERAGEIFS(B1057:B1153,D1057:D1153,1)-Resumen!$B$5*AVERAGEIFS(C1057:C1153,D1057:D1153,1)))</f>
        <v>0.668206185567011</v>
      </c>
      <c r="F1105" s="10" t="n">
        <f aca="false">IF(B1105="","",(B1105-E1105)/Resumen!$B$5)</f>
        <v>1.71445100431532</v>
      </c>
      <c r="G1105" s="10" t="n">
        <f aca="false">IF(OR(F1105="",C1105=""),0,(F1105-C1105)*0.9)</f>
        <v>-0.196064096116211</v>
      </c>
      <c r="H1105" s="26" t="n">
        <f aca="false">IF(A1105&lt;Resumen!$B$11,"",IF(H1104="",0,H1104)+G1105/Resumen!$B$9)</f>
        <v>1.18716160016464</v>
      </c>
      <c r="I1105" s="26" t="n">
        <f aca="false">IF(H1105="","",H1105-AVERAGE(H1057:H1153))</f>
        <v>-0.0922548628099498</v>
      </c>
      <c r="J1105" s="27" t="n">
        <f aca="false">IF(I1105="","",Resumen!$B$10-(MAX(I1057:I1153)-I1105))</f>
        <v>1.54296347975858</v>
      </c>
    </row>
    <row r="1106" customFormat="false" ht="15" hidden="false" customHeight="false" outlineLevel="0" collapsed="false">
      <c r="A1106" s="24" t="n">
        <v>46272.8958333333</v>
      </c>
      <c r="B1106" s="10" t="n">
        <v>3.4945</v>
      </c>
      <c r="C1106" s="10" t="n">
        <v>2.1344</v>
      </c>
      <c r="D1106" s="10" t="n">
        <f aca="false">IF(OR(B1106="",C1106="",B1106&lt;=0.05,C1106&lt;=0.05),0,1)</f>
        <v>1</v>
      </c>
      <c r="E1106" s="25" t="n">
        <f aca="false">IF(OR(A1106&lt;Resumen!$B$6,A1106&gt;=Resumen!$B$7),0,MAX(0,AVERAGEIFS(B1058:B1154,D1058:D1154,1)-Resumen!$B$5*AVERAGEIFS(C1058:C1154,D1058:D1154,1)))</f>
        <v>0.6539039</v>
      </c>
      <c r="F1106" s="10" t="n">
        <f aca="false">IF(B1106="","",(B1106-E1106)/Resumen!$B$5)</f>
        <v>2.25623200953137</v>
      </c>
      <c r="G1106" s="10" t="n">
        <f aca="false">IF(OR(F1106="",C1106=""),0,(F1106-C1106)*0.9)</f>
        <v>0.109648808578237</v>
      </c>
      <c r="H1106" s="26" t="n">
        <f aca="false">IF(A1106&lt;Resumen!$B$11,"",IF(H1105="",0,H1105)+G1106/Resumen!$B$9)</f>
        <v>1.19234457762295</v>
      </c>
      <c r="I1106" s="26" t="n">
        <f aca="false">IF(H1106="","",H1106-AVERAGE(H1058:H1154))</f>
        <v>-0.0892501235473135</v>
      </c>
      <c r="J1106" s="27" t="n">
        <f aca="false">IF(I1106="","",Resumen!$B$10-(MAX(I1058:I1154)-I1106))</f>
        <v>1.54596821902122</v>
      </c>
    </row>
    <row r="1107" customFormat="false" ht="15" hidden="false" customHeight="false" outlineLevel="0" collapsed="false">
      <c r="A1107" s="24" t="n">
        <v>46272.90625</v>
      </c>
      <c r="B1107" s="10" t="n">
        <v>3.8598</v>
      </c>
      <c r="C1107" s="10" t="n">
        <v>1.894</v>
      </c>
      <c r="D1107" s="10" t="n">
        <f aca="false">IF(OR(B1107="",C1107="",B1107&lt;=0.05,C1107&lt;=0.05),0,1)</f>
        <v>1</v>
      </c>
      <c r="E1107" s="25" t="n">
        <f aca="false">IF(OR(A1107&lt;Resumen!$B$6,A1107&gt;=Resumen!$B$7),0,MAX(0,AVERAGEIFS(B1059:B1155,D1059:D1155,1)-Resumen!$B$5*AVERAGEIFS(C1059:C1155,D1059:D1155,1)))</f>
        <v>0.661759384536082</v>
      </c>
      <c r="F1107" s="10" t="n">
        <f aca="false">IF(B1107="","",(B1107-E1107)/Resumen!$B$5)</f>
        <v>2.540143459463</v>
      </c>
      <c r="G1107" s="10" t="n">
        <f aca="false">IF(OR(F1107="",C1107=""),0,(F1107-C1107)*0.9)</f>
        <v>0.581529113516701</v>
      </c>
      <c r="H1107" s="26" t="n">
        <f aca="false">IF(A1107&lt;Resumen!$B$11,"",IF(H1106="",0,H1106)+G1107/Resumen!$B$9)</f>
        <v>1.21983281325262</v>
      </c>
      <c r="I1107" s="26" t="n">
        <f aca="false">IF(H1107="","",H1107-AVERAGE(H1059:H1155))</f>
        <v>-0.064210919676249</v>
      </c>
      <c r="J1107" s="27" t="n">
        <f aca="false">IF(I1107="","",Resumen!$B$10-(MAX(I1059:I1155)-I1107))</f>
        <v>1.57100742289228</v>
      </c>
    </row>
    <row r="1108" customFormat="false" ht="15" hidden="false" customHeight="false" outlineLevel="0" collapsed="false">
      <c r="A1108" s="24" t="n">
        <v>46272.9166666667</v>
      </c>
      <c r="B1108" s="10" t="n">
        <v>3.2672</v>
      </c>
      <c r="C1108" s="10" t="n">
        <v>2.4619</v>
      </c>
      <c r="D1108" s="10" t="n">
        <f aca="false">IF(OR(B1108="",C1108="",B1108&lt;=0.05,C1108&lt;=0.05),0,1)</f>
        <v>1</v>
      </c>
      <c r="E1108" s="25" t="n">
        <f aca="false">IF(OR(A1108&lt;Resumen!$B$6,A1108&gt;=Resumen!$B$7),0,MAX(0,AVERAGEIFS(B1060:B1156,D1060:D1156,1)-Resumen!$B$5*AVERAGEIFS(C1060:C1156,D1060:D1156,1)))</f>
        <v>0.665703455670103</v>
      </c>
      <c r="F1108" s="10" t="n">
        <f aca="false">IF(B1108="","",(B1108-E1108)/Resumen!$B$5)</f>
        <v>2.06631973338356</v>
      </c>
      <c r="G1108" s="10" t="n">
        <f aca="false">IF(OR(F1108="",C1108=""),0,(F1108-C1108)*0.9)</f>
        <v>-0.3560222399548</v>
      </c>
      <c r="H1108" s="26" t="n">
        <f aca="false">IF(A1108&lt;Resumen!$B$11,"",IF(H1107="",0,H1107)+G1108/Resumen!$B$9)</f>
        <v>1.20300403719685</v>
      </c>
      <c r="I1108" s="26" t="n">
        <f aca="false">IF(H1108="","",H1108-AVERAGE(H1060:H1156))</f>
        <v>-0.0836358267127539</v>
      </c>
      <c r="J1108" s="27" t="n">
        <f aca="false">IF(I1108="","",Resumen!$B$10-(MAX(I1060:I1156)-I1108))</f>
        <v>1.55158251585578</v>
      </c>
    </row>
    <row r="1109" customFormat="false" ht="15" hidden="false" customHeight="false" outlineLevel="0" collapsed="false">
      <c r="A1109" s="24" t="n">
        <v>46272.9270833333</v>
      </c>
      <c r="B1109" s="10" t="n">
        <v>2.7864</v>
      </c>
      <c r="C1109" s="10" t="n">
        <v>1.8668</v>
      </c>
      <c r="D1109" s="10" t="n">
        <f aca="false">IF(OR(B1109="",C1109="",B1109&lt;=0.05,C1109&lt;=0.05),0,1)</f>
        <v>1</v>
      </c>
      <c r="E1109" s="25" t="n">
        <f aca="false">IF(OR(A1109&lt;Resumen!$B$6,A1109&gt;=Resumen!$B$7),0,MAX(0,AVERAGEIFS(B1061:B1157,D1061:D1157,1)-Resumen!$B$5*AVERAGEIFS(C1061:C1157,D1061:D1157,1)))</f>
        <v>0.670248</v>
      </c>
      <c r="F1109" s="10" t="n">
        <f aca="false">IF(B1109="","",(B1109-E1109)/Resumen!$B$5)</f>
        <v>1.68081969817315</v>
      </c>
      <c r="G1109" s="10" t="n">
        <f aca="false">IF(OR(F1109="",C1109=""),0,(F1109-C1109)*0.9)</f>
        <v>-0.167382271644162</v>
      </c>
      <c r="H1109" s="26" t="n">
        <f aca="false">IF(A1109&lt;Resumen!$B$11,"",IF(H1108="",0,H1108)+G1109/Resumen!$B$9)</f>
        <v>1.1950920630304</v>
      </c>
      <c r="I1109" s="26" t="n">
        <f aca="false">IF(H1109="","",H1109-AVERAGE(H1061:H1157))</f>
        <v>-0.0943096953972844</v>
      </c>
      <c r="J1109" s="27" t="n">
        <f aca="false">IF(I1109="","",Resumen!$B$10-(MAX(I1061:I1157)-I1109))</f>
        <v>1.54090864717125</v>
      </c>
    </row>
    <row r="1110" customFormat="false" ht="15" hidden="false" customHeight="false" outlineLevel="0" collapsed="false">
      <c r="A1110" s="24" t="n">
        <v>46272.9375</v>
      </c>
      <c r="B1110" s="10" t="n">
        <v>2.7832</v>
      </c>
      <c r="C1110" s="10" t="n">
        <v>2.2221</v>
      </c>
      <c r="D1110" s="10" t="n">
        <f aca="false">IF(OR(B1110="",C1110="",B1110&lt;=0.05,C1110&lt;=0.05),0,1)</f>
        <v>1</v>
      </c>
      <c r="E1110" s="25" t="n">
        <f aca="false">IF(OR(A1110&lt;Resumen!$B$6,A1110&gt;=Resumen!$B$7),0,MAX(0,AVERAGEIFS(B1062:B1158,D1062:D1158,1)-Resumen!$B$5*AVERAGEIFS(C1062:C1158,D1062:D1158,1)))</f>
        <v>0.667777958762887</v>
      </c>
      <c r="F1110" s="10" t="n">
        <f aca="false">IF(B1110="","",(B1110-E1110)/Resumen!$B$5)</f>
        <v>1.68023990566887</v>
      </c>
      <c r="G1110" s="10" t="n">
        <f aca="false">IF(OR(F1110="",C1110=""),0,(F1110-C1110)*0.9)</f>
        <v>-0.487674084898013</v>
      </c>
      <c r="H1110" s="26" t="n">
        <f aca="false">IF(A1110&lt;Resumen!$B$11,"",IF(H1109="",0,H1109)+G1110/Resumen!$B$9)</f>
        <v>1.17204025041333</v>
      </c>
      <c r="I1110" s="26" t="n">
        <f aca="false">IF(H1110="","",H1110-AVERAGE(H1062:H1158))</f>
        <v>-0.120053401591155</v>
      </c>
      <c r="J1110" s="27" t="n">
        <f aca="false">IF(I1110="","",Resumen!$B$10-(MAX(I1062:I1158)-I1110))</f>
        <v>1.51516494097738</v>
      </c>
    </row>
    <row r="1111" customFormat="false" ht="15" hidden="false" customHeight="false" outlineLevel="0" collapsed="false">
      <c r="A1111" s="24" t="n">
        <v>46272.9479166667</v>
      </c>
      <c r="B1111" s="10" t="n">
        <v>2.7806</v>
      </c>
      <c r="C1111" s="10" t="n">
        <v>1.5791</v>
      </c>
      <c r="D1111" s="10" t="n">
        <f aca="false">IF(OR(B1111="",C1111="",B1111&lt;=0.05,C1111&lt;=0.05),0,1)</f>
        <v>1</v>
      </c>
      <c r="E1111" s="25" t="n">
        <f aca="false">IF(OR(A1111&lt;Resumen!$B$6,A1111&gt;=Resumen!$B$7),0,MAX(0,AVERAGEIFS(B1063:B1159,D1063:D1159,1)-Resumen!$B$5*AVERAGEIFS(C1063:C1159,D1063:D1159,1)))</f>
        <v>0.678227145360825</v>
      </c>
      <c r="F1111" s="10" t="n">
        <f aca="false">IF(B1111="","",(B1111-E1111)/Resumen!$B$5)</f>
        <v>1.66987518239807</v>
      </c>
      <c r="G1111" s="10" t="n">
        <f aca="false">IF(OR(F1111="",C1111=""),0,(F1111-C1111)*0.9)</f>
        <v>0.0816976641582668</v>
      </c>
      <c r="H1111" s="26" t="n">
        <f aca="false">IF(A1111&lt;Resumen!$B$11,"",IF(H1110="",0,H1110)+G1111/Resumen!$B$9)</f>
        <v>1.175902008304</v>
      </c>
      <c r="I1111" s="26" t="n">
        <f aca="false">IF(H1111="","",H1111-AVERAGE(H1063:H1159))</f>
        <v>-0.119247232779613</v>
      </c>
      <c r="J1111" s="27" t="n">
        <f aca="false">IF(I1111="","",Resumen!$B$10-(MAX(I1063:I1159)-I1111))</f>
        <v>1.51597110978892</v>
      </c>
    </row>
    <row r="1112" customFormat="false" ht="15" hidden="false" customHeight="false" outlineLevel="0" collapsed="false">
      <c r="A1112" s="24" t="n">
        <v>46272.9583333333</v>
      </c>
      <c r="B1112" s="10" t="n">
        <v>2.5881</v>
      </c>
      <c r="C1112" s="10" t="n">
        <v>1.9477</v>
      </c>
      <c r="D1112" s="10" t="n">
        <f aca="false">IF(OR(B1112="",C1112="",B1112&lt;=0.05,C1112&lt;=0.05),0,1)</f>
        <v>1</v>
      </c>
      <c r="E1112" s="25" t="n">
        <f aca="false">IF(OR(A1112&lt;Resumen!$B$6,A1112&gt;=Resumen!$B$7),0,MAX(0,AVERAGEIFS(B1064:B1160,D1064:D1160,1)-Resumen!$B$5*AVERAGEIFS(C1064:C1160,D1064:D1160,1)))</f>
        <v>0.671148096907217</v>
      </c>
      <c r="F1112" s="10" t="n">
        <f aca="false">IF(B1112="","",(B1112-E1112)/Resumen!$B$5)</f>
        <v>1.52259881103478</v>
      </c>
      <c r="G1112" s="10" t="n">
        <f aca="false">IF(OR(F1112="",C1112=""),0,(F1112-C1112)*0.9)</f>
        <v>-0.382591070068701</v>
      </c>
      <c r="H1112" s="26" t="n">
        <f aca="false">IF(A1112&lt;Resumen!$B$11,"",IF(H1111="",0,H1111)+G1112/Resumen!$B$9)</f>
        <v>1.1578173531433</v>
      </c>
      <c r="I1112" s="26" t="n">
        <f aca="false">IF(H1112="","",H1112-AVERAGE(H1064:H1160))</f>
        <v>-0.140159079556811</v>
      </c>
      <c r="J1112" s="27" t="n">
        <f aca="false">IF(I1112="","",Resumen!$B$10-(MAX(I1064:I1160)-I1112))</f>
        <v>1.49505926301172</v>
      </c>
    </row>
    <row r="1113" customFormat="false" ht="15" hidden="false" customHeight="false" outlineLevel="0" collapsed="false">
      <c r="A1113" s="24" t="n">
        <v>46272.96875</v>
      </c>
      <c r="B1113" s="10" t="n">
        <v>3.437</v>
      </c>
      <c r="C1113" s="10" t="n">
        <v>1.7359</v>
      </c>
      <c r="D1113" s="10" t="n">
        <f aca="false">IF(OR(B1113="",C1113="",B1113&lt;=0.05,C1113&lt;=0.05),0,1)</f>
        <v>1</v>
      </c>
      <c r="E1113" s="25" t="n">
        <f aca="false">IF(OR(A1113&lt;Resumen!$B$6,A1113&gt;=Resumen!$B$7),0,MAX(0,AVERAGEIFS(B1065:B1161,D1065:D1161,1)-Resumen!$B$5*AVERAGEIFS(C1065:C1161,D1065:D1161,1)))</f>
        <v>0.561997401030928</v>
      </c>
      <c r="F1113" s="10" t="n">
        <f aca="false">IF(B1113="","",(B1113-E1113)/Resumen!$B$5)</f>
        <v>2.28356044397861</v>
      </c>
      <c r="G1113" s="10" t="n">
        <f aca="false">IF(OR(F1113="",C1113=""),0,(F1113-C1113)*0.9)</f>
        <v>0.492894399580751</v>
      </c>
      <c r="H1113" s="26" t="n">
        <f aca="false">IF(A1113&lt;Resumen!$B$11,"",IF(H1112="",0,H1112)+G1113/Resumen!$B$9)</f>
        <v>1.18111592424026</v>
      </c>
      <c r="I1113" s="26" t="n">
        <f aca="false">IF(H1113="","",H1113-AVERAGE(H1065:H1161))</f>
        <v>-0.116006483438216</v>
      </c>
      <c r="J1113" s="27" t="n">
        <f aca="false">IF(I1113="","",Resumen!$B$10-(MAX(I1065:I1161)-I1113))</f>
        <v>1.51921185913032</v>
      </c>
    </row>
    <row r="1114" customFormat="false" ht="15" hidden="false" customHeight="false" outlineLevel="0" collapsed="false">
      <c r="A1114" s="24" t="n">
        <v>46272.9791666667</v>
      </c>
      <c r="B1114" s="10" t="n">
        <v>2.7449</v>
      </c>
      <c r="C1114" s="10" t="n">
        <v>1.4079</v>
      </c>
      <c r="D1114" s="10" t="n">
        <f aca="false">IF(OR(B1114="",C1114="",B1114&lt;=0.05,C1114&lt;=0.05),0,1)</f>
        <v>1</v>
      </c>
      <c r="E1114" s="25" t="n">
        <f aca="false">IF(OR(A1114&lt;Resumen!$B$6,A1114&gt;=Resumen!$B$7),0,MAX(0,AVERAGEIFS(B1066:B1162,D1066:D1162,1)-Resumen!$B$5*AVERAGEIFS(C1066:C1162,D1066:D1162,1)))</f>
        <v>0.563386518556701</v>
      </c>
      <c r="F1114" s="10" t="n">
        <f aca="false">IF(B1114="","",(B1114-E1114)/Resumen!$B$5)</f>
        <v>1.73273509248872</v>
      </c>
      <c r="G1114" s="10" t="n">
        <f aca="false">IF(OR(F1114="",C1114=""),0,(F1114-C1114)*0.9)</f>
        <v>0.292351583239848</v>
      </c>
      <c r="H1114" s="26" t="n">
        <f aca="false">IF(A1114&lt;Resumen!$B$11,"",IF(H1113="",0,H1113)+G1114/Resumen!$B$9)</f>
        <v>1.19493505903508</v>
      </c>
      <c r="I1114" s="26" t="n">
        <f aca="false">IF(H1114="","",H1114-AVERAGE(H1066:H1162))</f>
        <v>-0.101393237573206</v>
      </c>
      <c r="J1114" s="27" t="n">
        <f aca="false">IF(I1114="","",Resumen!$B$10-(MAX(I1066:I1162)-I1114))</f>
        <v>1.53382510499533</v>
      </c>
    </row>
    <row r="1115" customFormat="false" ht="15" hidden="false" customHeight="false" outlineLevel="0" collapsed="false">
      <c r="A1115" s="24" t="n">
        <v>46272.9895833333</v>
      </c>
      <c r="B1115" s="10" t="n">
        <v>2.6546</v>
      </c>
      <c r="C1115" s="10" t="n">
        <v>1.5164</v>
      </c>
      <c r="D1115" s="10" t="n">
        <f aca="false">IF(OR(B1115="",C1115="",B1115&lt;=0.05,C1115&lt;=0.05),0,1)</f>
        <v>1</v>
      </c>
      <c r="E1115" s="25" t="n">
        <f aca="false">IF(OR(A1115&lt;Resumen!$B$6,A1115&gt;=Resumen!$B$7),0,MAX(0,AVERAGEIFS(B1067:B1163,D1067:D1163,1)-Resumen!$B$5*AVERAGEIFS(C1067:C1163,D1067:D1163,1)))</f>
        <v>0.542215231958763</v>
      </c>
      <c r="F1115" s="10" t="n">
        <f aca="false">IF(B1115="","",(B1115-E1115)/Resumen!$B$5)</f>
        <v>1.67782745674443</v>
      </c>
      <c r="G1115" s="10" t="n">
        <f aca="false">IF(OR(F1115="",C1115=""),0,(F1115-C1115)*0.9)</f>
        <v>0.145284711069987</v>
      </c>
      <c r="H1115" s="26" t="n">
        <f aca="false">IF(A1115&lt;Resumen!$B$11,"",IF(H1114="",0,H1114)+G1115/Resumen!$B$9)</f>
        <v>1.20180250604411</v>
      </c>
      <c r="I1115" s="26" t="n">
        <f aca="false">IF(H1115="","",H1115-AVERAGE(H1067:H1163))</f>
        <v>-0.0930319299096234</v>
      </c>
      <c r="J1115" s="27" t="n">
        <f aca="false">IF(I1115="","",Resumen!$B$10-(MAX(I1067:I1163)-I1115))</f>
        <v>1.57090218491138</v>
      </c>
    </row>
    <row r="1116" customFormat="false" ht="15" hidden="false" customHeight="false" outlineLevel="0" collapsed="false">
      <c r="A1116" s="24" t="n">
        <v>46273</v>
      </c>
      <c r="B1116" s="10" t="n">
        <v>2.1482</v>
      </c>
      <c r="C1116" s="10" t="n">
        <v>1.7621</v>
      </c>
      <c r="D1116" s="10" t="n">
        <f aca="false">IF(OR(B1116="",C1116="",B1116&lt;=0.05,C1116&lt;=0.05),0,1)</f>
        <v>1</v>
      </c>
      <c r="E1116" s="25" t="n">
        <f aca="false">IF(OR(A1116&lt;Resumen!$B$6,A1116&gt;=Resumen!$B$7),0,MAX(0,AVERAGEIFS(B1068:B1164,D1068:D1164,1)-Resumen!$B$5*AVERAGEIFS(C1068:C1164,D1068:D1164,1)))</f>
        <v>0.542174504123711</v>
      </c>
      <c r="F1116" s="10" t="n">
        <f aca="false">IF(B1116="","",(B1116-E1116)/Resumen!$B$5)</f>
        <v>1.27563581880563</v>
      </c>
      <c r="G1116" s="10" t="n">
        <f aca="false">IF(OR(F1116="",C1116=""),0,(F1116-C1116)*0.9)</f>
        <v>-0.437817763074932</v>
      </c>
      <c r="H1116" s="26" t="n">
        <f aca="false">IF(A1116&lt;Resumen!$B$11,"",IF(H1115="",0,H1115)+G1116/Resumen!$B$9)</f>
        <v>1.18110734641318</v>
      </c>
      <c r="I1116" s="26" t="n">
        <f aca="false">IF(H1116="","",H1116-AVERAGE(H1068:H1164))</f>
        <v>-0.112250336600917</v>
      </c>
      <c r="J1116" s="27" t="n">
        <f aca="false">IF(I1116="","",Resumen!$B$10-(MAX(I1068:I1164)-I1116))</f>
        <v>1.55168377822009</v>
      </c>
    </row>
    <row r="1117" customFormat="false" ht="15" hidden="false" customHeight="false" outlineLevel="0" collapsed="false">
      <c r="A1117" s="24" t="n">
        <v>46273.0104166667</v>
      </c>
      <c r="B1117" s="10" t="n">
        <v>2.932</v>
      </c>
      <c r="C1117" s="10" t="n">
        <v>1.5625</v>
      </c>
      <c r="D1117" s="10" t="n">
        <f aca="false">IF(OR(B1117="",C1117="",B1117&lt;=0.05,C1117&lt;=0.05),0,1)</f>
        <v>1</v>
      </c>
      <c r="E1117" s="25" t="n">
        <f aca="false">IF(OR(A1117&lt;Resumen!$B$6,A1117&gt;=Resumen!$B$7),0,MAX(0,AVERAGEIFS(B1069:B1165,D1069:D1165,1)-Resumen!$B$5*AVERAGEIFS(C1069:C1165,D1069:D1165,1)))</f>
        <v>0.539273584536083</v>
      </c>
      <c r="F1117" s="10" t="n">
        <f aca="false">IF(B1117="","",(B1117-E1117)/Resumen!$B$5)</f>
        <v>1.90049755001105</v>
      </c>
      <c r="G1117" s="10" t="n">
        <f aca="false">IF(OR(F1117="",C1117=""),0,(F1117-C1117)*0.9)</f>
        <v>0.304197795009949</v>
      </c>
      <c r="H1117" s="26" t="n">
        <f aca="false">IF(A1117&lt;Resumen!$B$11,"",IF(H1116="",0,H1116)+G1117/Resumen!$B$9)</f>
        <v>1.19548643848768</v>
      </c>
      <c r="I1117" s="26" t="n">
        <f aca="false">IF(H1117="","",H1117-AVERAGE(H1069:H1165))</f>
        <v>-0.0963087030658278</v>
      </c>
      <c r="J1117" s="27" t="n">
        <f aca="false">IF(I1117="","",Resumen!$B$10-(MAX(I1069:I1165)-I1117))</f>
        <v>1.56762541175518</v>
      </c>
    </row>
    <row r="1118" customFormat="false" ht="15" hidden="false" customHeight="false" outlineLevel="0" collapsed="false">
      <c r="A1118" s="24" t="n">
        <v>46273.0208333333</v>
      </c>
      <c r="B1118" s="10" t="n">
        <v>2.4147</v>
      </c>
      <c r="C1118" s="10" t="n">
        <v>1.4771</v>
      </c>
      <c r="D1118" s="10" t="n">
        <f aca="false">IF(OR(B1118="",C1118="",B1118&lt;=0.05,C1118&lt;=0.05),0,1)</f>
        <v>1</v>
      </c>
      <c r="E1118" s="25" t="n">
        <f aca="false">IF(OR(A1118&lt;Resumen!$B$6,A1118&gt;=Resumen!$B$7),0,MAX(0,AVERAGEIFS(B1070:B1166,D1070:D1166,1)-Resumen!$B$5*AVERAGEIFS(C1070:C1166,D1070:D1166,1)))</f>
        <v>0.534472489690722</v>
      </c>
      <c r="F1118" s="10" t="n">
        <f aca="false">IF(B1118="","",(B1118-E1118)/Resumen!$B$5)</f>
        <v>1.49342931716384</v>
      </c>
      <c r="G1118" s="10" t="n">
        <f aca="false">IF(OR(F1118="",C1118=""),0,(F1118-C1118)*0.9)</f>
        <v>0.0146963854474583</v>
      </c>
      <c r="H1118" s="26" t="n">
        <f aca="false">IF(A1118&lt;Resumen!$B$11,"",IF(H1117="",0,H1117)+G1118/Resumen!$B$9)</f>
        <v>1.19618112031305</v>
      </c>
      <c r="I1118" s="26" t="n">
        <f aca="false">IF(H1118="","",H1118-AVERAGE(H1070:H1166))</f>
        <v>-0.0939050640165842</v>
      </c>
      <c r="J1118" s="27" t="n">
        <f aca="false">IF(I1118="","",Resumen!$B$10-(MAX(I1070:I1166)-I1118))</f>
        <v>1.60655933681304</v>
      </c>
    </row>
    <row r="1119" customFormat="false" ht="15" hidden="false" customHeight="false" outlineLevel="0" collapsed="false">
      <c r="A1119" s="24" t="n">
        <v>46273.03125</v>
      </c>
      <c r="B1119" s="10" t="n">
        <v>2.6234</v>
      </c>
      <c r="C1119" s="10" t="n">
        <v>1.7307</v>
      </c>
      <c r="D1119" s="10" t="n">
        <f aca="false">IF(OR(B1119="",C1119="",B1119&lt;=0.05,C1119&lt;=0.05),0,1)</f>
        <v>1</v>
      </c>
      <c r="E1119" s="25" t="n">
        <f aca="false">IF(OR(A1119&lt;Resumen!$B$6,A1119&gt;=Resumen!$B$7),0,MAX(0,AVERAGEIFS(B1071:B1167,D1071:D1167,1)-Resumen!$B$5*AVERAGEIFS(C1071:C1167,D1071:D1167,1)))</f>
        <v>0.539288240206186</v>
      </c>
      <c r="F1119" s="10" t="n">
        <f aca="false">IF(B1119="","",(B1119-E1119)/Resumen!$B$5)</f>
        <v>1.65537073851772</v>
      </c>
      <c r="G1119" s="10" t="n">
        <f aca="false">IF(OR(F1119="",C1119=""),0,(F1119-C1119)*0.9)</f>
        <v>-0.0677963353340482</v>
      </c>
      <c r="H1119" s="26" t="n">
        <f aca="false">IF(A1119&lt;Resumen!$B$11,"",IF(H1118="",0,H1118)+G1119/Resumen!$B$9)</f>
        <v>1.19297646280378</v>
      </c>
      <c r="I1119" s="26" t="n">
        <f aca="false">IF(H1119="","",H1119-AVERAGE(H1071:H1167))</f>
        <v>-0.095581057963718</v>
      </c>
      <c r="J1119" s="27" t="n">
        <f aca="false">IF(I1119="","",Resumen!$B$10-(MAX(I1071:I1167)-I1119))</f>
        <v>1.60488334286591</v>
      </c>
    </row>
    <row r="1120" customFormat="false" ht="15" hidden="false" customHeight="false" outlineLevel="0" collapsed="false">
      <c r="A1120" s="24" t="n">
        <v>46273.0416666667</v>
      </c>
      <c r="B1120" s="10" t="n">
        <v>1.986</v>
      </c>
      <c r="C1120" s="10" t="n">
        <v>1.4922</v>
      </c>
      <c r="D1120" s="10" t="n">
        <f aca="false">IF(OR(B1120="",C1120="",B1120&lt;=0.05,C1120&lt;=0.05),0,1)</f>
        <v>1</v>
      </c>
      <c r="E1120" s="25" t="n">
        <f aca="false">IF(OR(A1120&lt;Resumen!$B$6,A1120&gt;=Resumen!$B$7),0,MAX(0,AVERAGEIFS(B1072:B1168,D1072:D1168,1)-Resumen!$B$5*AVERAGEIFS(C1072:C1168,D1072:D1168,1)))</f>
        <v>0.533609031958763</v>
      </c>
      <c r="F1120" s="10" t="n">
        <f aca="false">IF(B1120="","",(B1120-E1120)/Resumen!$B$5)</f>
        <v>1.15360680543387</v>
      </c>
      <c r="G1120" s="10" t="n">
        <f aca="false">IF(OR(F1120="",C1120=""),0,(F1120-C1120)*0.9)</f>
        <v>-0.304733875109521</v>
      </c>
      <c r="H1120" s="26" t="n">
        <f aca="false">IF(A1120&lt;Resumen!$B$11,"",IF(H1119="",0,H1119)+G1120/Resumen!$B$9)</f>
        <v>1.17857203081809</v>
      </c>
      <c r="I1120" s="26" t="n">
        <f aca="false">IF(H1120="","",H1120-AVERAGE(H1072:H1168))</f>
        <v>-0.108280512840565</v>
      </c>
      <c r="J1120" s="27" t="n">
        <f aca="false">IF(I1120="","",Resumen!$B$10-(MAX(I1072:I1168)-I1120))</f>
        <v>1.59218388798906</v>
      </c>
    </row>
    <row r="1121" customFormat="false" ht="15" hidden="false" customHeight="false" outlineLevel="0" collapsed="false">
      <c r="A1121" s="24" t="n">
        <v>46273.0520833333</v>
      </c>
      <c r="B1121" s="10" t="n">
        <v>2.0984</v>
      </c>
      <c r="C1121" s="10" t="n">
        <v>1.3934</v>
      </c>
      <c r="D1121" s="10" t="n">
        <f aca="false">IF(OR(B1121="",C1121="",B1121&lt;=0.05,C1121&lt;=0.05),0,1)</f>
        <v>1</v>
      </c>
      <c r="E1121" s="25" t="n">
        <f aca="false">IF(OR(A1121&lt;Resumen!$B$6,A1121&gt;=Resumen!$B$7),0,MAX(0,AVERAGEIFS(B1073:B1169,D1073:D1169,1)-Resumen!$B$5*AVERAGEIFS(C1073:C1169,D1073:D1169,1)))</f>
        <v>0.534772330927835</v>
      </c>
      <c r="F1121" s="10" t="n">
        <f aca="false">IF(B1121="","",(B1121-E1121)/Resumen!$B$5)</f>
        <v>1.24196002309147</v>
      </c>
      <c r="G1121" s="10" t="n">
        <f aca="false">IF(OR(F1121="",C1121=""),0,(F1121-C1121)*0.9)</f>
        <v>-0.136295979217674</v>
      </c>
      <c r="H1121" s="26" t="n">
        <f aca="false">IF(A1121&lt;Resumen!$B$11,"",IF(H1120="",0,H1120)+G1121/Resumen!$B$9)</f>
        <v>1.17212947118517</v>
      </c>
      <c r="I1121" s="26" t="n">
        <f aca="false">IF(H1121="","",H1121-AVERAGE(H1073:H1169))</f>
        <v>-0.113068571372093</v>
      </c>
      <c r="J1121" s="27" t="n">
        <f aca="false">IF(I1121="","",Resumen!$B$10-(MAX(I1073:I1169)-I1121))</f>
        <v>1.59098974323334</v>
      </c>
    </row>
    <row r="1122" customFormat="false" ht="15" hidden="false" customHeight="false" outlineLevel="0" collapsed="false">
      <c r="A1122" s="24" t="n">
        <v>46273.0625</v>
      </c>
      <c r="B1122" s="10" t="n">
        <v>1.8185</v>
      </c>
      <c r="C1122" s="10" t="n">
        <v>1.4307</v>
      </c>
      <c r="D1122" s="10" t="n">
        <f aca="false">IF(OR(B1122="",C1122="",B1122&lt;=0.05,C1122&lt;=0.05),0,1)</f>
        <v>1</v>
      </c>
      <c r="E1122" s="25" t="n">
        <f aca="false">IF(OR(A1122&lt;Resumen!$B$6,A1122&gt;=Resumen!$B$7),0,MAX(0,AVERAGEIFS(B1074:B1170,D1074:D1170,1)-Resumen!$B$5*AVERAGEIFS(C1074:C1170,D1074:D1170,1)))</f>
        <v>0.53679831443299</v>
      </c>
      <c r="F1122" s="10" t="n">
        <f aca="false">IF(B1122="","",(B1122-E1122)/Resumen!$B$5)</f>
        <v>1.01803152149882</v>
      </c>
      <c r="G1122" s="10" t="n">
        <f aca="false">IF(OR(F1122="",C1122=""),0,(F1122-C1122)*0.9)</f>
        <v>-0.371401630651065</v>
      </c>
      <c r="H1122" s="26" t="n">
        <f aca="false">IF(A1122&lt;Resumen!$B$11,"",IF(H1121="",0,H1121)+G1122/Resumen!$B$9)</f>
        <v>1.15457372840414</v>
      </c>
      <c r="I1122" s="26" t="n">
        <f aca="false">IF(H1122="","",H1122-AVERAGE(H1074:H1170))</f>
        <v>-0.12904836705716</v>
      </c>
      <c r="J1122" s="27" t="n">
        <f aca="false">IF(I1122="","",Resumen!$B$10-(MAX(I1074:I1170)-I1122))</f>
        <v>1.5917820819538</v>
      </c>
    </row>
    <row r="1123" customFormat="false" ht="15" hidden="false" customHeight="false" outlineLevel="0" collapsed="false">
      <c r="A1123" s="24" t="n">
        <v>46273.0729166667</v>
      </c>
      <c r="B1123" s="10" t="n">
        <v>2.3267</v>
      </c>
      <c r="C1123" s="10" t="n">
        <v>1.5114</v>
      </c>
      <c r="D1123" s="10" t="n">
        <f aca="false">IF(OR(B1123="",C1123="",B1123&lt;=0.05,C1123&lt;=0.05),0,1)</f>
        <v>1</v>
      </c>
      <c r="E1123" s="25" t="n">
        <f aca="false">IF(OR(A1123&lt;Resumen!$B$6,A1123&gt;=Resumen!$B$7),0,MAX(0,AVERAGEIFS(B1075:B1171,D1075:D1171,1)-Resumen!$B$5*AVERAGEIFS(C1075:C1171,D1075:D1171,1)))</f>
        <v>0.541568539175258</v>
      </c>
      <c r="F1123" s="10" t="n">
        <f aca="false">IF(B1123="","",(B1123-E1123)/Resumen!$B$5)</f>
        <v>1.41789631519042</v>
      </c>
      <c r="G1123" s="10" t="n">
        <f aca="false">IF(OR(F1123="",C1123=""),0,(F1123-C1123)*0.9)</f>
        <v>-0.0841533163286197</v>
      </c>
      <c r="H1123" s="26" t="n">
        <f aca="false">IF(A1123&lt;Resumen!$B$11,"",IF(H1122="",0,H1122)+G1123/Resumen!$B$9)</f>
        <v>1.15059589456145</v>
      </c>
      <c r="I1123" s="26" t="n">
        <f aca="false">IF(H1123="","",H1123-AVERAGE(H1075:H1171))</f>
        <v>-0.131618019909669</v>
      </c>
      <c r="J1123" s="27" t="n">
        <f aca="false">IF(I1123="","",Resumen!$B$10-(MAX(I1075:I1171)-I1123))</f>
        <v>1.58921242910129</v>
      </c>
    </row>
    <row r="1124" customFormat="false" ht="15" hidden="false" customHeight="false" outlineLevel="0" collapsed="false">
      <c r="A1124" s="24" t="n">
        <v>46273.0833333333</v>
      </c>
      <c r="B1124" s="10" t="n">
        <v>3.6049</v>
      </c>
      <c r="C1124" s="10" t="n">
        <v>1.5579</v>
      </c>
      <c r="D1124" s="10" t="n">
        <f aca="false">IF(OR(B1124="",C1124="",B1124&lt;=0.05,C1124&lt;=0.05),0,1)</f>
        <v>1</v>
      </c>
      <c r="E1124" s="25" t="n">
        <f aca="false">IF(OR(A1124&lt;Resumen!$B$6,A1124&gt;=Resumen!$B$7),0,MAX(0,AVERAGEIFS(B1076:B1172,D1076:D1172,1)-Resumen!$B$5*AVERAGEIFS(C1076:C1172,D1076:D1172,1)))</f>
        <v>0.541602760824743</v>
      </c>
      <c r="F1124" s="10" t="n">
        <f aca="false">IF(B1124="","",(B1124-E1124)/Resumen!$B$5)</f>
        <v>2.43311933214874</v>
      </c>
      <c r="G1124" s="10" t="n">
        <f aca="false">IF(OR(F1124="",C1124=""),0,(F1124-C1124)*0.9)</f>
        <v>0.787697398933862</v>
      </c>
      <c r="H1124" s="26" t="n">
        <f aca="false">IF(A1124&lt;Resumen!$B$11,"",IF(H1123="",0,H1123)+G1124/Resumen!$B$9)</f>
        <v>1.18782947617154</v>
      </c>
      <c r="I1124" s="26" t="n">
        <f aca="false">IF(H1124="","",H1124-AVERAGE(H1076:H1172))</f>
        <v>-0.0929822764744697</v>
      </c>
      <c r="J1124" s="27" t="n">
        <f aca="false">IF(I1124="","",Resumen!$B$10-(MAX(I1076:I1172)-I1124))</f>
        <v>1.62869863343382</v>
      </c>
    </row>
    <row r="1125" customFormat="false" ht="15" hidden="false" customHeight="false" outlineLevel="0" collapsed="false">
      <c r="A1125" s="24" t="n">
        <v>46273.09375</v>
      </c>
      <c r="B1125" s="10" t="n">
        <v>2.2362</v>
      </c>
      <c r="C1125" s="10" t="n">
        <v>1.3924</v>
      </c>
      <c r="D1125" s="10" t="n">
        <f aca="false">IF(OR(B1125="",C1125="",B1125&lt;=0.05,C1125&lt;=0.05),0,1)</f>
        <v>1</v>
      </c>
      <c r="E1125" s="25" t="n">
        <f aca="false">IF(OR(A1125&lt;Resumen!$B$6,A1125&gt;=Resumen!$B$7),0,MAX(0,AVERAGEIFS(B1077:B1173,D1077:D1173,1)-Resumen!$B$5*AVERAGEIFS(C1077:C1173,D1077:D1173,1)))</f>
        <v>0.549104856701032</v>
      </c>
      <c r="F1125" s="10" t="n">
        <f aca="false">IF(B1125="","",(B1125-E1125)/Resumen!$B$5)</f>
        <v>1.34002791366082</v>
      </c>
      <c r="G1125" s="10" t="n">
        <f aca="false">IF(OR(F1125="",C1125=""),0,(F1125-C1125)*0.9)</f>
        <v>-0.0471348777052647</v>
      </c>
      <c r="H1125" s="26" t="n">
        <f aca="false">IF(A1125&lt;Resumen!$B$11,"",IF(H1124="",0,H1124)+G1125/Resumen!$B$9)</f>
        <v>1.18560146282771</v>
      </c>
      <c r="I1125" s="26" t="n">
        <f aca="false">IF(H1125="","",H1125-AVERAGE(H1077:H1173))</f>
        <v>-0.0940729793068154</v>
      </c>
      <c r="J1125" s="27" t="n">
        <f aca="false">IF(I1125="","",Resumen!$B$10-(MAX(I1077:I1173)-I1125))</f>
        <v>1.62760793060148</v>
      </c>
    </row>
    <row r="1126" customFormat="false" ht="15" hidden="false" customHeight="false" outlineLevel="0" collapsed="false">
      <c r="A1126" s="24" t="n">
        <v>46273.1041666667</v>
      </c>
      <c r="B1126" s="10" t="n">
        <v>2.6538</v>
      </c>
      <c r="C1126" s="10" t="n">
        <v>1.3764</v>
      </c>
      <c r="D1126" s="10" t="n">
        <f aca="false">IF(OR(B1126="",C1126="",B1126&lt;=0.05,C1126&lt;=0.05),0,1)</f>
        <v>1</v>
      </c>
      <c r="E1126" s="25" t="n">
        <f aca="false">IF(OR(A1126&lt;Resumen!$B$6,A1126&gt;=Resumen!$B$7),0,MAX(0,AVERAGEIFS(B1078:B1174,D1078:D1174,1)-Resumen!$B$5*AVERAGEIFS(C1078:C1174,D1078:D1174,1)))</f>
        <v>0.544067863917525</v>
      </c>
      <c r="F1126" s="10" t="n">
        <f aca="false">IF(B1126="","",(B1126-E1126)/Resumen!$B$5)</f>
        <v>1.67572052111396</v>
      </c>
      <c r="G1126" s="10" t="n">
        <f aca="false">IF(OR(F1126="",C1126=""),0,(F1126-C1126)*0.9)</f>
        <v>0.269388469002563</v>
      </c>
      <c r="H1126" s="26" t="n">
        <f aca="false">IF(A1126&lt;Resumen!$B$11,"",IF(H1125="",0,H1125)+G1126/Resumen!$B$9)</f>
        <v>1.19833515670432</v>
      </c>
      <c r="I1126" s="26" t="n">
        <f aca="false">IF(H1126="","",H1126-AVERAGE(H1078:H1174))</f>
        <v>-0.0800424379235893</v>
      </c>
      <c r="J1126" s="27" t="n">
        <f aca="false">IF(I1126="","",Resumen!$B$10-(MAX(I1078:I1174)-I1126))</f>
        <v>1.6416384719847</v>
      </c>
    </row>
    <row r="1127" customFormat="false" ht="15" hidden="false" customHeight="false" outlineLevel="0" collapsed="false">
      <c r="A1127" s="24" t="n">
        <v>46273.1145833333</v>
      </c>
      <c r="B1127" s="10" t="n">
        <v>2.4286</v>
      </c>
      <c r="C1127" s="10" t="n">
        <v>1.5552</v>
      </c>
      <c r="D1127" s="10" t="n">
        <f aca="false">IF(OR(B1127="",C1127="",B1127&lt;=0.05,C1127&lt;=0.05),0,1)</f>
        <v>1</v>
      </c>
      <c r="E1127" s="25" t="n">
        <f aca="false">IF(OR(A1127&lt;Resumen!$B$6,A1127&gt;=Resumen!$B$7),0,MAX(0,AVERAGEIFS(B1079:B1175,D1079:D1175,1)-Resumen!$B$5*AVERAGEIFS(C1079:C1175,D1079:D1175,1)))</f>
        <v>0.553243827835052</v>
      </c>
      <c r="F1127" s="10" t="n">
        <f aca="false">IF(B1127="","",(B1127-E1127)/Resumen!$B$5)</f>
        <v>1.48956010497613</v>
      </c>
      <c r="G1127" s="10" t="n">
        <f aca="false">IF(OR(F1127="",C1127=""),0,(F1127-C1127)*0.9)</f>
        <v>-0.0590759055214829</v>
      </c>
      <c r="H1127" s="26" t="n">
        <f aca="false">IF(A1127&lt;Resumen!$B$11,"",IF(H1126="",0,H1126)+G1127/Resumen!$B$9)</f>
        <v>1.19554270423158</v>
      </c>
      <c r="I1127" s="26" t="n">
        <f aca="false">IF(H1127="","",H1127-AVERAGE(H1079:H1175))</f>
        <v>-0.0818600196421946</v>
      </c>
      <c r="J1127" s="27" t="n">
        <f aca="false">IF(I1127="","",Resumen!$B$10-(MAX(I1079:I1175)-I1127))</f>
        <v>1.6398208902661</v>
      </c>
    </row>
    <row r="1128" customFormat="false" ht="15" hidden="false" customHeight="false" outlineLevel="0" collapsed="false">
      <c r="A1128" s="24" t="n">
        <v>46273.125</v>
      </c>
      <c r="B1128" s="10" t="n">
        <v>2.8536</v>
      </c>
      <c r="C1128" s="10" t="n">
        <v>1.6295</v>
      </c>
      <c r="D1128" s="10" t="n">
        <f aca="false">IF(OR(B1128="",C1128="",B1128&lt;=0.05,C1128&lt;=0.05),0,1)</f>
        <v>1</v>
      </c>
      <c r="E1128" s="25" t="n">
        <f aca="false">IF(OR(A1128&lt;Resumen!$B$6,A1128&gt;=Resumen!$B$7),0,MAX(0,AVERAGEIFS(B1080:B1176,D1080:D1176,1)-Resumen!$B$5*AVERAGEIFS(C1080:C1176,D1080:D1176,1)))</f>
        <v>0.551665559793815</v>
      </c>
      <c r="F1128" s="10" t="n">
        <f aca="false">IF(B1128="","",(B1128-E1128)/Resumen!$B$5)</f>
        <v>1.82838319317409</v>
      </c>
      <c r="G1128" s="10" t="n">
        <f aca="false">IF(OR(F1128="",C1128=""),0,(F1128-C1128)*0.9)</f>
        <v>0.178994873856685</v>
      </c>
      <c r="H1128" s="26" t="n">
        <f aca="false">IF(A1128&lt;Resumen!$B$11,"",IF(H1127="",0,H1127)+G1128/Resumen!$B$9)</f>
        <v>1.20400359321325</v>
      </c>
      <c r="I1128" s="26" t="n">
        <f aca="false">IF(H1128="","",H1128-AVERAGE(H1080:H1176))</f>
        <v>-0.0723837637567026</v>
      </c>
      <c r="J1128" s="27" t="n">
        <f aca="false">IF(I1128="","",Resumen!$B$10-(MAX(I1080:I1176)-I1128))</f>
        <v>1.64929714615159</v>
      </c>
    </row>
    <row r="1129" customFormat="false" ht="15" hidden="false" customHeight="false" outlineLevel="0" collapsed="false">
      <c r="A1129" s="24" t="n">
        <v>46273.1354166667</v>
      </c>
      <c r="B1129" s="10" t="n">
        <v>2.7177</v>
      </c>
      <c r="C1129" s="10" t="n">
        <v>1.3966</v>
      </c>
      <c r="D1129" s="10" t="n">
        <f aca="false">IF(OR(B1129="",C1129="",B1129&lt;=0.05,C1129&lt;=0.05),0,1)</f>
        <v>1</v>
      </c>
      <c r="E1129" s="25" t="n">
        <f aca="false">IF(OR(A1129&lt;Resumen!$B$6,A1129&gt;=Resumen!$B$7),0,MAX(0,AVERAGEIFS(B1081:B1177,D1081:D1177,1)-Resumen!$B$5*AVERAGEIFS(C1081:C1177,D1081:D1177,1)))</f>
        <v>0.5500097814433</v>
      </c>
      <c r="F1129" s="10" t="n">
        <f aca="false">IF(B1129="","",(B1129-E1129)/Resumen!$B$5)</f>
        <v>1.72175553499341</v>
      </c>
      <c r="G1129" s="10" t="n">
        <f aca="false">IF(OR(F1129="",C1129=""),0,(F1129-C1129)*0.9)</f>
        <v>0.292639981494067</v>
      </c>
      <c r="H1129" s="26" t="n">
        <f aca="false">IF(A1129&lt;Resumen!$B$11,"",IF(H1128="",0,H1128)+G1129/Resumen!$B$9)</f>
        <v>1.2178363602734</v>
      </c>
      <c r="I1129" s="26" t="n">
        <f aca="false">IF(H1129="","",H1129-AVERAGE(H1081:H1177))</f>
        <v>-0.0574934431086831</v>
      </c>
      <c r="J1129" s="27" t="n">
        <f aca="false">IF(I1129="","",Resumen!$B$10-(MAX(I1081:I1177)-I1129))</f>
        <v>1.66418746679961</v>
      </c>
    </row>
    <row r="1130" customFormat="false" ht="15" hidden="false" customHeight="false" outlineLevel="0" collapsed="false">
      <c r="A1130" s="24" t="n">
        <v>46273.1458333333</v>
      </c>
      <c r="B1130" s="10" t="n">
        <v>2.1236</v>
      </c>
      <c r="C1130" s="10" t="n">
        <v>1.4808</v>
      </c>
      <c r="D1130" s="10" t="n">
        <f aca="false">IF(OR(B1130="",C1130="",B1130&lt;=0.05,C1130&lt;=0.05),0,1)</f>
        <v>1</v>
      </c>
      <c r="E1130" s="25" t="n">
        <f aca="false">IF(OR(A1130&lt;Resumen!$B$6,A1130&gt;=Resumen!$B$7),0,MAX(0,AVERAGEIFS(B1082:B1178,D1082:D1178,1)-Resumen!$B$5*AVERAGEIFS(C1082:C1178,D1082:D1178,1)))</f>
        <v>0.546654489690722</v>
      </c>
      <c r="F1130" s="10" t="n">
        <f aca="false">IF(B1130="","",(B1130-E1130)/Resumen!$B$5)</f>
        <v>1.25253813368489</v>
      </c>
      <c r="G1130" s="10" t="n">
        <f aca="false">IF(OR(F1130="",C1130=""),0,(F1130-C1130)*0.9)</f>
        <v>-0.205435679683598</v>
      </c>
      <c r="H1130" s="26" t="n">
        <f aca="false">IF(A1130&lt;Resumen!$B$11,"",IF(H1129="",0,H1129)+G1130/Resumen!$B$9)</f>
        <v>1.20812564375272</v>
      </c>
      <c r="I1130" s="26" t="n">
        <f aca="false">IF(H1130="","",H1130-AVERAGE(H1082:H1178))</f>
        <v>-0.0660496312854704</v>
      </c>
      <c r="J1130" s="27" t="n">
        <f aca="false">IF(I1130="","",Resumen!$B$10-(MAX(I1082:I1178)-I1130))</f>
        <v>1.65563127862282</v>
      </c>
    </row>
    <row r="1131" customFormat="false" ht="15" hidden="false" customHeight="false" outlineLevel="0" collapsed="false">
      <c r="A1131" s="24" t="n">
        <v>46273.15625</v>
      </c>
      <c r="B1131" s="10" t="n">
        <v>2.6371</v>
      </c>
      <c r="C1131" s="10" t="n">
        <v>1.6752</v>
      </c>
      <c r="D1131" s="10" t="n">
        <f aca="false">IF(OR(B1131="",C1131="",B1131&lt;=0.05,C1131&lt;=0.05),0,1)</f>
        <v>1</v>
      </c>
      <c r="E1131" s="25" t="n">
        <f aca="false">IF(OR(A1131&lt;Resumen!$B$6,A1131&gt;=Resumen!$B$7),0,MAX(0,AVERAGEIFS(B1083:B1179,D1083:D1179,1)-Resumen!$B$5*AVERAGEIFS(C1083:C1179,D1083:D1179,1)))</f>
        <v>0.538621073195877</v>
      </c>
      <c r="F1131" s="10" t="n">
        <f aca="false">IF(B1131="","",(B1131-E1131)/Resumen!$B$5)</f>
        <v>1.6667823088198</v>
      </c>
      <c r="G1131" s="10" t="n">
        <f aca="false">IF(OR(F1131="",C1131=""),0,(F1131-C1131)*0.9)</f>
        <v>-0.00757592206218367</v>
      </c>
      <c r="H1131" s="26" t="n">
        <f aca="false">IF(A1131&lt;Resumen!$B$11,"",IF(H1130="",0,H1130)+G1131/Resumen!$B$9)</f>
        <v>1.20776753832701</v>
      </c>
      <c r="I1131" s="26" t="n">
        <f aca="false">IF(H1131="","",H1131-AVERAGE(H1083:H1179))</f>
        <v>-0.064994809387962</v>
      </c>
      <c r="J1131" s="27" t="n">
        <f aca="false">IF(I1131="","",Resumen!$B$10-(MAX(I1083:I1179)-I1131))</f>
        <v>1.65668610052033</v>
      </c>
    </row>
    <row r="1132" customFormat="false" ht="15" hidden="false" customHeight="false" outlineLevel="0" collapsed="false">
      <c r="A1132" s="24" t="n">
        <v>46273.1666666667</v>
      </c>
      <c r="B1132" s="10" t="n">
        <v>2.7164</v>
      </c>
      <c r="C1132" s="10" t="n">
        <v>1.4497</v>
      </c>
      <c r="D1132" s="10" t="n">
        <f aca="false">IF(OR(B1132="",C1132="",B1132&lt;=0.05,C1132&lt;=0.05),0,1)</f>
        <v>1</v>
      </c>
      <c r="E1132" s="25" t="n">
        <f aca="false">IF(OR(A1132&lt;Resumen!$B$6,A1132&gt;=Resumen!$B$7),0,MAX(0,AVERAGEIFS(B1084:B1180,D1084:D1180,1)-Resumen!$B$5*AVERAGEIFS(C1084:C1180,D1084:D1180,1)))</f>
        <v>0.532256598969072</v>
      </c>
      <c r="F1132" s="10" t="n">
        <f aca="false">IF(B1132="","",(B1132-E1132)/Resumen!$B$5)</f>
        <v>1.73482398811035</v>
      </c>
      <c r="G1132" s="10" t="n">
        <f aca="false">IF(OR(F1132="",C1132=""),0,(F1132-C1132)*0.9)</f>
        <v>0.256611589299313</v>
      </c>
      <c r="H1132" s="26" t="n">
        <f aca="false">IF(A1132&lt;Resumen!$B$11,"",IF(H1131="",0,H1131)+G1132/Resumen!$B$9)</f>
        <v>1.2198972832839</v>
      </c>
      <c r="I1132" s="26" t="n">
        <f aca="false">IF(H1132="","",H1132-AVERAGE(H1084:H1180))</f>
        <v>-0.0512496425833042</v>
      </c>
      <c r="J1132" s="27" t="n">
        <f aca="false">IF(I1132="","",Resumen!$B$10-(MAX(I1084:I1180)-I1132))</f>
        <v>1.67043126732499</v>
      </c>
    </row>
    <row r="1133" customFormat="false" ht="15" hidden="false" customHeight="false" outlineLevel="0" collapsed="false">
      <c r="A1133" s="24" t="n">
        <v>46273.1770833333</v>
      </c>
      <c r="B1133" s="10" t="n">
        <v>2.9877</v>
      </c>
      <c r="C1133" s="10" t="n">
        <v>1.6413</v>
      </c>
      <c r="D1133" s="10" t="n">
        <f aca="false">IF(OR(B1133="",C1133="",B1133&lt;=0.05,C1133&lt;=0.05),0,1)</f>
        <v>1</v>
      </c>
      <c r="E1133" s="25" t="n">
        <f aca="false">IF(OR(A1133&lt;Resumen!$B$6,A1133&gt;=Resumen!$B$7),0,MAX(0,AVERAGEIFS(B1085:B1181,D1085:D1181,1)-Resumen!$B$5*AVERAGEIFS(C1085:C1181,D1085:D1181,1)))</f>
        <v>0.539572852577319</v>
      </c>
      <c r="F1133" s="10" t="n">
        <f aca="false">IF(B1133="","",(B1133-E1133)/Resumen!$B$5)</f>
        <v>1.94450130851682</v>
      </c>
      <c r="G1133" s="10" t="n">
        <f aca="false">IF(OR(F1133="",C1133=""),0,(F1133-C1133)*0.9)</f>
        <v>0.272881177665141</v>
      </c>
      <c r="H1133" s="26" t="n">
        <f aca="false">IF(A1133&lt;Resumen!$B$11,"",IF(H1132="",0,H1132)+G1133/Resumen!$B$9)</f>
        <v>1.23279607362167</v>
      </c>
      <c r="I1133" s="26" t="n">
        <f aca="false">IF(H1133="","",H1133-AVERAGE(H1085:H1181))</f>
        <v>-0.0369963267977838</v>
      </c>
      <c r="J1133" s="27" t="n">
        <f aca="false">IF(I1133="","",Resumen!$B$10-(MAX(I1085:I1181)-I1133))</f>
        <v>1.68468458311051</v>
      </c>
    </row>
    <row r="1134" customFormat="false" ht="15" hidden="false" customHeight="false" outlineLevel="0" collapsed="false">
      <c r="A1134" s="24" t="n">
        <v>46273.1875</v>
      </c>
      <c r="B1134" s="10" t="n">
        <v>2.961</v>
      </c>
      <c r="C1134" s="10" t="n">
        <v>1.5187</v>
      </c>
      <c r="D1134" s="10" t="n">
        <f aca="false">IF(OR(B1134="",C1134="",B1134&lt;=0.05,C1134&lt;=0.05),0,1)</f>
        <v>1</v>
      </c>
      <c r="E1134" s="25" t="n">
        <f aca="false">IF(OR(A1134&lt;Resumen!$B$6,A1134&gt;=Resumen!$B$7),0,MAX(0,AVERAGEIFS(B1086:B1182,D1086:D1182,1)-Resumen!$B$5*AVERAGEIFS(C1086:C1182,D1086:D1182,1)))</f>
        <v>0.537885588659794</v>
      </c>
      <c r="F1134" s="10" t="n">
        <f aca="false">IF(B1134="","",(B1134-E1134)/Resumen!$B$5)</f>
        <v>1.92463416309786</v>
      </c>
      <c r="G1134" s="10" t="n">
        <f aca="false">IF(OR(F1134="",C1134=""),0,(F1134-C1134)*0.9)</f>
        <v>0.365340746788074</v>
      </c>
      <c r="H1134" s="26" t="n">
        <f aca="false">IF(A1134&lt;Resumen!$B$11,"",IF(H1133="",0,H1133)+G1134/Resumen!$B$9)</f>
        <v>1.25006532515079</v>
      </c>
      <c r="I1134" s="26" t="n">
        <f aca="false">IF(H1134="","",H1134-AVERAGE(H1086:H1182))</f>
        <v>-0.0183320817553554</v>
      </c>
      <c r="J1134" s="27" t="n">
        <f aca="false">IF(I1134="","",Resumen!$B$10-(MAX(I1086:I1182)-I1134))</f>
        <v>1.70334882815294</v>
      </c>
    </row>
    <row r="1135" customFormat="false" ht="15" hidden="false" customHeight="false" outlineLevel="0" collapsed="false">
      <c r="A1135" s="24" t="n">
        <v>46273.1979166667</v>
      </c>
      <c r="B1135" s="10" t="n">
        <v>3.3476</v>
      </c>
      <c r="C1135" s="10" t="n">
        <v>1.6641</v>
      </c>
      <c r="D1135" s="10" t="n">
        <f aca="false">IF(OR(B1135="",C1135="",B1135&lt;=0.05,C1135&lt;=0.05),0,1)</f>
        <v>1</v>
      </c>
      <c r="E1135" s="25" t="n">
        <f aca="false">IF(OR(A1135&lt;Resumen!$B$6,A1135&gt;=Resumen!$B$7),0,MAX(0,AVERAGEIFS(B1087:B1183,D1087:D1183,1)-Resumen!$B$5*AVERAGEIFS(C1087:C1183,D1087:D1183,1)))</f>
        <v>0.531379047422681</v>
      </c>
      <c r="F1135" s="10" t="n">
        <f aca="false">IF(B1135="","",(B1135-E1135)/Resumen!$B$5)</f>
        <v>2.23687128878262</v>
      </c>
      <c r="G1135" s="10" t="n">
        <f aca="false">IF(OR(F1135="",C1135=""),0,(F1135-C1135)*0.9)</f>
        <v>0.515494159904359</v>
      </c>
      <c r="H1135" s="26" t="n">
        <f aca="false">IF(A1135&lt;Resumen!$B$11,"",IF(H1134="",0,H1134)+G1135/Resumen!$B$9)</f>
        <v>1.27443216182983</v>
      </c>
      <c r="I1135" s="26" t="n">
        <f aca="false">IF(H1135="","",H1135-AVERAGE(H1087:H1183))</f>
        <v>0.0076303328228351</v>
      </c>
      <c r="J1135" s="27" t="n">
        <f aca="false">IF(I1135="","",Resumen!$B$10-(MAX(I1087:I1183)-I1135))</f>
        <v>1.72931124273113</v>
      </c>
    </row>
    <row r="1136" customFormat="false" ht="15" hidden="false" customHeight="false" outlineLevel="0" collapsed="false">
      <c r="A1136" s="24" t="n">
        <v>46273.2083333333</v>
      </c>
      <c r="B1136" s="10" t="n">
        <v>3.4268</v>
      </c>
      <c r="C1136" s="10" t="n">
        <v>2.4571</v>
      </c>
      <c r="D1136" s="10" t="n">
        <f aca="false">IF(OR(B1136="",C1136="",B1136&lt;=0.05,C1136&lt;=0.05),0,1)</f>
        <v>1</v>
      </c>
      <c r="E1136" s="25" t="n">
        <f aca="false">IF(OR(A1136&lt;Resumen!$B$6,A1136&gt;=Resumen!$B$7),0,MAX(0,AVERAGEIFS(B1088:B1184,D1088:D1184,1)-Resumen!$B$5*AVERAGEIFS(C1088:C1184,D1088:D1184,1)))</f>
        <v>0.520569556701031</v>
      </c>
      <c r="F1136" s="10" t="n">
        <f aca="false">IF(B1136="","",(B1136-E1136)/Resumen!$B$5)</f>
        <v>2.30836413288242</v>
      </c>
      <c r="G1136" s="10" t="n">
        <f aca="false">IF(OR(F1136="",C1136=""),0,(F1136-C1136)*0.9)</f>
        <v>-0.13386228040582</v>
      </c>
      <c r="H1136" s="26" t="n">
        <f aca="false">IF(A1136&lt;Resumen!$B$11,"",IF(H1135="",0,H1135)+G1136/Resumen!$B$9)</f>
        <v>1.26810464043805</v>
      </c>
      <c r="I1136" s="26" t="n">
        <f aca="false">IF(H1136="","",H1136-AVERAGE(H1088:H1184))</f>
        <v>0.003240509631663</v>
      </c>
      <c r="J1136" s="27" t="n">
        <f aca="false">IF(I1136="","",Resumen!$B$10-(MAX(I1088:I1184)-I1136))</f>
        <v>1.72492141953996</v>
      </c>
    </row>
    <row r="1137" customFormat="false" ht="15" hidden="false" customHeight="false" outlineLevel="0" collapsed="false">
      <c r="A1137" s="24" t="n">
        <v>46273.21875</v>
      </c>
      <c r="B1137" s="10" t="n">
        <v>5.254</v>
      </c>
      <c r="C1137" s="10" t="n">
        <v>1.9932</v>
      </c>
      <c r="D1137" s="10" t="n">
        <f aca="false">IF(OR(B1137="",C1137="",B1137&lt;=0.05,C1137&lt;=0.05),0,1)</f>
        <v>1</v>
      </c>
      <c r="E1137" s="25" t="n">
        <f aca="false">IF(OR(A1137&lt;Resumen!$B$6,A1137&gt;=Resumen!$B$7),0,MAX(0,AVERAGEIFS(B1089:B1185,D1089:D1185,1)-Resumen!$B$5*AVERAGEIFS(C1089:C1185,D1089:D1185,1)))</f>
        <v>0.515459326804124</v>
      </c>
      <c r="F1137" s="10" t="n">
        <f aca="false">IF(B1137="","",(B1137-E1137)/Resumen!$B$5)</f>
        <v>3.76373365623183</v>
      </c>
      <c r="G1137" s="10" t="n">
        <f aca="false">IF(OR(F1137="",C1137=""),0,(F1137-C1137)*0.9)</f>
        <v>1.59348029060865</v>
      </c>
      <c r="H1137" s="26" t="n">
        <f aca="false">IF(A1137&lt;Resumen!$B$11,"",IF(H1136="",0,H1136)+G1137/Resumen!$B$9)</f>
        <v>1.34342668482306</v>
      </c>
      <c r="I1137" s="26" t="n">
        <f aca="false">IF(H1137="","",H1137-AVERAGE(H1089:H1185))</f>
        <v>0.0806512963962183</v>
      </c>
      <c r="J1137" s="27" t="n">
        <f aca="false">IF(I1137="","",Resumen!$B$10-(MAX(I1089:I1185)-I1137))</f>
        <v>1.80850474736241</v>
      </c>
    </row>
    <row r="1138" customFormat="false" ht="15" hidden="false" customHeight="false" outlineLevel="0" collapsed="false">
      <c r="A1138" s="24" t="n">
        <v>46273.2291666667</v>
      </c>
      <c r="B1138" s="10" t="n">
        <v>3.4991</v>
      </c>
      <c r="C1138" s="10" t="n">
        <v>2.3856</v>
      </c>
      <c r="D1138" s="10" t="n">
        <f aca="false">IF(OR(B1138="",C1138="",B1138&lt;=0.05,C1138&lt;=0.05),0,1)</f>
        <v>1</v>
      </c>
      <c r="E1138" s="25" t="n">
        <f aca="false">IF(OR(A1138&lt;Resumen!$B$6,A1138&gt;=Resumen!$B$7),0,MAX(0,AVERAGEIFS(B1090:B1186,D1090:D1186,1)-Resumen!$B$5*AVERAGEIFS(C1090:C1186,D1090:D1186,1)))</f>
        <v>0.514752375257733</v>
      </c>
      <c r="F1138" s="10" t="n">
        <f aca="false">IF(B1138="","",(B1138-E1138)/Resumen!$B$5)</f>
        <v>2.37041113958878</v>
      </c>
      <c r="G1138" s="10" t="n">
        <f aca="false">IF(OR(F1138="",C1138=""),0,(F1138-C1138)*0.9)</f>
        <v>-0.0136699743701026</v>
      </c>
      <c r="H1138" s="26" t="n">
        <f aca="false">IF(A1138&lt;Resumen!$B$11,"",IF(H1137="",0,H1137)+G1138/Resumen!$B$9)</f>
        <v>1.34278052030988</v>
      </c>
      <c r="I1138" s="26" t="n">
        <f aca="false">IF(H1138="","",H1138-AVERAGE(H1090:H1186))</f>
        <v>0.0820802798640299</v>
      </c>
      <c r="J1138" s="27" t="n">
        <f aca="false">IF(I1138="","",Resumen!$B$10-(MAX(I1090:I1186)-I1138))</f>
        <v>1.80993373083022</v>
      </c>
    </row>
    <row r="1139" customFormat="false" ht="15" hidden="false" customHeight="false" outlineLevel="0" collapsed="false">
      <c r="A1139" s="24" t="n">
        <v>46273.2395833333</v>
      </c>
      <c r="B1139" s="10" t="n">
        <v>4.0666</v>
      </c>
      <c r="C1139" s="10" t="n">
        <v>2.5662</v>
      </c>
      <c r="D1139" s="10" t="n">
        <f aca="false">IF(OR(B1139="",C1139="",B1139&lt;=0.05,C1139&lt;=0.05),0,1)</f>
        <v>1</v>
      </c>
      <c r="E1139" s="25" t="n">
        <f aca="false">IF(OR(A1139&lt;Resumen!$B$6,A1139&gt;=Resumen!$B$7),0,MAX(0,AVERAGEIFS(B1091:B1187,D1091:D1187,1)-Resumen!$B$5*AVERAGEIFS(C1091:C1187,D1091:D1187,1)))</f>
        <v>0.51601384329897</v>
      </c>
      <c r="F1139" s="10" t="n">
        <f aca="false">IF(B1139="","",(B1139-E1139)/Resumen!$B$5)</f>
        <v>2.82016374638684</v>
      </c>
      <c r="G1139" s="10" t="n">
        <f aca="false">IF(OR(F1139="",C1139=""),0,(F1139-C1139)*0.9)</f>
        <v>0.228567371748156</v>
      </c>
      <c r="H1139" s="26" t="n">
        <f aca="false">IF(A1139&lt;Resumen!$B$11,"",IF(H1138="",0,H1138)+G1139/Resumen!$B$9)</f>
        <v>1.35358464623553</v>
      </c>
      <c r="I1139" s="26" t="n">
        <f aca="false">IF(H1139="","",H1139-AVERAGE(H1091:H1187))</f>
        <v>0.0948829860177995</v>
      </c>
      <c r="J1139" s="27" t="n">
        <f aca="false">IF(I1139="","",Resumen!$B$10-(MAX(I1091:I1187)-I1139))</f>
        <v>1.82273643698399</v>
      </c>
    </row>
    <row r="1140" customFormat="false" ht="15" hidden="false" customHeight="false" outlineLevel="0" collapsed="false">
      <c r="A1140" s="24" t="n">
        <v>46273.25</v>
      </c>
      <c r="B1140" s="10" t="n">
        <v>4.7558</v>
      </c>
      <c r="C1140" s="10" t="n">
        <v>3.1667</v>
      </c>
      <c r="D1140" s="10" t="n">
        <f aca="false">IF(OR(B1140="",C1140="",B1140&lt;=0.05,C1140&lt;=0.05),0,1)</f>
        <v>1</v>
      </c>
      <c r="E1140" s="25" t="n">
        <f aca="false">IF(OR(A1140&lt;Resumen!$B$6,A1140&gt;=Resumen!$B$7),0,MAX(0,AVERAGEIFS(B1092:B1188,D1092:D1188,1)-Resumen!$B$5*AVERAGEIFS(C1092:C1188,D1092:D1188,1)))</f>
        <v>0.525714126804124</v>
      </c>
      <c r="F1140" s="10" t="n">
        <f aca="false">IF(B1140="","",(B1140-E1140)/Resumen!$B$5)</f>
        <v>3.35987757998084</v>
      </c>
      <c r="G1140" s="10" t="n">
        <f aca="false">IF(OR(F1140="",C1140=""),0,(F1140-C1140)*0.9)</f>
        <v>0.173859821982755</v>
      </c>
      <c r="H1140" s="26" t="n">
        <f aca="false">IF(A1140&lt;Resumen!$B$11,"",IF(H1139="",0,H1139)+G1140/Resumen!$B$9)</f>
        <v>1.36180280701564</v>
      </c>
      <c r="I1140" s="26" t="n">
        <f aca="false">IF(H1140="","",H1140-AVERAGE(H1092:H1188))</f>
        <v>0.104732399387462</v>
      </c>
      <c r="J1140" s="27" t="n">
        <f aca="false">IF(I1140="","",Resumen!$B$10-(MAX(I1092:I1188)-I1140))</f>
        <v>1.83258585035365</v>
      </c>
    </row>
    <row r="1141" customFormat="false" ht="15" hidden="false" customHeight="false" outlineLevel="0" collapsed="false">
      <c r="A1141" s="24" t="n">
        <v>46273.2604166667</v>
      </c>
      <c r="B1141" s="10" t="n">
        <v>4.8231</v>
      </c>
      <c r="C1141" s="10" t="n">
        <v>3.9587</v>
      </c>
      <c r="D1141" s="10" t="n">
        <f aca="false">IF(OR(B1141="",C1141="",B1141&lt;=0.05,C1141&lt;=0.05),0,1)</f>
        <v>1</v>
      </c>
      <c r="E1141" s="25" t="n">
        <f aca="false">IF(OR(A1141&lt;Resumen!$B$6,A1141&gt;=Resumen!$B$7),0,MAX(0,AVERAGEIFS(B1093:B1189,D1093:D1189,1)-Resumen!$B$5*AVERAGEIFS(C1093:C1189,D1093:D1189,1)))</f>
        <v>0.536273747422681</v>
      </c>
      <c r="F1141" s="10" t="n">
        <f aca="false">IF(B1141="","",(B1141-E1141)/Resumen!$B$5)</f>
        <v>3.4049453952163</v>
      </c>
      <c r="G1141" s="10" t="n">
        <f aca="false">IF(OR(F1141="",C1141=""),0,(F1141-C1141)*0.9)</f>
        <v>-0.498379144305331</v>
      </c>
      <c r="H1141" s="26" t="n">
        <f aca="false">IF(A1141&lt;Resumen!$B$11,"",IF(H1140="",0,H1140)+G1141/Resumen!$B$9)</f>
        <v>1.33824497812427</v>
      </c>
      <c r="I1141" s="26" t="n">
        <f aca="false">IF(H1141="","",H1141-AVERAGE(H1093:H1189))</f>
        <v>0.0824046427292156</v>
      </c>
      <c r="J1141" s="27" t="n">
        <f aca="false">IF(I1141="","",Resumen!$B$10-(MAX(I1093:I1189)-I1141))</f>
        <v>1.81025809369541</v>
      </c>
    </row>
    <row r="1142" customFormat="false" ht="15" hidden="false" customHeight="false" outlineLevel="0" collapsed="false">
      <c r="A1142" s="24" t="n">
        <v>46273.2708333333</v>
      </c>
      <c r="B1142" s="10" t="n">
        <v>5.2985</v>
      </c>
      <c r="C1142" s="10" t="n">
        <v>3.5406</v>
      </c>
      <c r="D1142" s="10" t="n">
        <f aca="false">IF(OR(B1142="",C1142="",B1142&lt;=0.05,C1142&lt;=0.05),0,1)</f>
        <v>1</v>
      </c>
      <c r="E1142" s="25" t="n">
        <f aca="false">IF(OR(A1142&lt;Resumen!$B$6,A1142&gt;=Resumen!$B$7),0,MAX(0,AVERAGEIFS(B1094:B1190,D1094:D1190,1)-Resumen!$B$5*AVERAGEIFS(C1094:C1190,D1094:D1190,1)))</f>
        <v>0.535309106185567</v>
      </c>
      <c r="F1142" s="10" t="n">
        <f aca="false">IF(B1142="","",(B1142-E1142)/Resumen!$B$5)</f>
        <v>3.78331286244196</v>
      </c>
      <c r="G1142" s="10" t="n">
        <f aca="false">IF(OR(F1142="",C1142=""),0,(F1142-C1142)*0.9)</f>
        <v>0.218441576197768</v>
      </c>
      <c r="H1142" s="26" t="n">
        <f aca="false">IF(A1142&lt;Resumen!$B$11,"",IF(H1141="",0,H1141)+G1142/Resumen!$B$9)</f>
        <v>1.34857046893509</v>
      </c>
      <c r="I1142" s="26" t="n">
        <f aca="false">IF(H1142="","",H1142-AVERAGE(H1094:H1190))</f>
        <v>0.0939544292044801</v>
      </c>
      <c r="J1142" s="27" t="n">
        <f aca="false">IF(I1142="","",Resumen!$B$10-(MAX(I1094:I1190)-I1142))</f>
        <v>1.82180788017067</v>
      </c>
    </row>
    <row r="1143" customFormat="false" ht="15" hidden="false" customHeight="false" outlineLevel="0" collapsed="false">
      <c r="A1143" s="24" t="n">
        <v>46273.28125</v>
      </c>
      <c r="B1143" s="10" t="n">
        <v>4.6796</v>
      </c>
      <c r="C1143" s="10" t="n">
        <v>3.1399</v>
      </c>
      <c r="D1143" s="10" t="n">
        <f aca="false">IF(OR(B1143="",C1143="",B1143&lt;=0.05,C1143&lt;=0.05),0,1)</f>
        <v>1</v>
      </c>
      <c r="E1143" s="25" t="n">
        <f aca="false">IF(OR(A1143&lt;Resumen!$B$6,A1143&gt;=Resumen!$B$7),0,MAX(0,AVERAGEIFS(B1095:B1191,D1095:D1191,1)-Resumen!$B$5*AVERAGEIFS(C1095:C1191,D1095:D1191,1)))</f>
        <v>0.543285518556701</v>
      </c>
      <c r="F1143" s="10" t="n">
        <f aca="false">IF(B1143="","",(B1143-E1143)/Resumen!$B$5)</f>
        <v>3.28539672870794</v>
      </c>
      <c r="G1143" s="10" t="n">
        <f aca="false">IF(OR(F1143="",C1143=""),0,(F1143-C1143)*0.9)</f>
        <v>0.130947055837148</v>
      </c>
      <c r="H1143" s="26" t="n">
        <f aca="false">IF(A1143&lt;Resumen!$B$11,"",IF(H1142="",0,H1142)+G1143/Resumen!$B$9)</f>
        <v>1.35476019089775</v>
      </c>
      <c r="I1143" s="26" t="n">
        <f aca="false">IF(H1143="","",H1143-AVERAGE(H1095:H1191))</f>
        <v>0.101058656947648</v>
      </c>
      <c r="J1143" s="27" t="n">
        <f aca="false">IF(I1143="","",Resumen!$B$10-(MAX(I1095:I1191)-I1143))</f>
        <v>1.82891210791384</v>
      </c>
    </row>
    <row r="1144" customFormat="false" ht="15" hidden="false" customHeight="false" outlineLevel="0" collapsed="false">
      <c r="A1144" s="24" t="n">
        <v>46273.2916666667</v>
      </c>
      <c r="B1144" s="10" t="n">
        <v>5.3589</v>
      </c>
      <c r="C1144" s="10" t="n">
        <v>4.0335</v>
      </c>
      <c r="D1144" s="10" t="n">
        <f aca="false">IF(OR(B1144="",C1144="",B1144&lt;=0.05,C1144&lt;=0.05),0,1)</f>
        <v>1</v>
      </c>
      <c r="E1144" s="25" t="n">
        <f aca="false">IF(OR(A1144&lt;Resumen!$B$6,A1144&gt;=Resumen!$B$7),0,MAX(0,AVERAGEIFS(B1096:B1192,D1096:D1192,1)-Resumen!$B$5*AVERAGEIFS(C1096:C1192,D1096:D1192,1)))</f>
        <v>0.544231424742269</v>
      </c>
      <c r="F1144" s="10" t="n">
        <f aca="false">IF(B1144="","",(B1144-E1144)/Resumen!$B$5)</f>
        <v>3.82420061577262</v>
      </c>
      <c r="G1144" s="10" t="n">
        <f aca="false">IF(OR(F1144="",C1144=""),0,(F1144-C1144)*0.9)</f>
        <v>-0.18836944580464</v>
      </c>
      <c r="H1144" s="26" t="n">
        <f aca="false">IF(A1144&lt;Resumen!$B$11,"",IF(H1143="",0,H1143)+G1144/Resumen!$B$9)</f>
        <v>1.34585617630698</v>
      </c>
      <c r="I1144" s="26" t="n">
        <f aca="false">IF(H1144="","",H1144-AVERAGE(H1096:H1192))</f>
        <v>0.0929933430600825</v>
      </c>
      <c r="J1144" s="27" t="n">
        <f aca="false">IF(I1144="","",Resumen!$B$10-(MAX(I1096:I1192)-I1144))</f>
        <v>1.82084679402627</v>
      </c>
    </row>
    <row r="1145" customFormat="false" ht="15" hidden="false" customHeight="false" outlineLevel="0" collapsed="false">
      <c r="A1145" s="24" t="n">
        <v>46273.3020833333</v>
      </c>
      <c r="B1145" s="10" t="n">
        <v>4.3751</v>
      </c>
      <c r="C1145" s="10" t="n">
        <v>2.6649</v>
      </c>
      <c r="D1145" s="10" t="n">
        <f aca="false">IF(OR(B1145="",C1145="",B1145&lt;=0.05,C1145&lt;=0.05),0,1)</f>
        <v>1</v>
      </c>
      <c r="E1145" s="25" t="n">
        <f aca="false">IF(OR(A1145&lt;Resumen!$B$6,A1145&gt;=Resumen!$B$7),0,MAX(0,AVERAGEIFS(B1097:B1193,D1097:D1193,1)-Resumen!$B$5*AVERAGEIFS(C1097:C1193,D1097:D1193,1)))</f>
        <v>0.545757264948454</v>
      </c>
      <c r="F1145" s="10" t="n">
        <f aca="false">IF(B1145="","",(B1145-E1145)/Resumen!$B$5)</f>
        <v>3.04157484912752</v>
      </c>
      <c r="G1145" s="10" t="n">
        <f aca="false">IF(OR(F1145="",C1145=""),0,(F1145-C1145)*0.9)</f>
        <v>0.339007364214767</v>
      </c>
      <c r="H1145" s="26" t="n">
        <f aca="false">IF(A1145&lt;Resumen!$B$11,"",IF(H1144="",0,H1144)+G1145/Resumen!$B$9)</f>
        <v>1.36188067807505</v>
      </c>
      <c r="I1145" s="26" t="n">
        <f aca="false">IF(H1145="","",H1145-AVERAGE(H1097:H1193))</f>
        <v>0.109764013328112</v>
      </c>
      <c r="J1145" s="27" t="n">
        <f aca="false">IF(I1145="","",Resumen!$B$10-(MAX(I1097:I1193)-I1145))</f>
        <v>1.8376174642943</v>
      </c>
    </row>
    <row r="1146" customFormat="false" ht="15" hidden="false" customHeight="false" outlineLevel="0" collapsed="false">
      <c r="A1146" s="24" t="n">
        <v>46273.3125</v>
      </c>
      <c r="B1146" s="10" t="n">
        <v>4.101</v>
      </c>
      <c r="C1146" s="10" t="n">
        <v>2.5672</v>
      </c>
      <c r="D1146" s="10" t="n">
        <f aca="false">IF(OR(B1146="",C1146="",B1146&lt;=0.05,C1146&lt;=0.05),0,1)</f>
        <v>1</v>
      </c>
      <c r="E1146" s="25" t="n">
        <f aca="false">IF(OR(A1146&lt;Resumen!$B$6,A1146&gt;=Resumen!$B$7),0,MAX(0,AVERAGEIFS(B1098:B1194,D1098:D1194,1)-Resumen!$B$5*AVERAGEIFS(C1098:C1194,D1098:D1194,1)))</f>
        <v>0.538634187628866</v>
      </c>
      <c r="F1146" s="10" t="n">
        <f aca="false">IF(B1146="","",(B1146-E1146)/Resumen!$B$5)</f>
        <v>2.8295201051399</v>
      </c>
      <c r="G1146" s="10" t="n">
        <f aca="false">IF(OR(F1146="",C1146=""),0,(F1146-C1146)*0.9)</f>
        <v>0.23608809462591</v>
      </c>
      <c r="H1146" s="26" t="n">
        <f aca="false">IF(A1146&lt;Resumen!$B$11,"",IF(H1145="",0,H1145)+G1146/Resumen!$B$9)</f>
        <v>1.37304030022223</v>
      </c>
      <c r="I1146" s="26" t="n">
        <f aca="false">IF(H1146="","",H1146-AVERAGE(H1098:H1194))</f>
        <v>0.121863526892555</v>
      </c>
      <c r="J1146" s="27" t="n">
        <f aca="false">IF(I1146="","",Resumen!$B$10-(MAX(I1098:I1194)-I1146))</f>
        <v>1.84971697785875</v>
      </c>
    </row>
    <row r="1147" customFormat="false" ht="15" hidden="false" customHeight="false" outlineLevel="0" collapsed="false">
      <c r="A1147" s="24" t="n">
        <v>46273.3229166667</v>
      </c>
      <c r="B1147" s="10" t="n">
        <v>4.4664</v>
      </c>
      <c r="C1147" s="10" t="n">
        <v>3.2508</v>
      </c>
      <c r="D1147" s="10" t="n">
        <f aca="false">IF(OR(B1147="",C1147="",B1147&lt;=0.05,C1147&lt;=0.05),0,1)</f>
        <v>1</v>
      </c>
      <c r="E1147" s="25" t="n">
        <f aca="false">IF(OR(A1147&lt;Resumen!$B$6,A1147&gt;=Resumen!$B$7),0,MAX(0,AVERAGEIFS(B1099:B1195,D1099:D1195,1)-Resumen!$B$5*AVERAGEIFS(C1099:C1195,D1099:D1195,1)))</f>
        <v>0.542722120618557</v>
      </c>
      <c r="F1147" s="10" t="n">
        <f aca="false">IF(B1147="","",(B1147-E1147)/Resumen!$B$5)</f>
        <v>3.11650347846024</v>
      </c>
      <c r="G1147" s="10" t="n">
        <f aca="false">IF(OR(F1147="",C1147=""),0,(F1147-C1147)*0.9)</f>
        <v>-0.120866869385783</v>
      </c>
      <c r="H1147" s="26" t="n">
        <f aca="false">IF(A1147&lt;Resumen!$B$11,"",IF(H1146="",0,H1146)+G1147/Resumen!$B$9)</f>
        <v>1.36732705748292</v>
      </c>
      <c r="I1147" s="26" t="n">
        <f aca="false">IF(H1147="","",H1147-AVERAGE(H1099:H1195))</f>
        <v>0.116901126850809</v>
      </c>
      <c r="J1147" s="27" t="n">
        <f aca="false">IF(I1147="","",Resumen!$B$10-(MAX(I1099:I1195)-I1147))</f>
        <v>1.844754577817</v>
      </c>
    </row>
    <row r="1148" customFormat="false" ht="15" hidden="false" customHeight="false" outlineLevel="0" collapsed="false">
      <c r="A1148" s="24" t="n">
        <v>46273.3333333333</v>
      </c>
      <c r="B1148" s="10" t="n">
        <v>5.3715</v>
      </c>
      <c r="C1148" s="10" t="n">
        <v>4.1805</v>
      </c>
      <c r="D1148" s="10" t="n">
        <f aca="false">IF(OR(B1148="",C1148="",B1148&lt;=0.05,C1148&lt;=0.05),0,1)</f>
        <v>1</v>
      </c>
      <c r="E1148" s="25" t="n">
        <f aca="false">IF(OR(A1148&lt;Resumen!$B$6,A1148&gt;=Resumen!$B$7),0,MAX(0,AVERAGEIFS(B1100:B1196,D1100:D1196,1)-Resumen!$B$5*AVERAGEIFS(C1100:C1196,D1100:D1196,1)))</f>
        <v>0.553743374226804</v>
      </c>
      <c r="F1148" s="10" t="n">
        <f aca="false">IF(B1148="","",(B1148-E1148)/Resumen!$B$5)</f>
        <v>3.82665339616616</v>
      </c>
      <c r="G1148" s="10" t="n">
        <f aca="false">IF(OR(F1148="",C1148=""),0,(F1148-C1148)*0.9)</f>
        <v>-0.318461943450456</v>
      </c>
      <c r="H1148" s="26" t="n">
        <f aca="false">IF(A1148&lt;Resumen!$B$11,"",IF(H1147="",0,H1147)+G1148/Resumen!$B$9)</f>
        <v>1.35227371494654</v>
      </c>
      <c r="I1148" s="26" t="n">
        <f aca="false">IF(H1148="","",H1148-AVERAGE(H1100:H1196))</f>
        <v>0.102177753535837</v>
      </c>
      <c r="J1148" s="27" t="n">
        <f aca="false">IF(I1148="","",Resumen!$B$10-(MAX(I1100:I1196)-I1148))</f>
        <v>1.83003120450203</v>
      </c>
    </row>
    <row r="1149" customFormat="false" ht="15" hidden="false" customHeight="false" outlineLevel="0" collapsed="false">
      <c r="A1149" s="24" t="n">
        <v>46273.34375</v>
      </c>
      <c r="B1149" s="10" t="n">
        <v>4.8101</v>
      </c>
      <c r="C1149" s="10" t="n">
        <v>3.5195</v>
      </c>
      <c r="D1149" s="10" t="n">
        <f aca="false">IF(OR(B1149="",C1149="",B1149&lt;=0.05,C1149&lt;=0.05),0,1)</f>
        <v>1</v>
      </c>
      <c r="E1149" s="25" t="n">
        <f aca="false">IF(OR(A1149&lt;Resumen!$B$6,A1149&gt;=Resumen!$B$7),0,MAX(0,AVERAGEIFS(B1101:B1197,D1101:D1197,1)-Resumen!$B$5*AVERAGEIFS(C1101:C1197,D1101:D1197,1)))</f>
        <v>0.553600094845361</v>
      </c>
      <c r="F1149" s="10" t="n">
        <f aca="false">IF(B1149="","",(B1149-E1149)/Resumen!$B$5)</f>
        <v>3.38085774833569</v>
      </c>
      <c r="G1149" s="10" t="n">
        <f aca="false">IF(OR(F1149="",C1149=""),0,(F1149-C1149)*0.9)</f>
        <v>-0.124778026497875</v>
      </c>
      <c r="H1149" s="26" t="n">
        <f aca="false">IF(A1149&lt;Resumen!$B$11,"",IF(H1148="",0,H1148)+G1149/Resumen!$B$9)</f>
        <v>1.34637559615239</v>
      </c>
      <c r="I1149" s="26" t="n">
        <f aca="false">IF(H1149="","",H1149-AVERAGE(H1101:H1197))</f>
        <v>0.0965699301364804</v>
      </c>
      <c r="J1149" s="27" t="n">
        <f aca="false">IF(I1149="","",Resumen!$B$10-(MAX(I1101:I1197)-I1149))</f>
        <v>1.82442338110267</v>
      </c>
    </row>
    <row r="1150" customFormat="false" ht="15" hidden="false" customHeight="false" outlineLevel="0" collapsed="false">
      <c r="A1150" s="24" t="n">
        <v>46273.3541666667</v>
      </c>
      <c r="B1150" s="10" t="n">
        <v>5.03</v>
      </c>
      <c r="C1150" s="10" t="n">
        <v>2.9402</v>
      </c>
      <c r="D1150" s="10" t="n">
        <f aca="false">IF(OR(B1150="",C1150="",B1150&lt;=0.05,C1150&lt;=0.05),0,1)</f>
        <v>1</v>
      </c>
      <c r="E1150" s="25" t="n">
        <f aca="false">IF(OR(A1150&lt;Resumen!$B$6,A1150&gt;=Resumen!$B$7),0,MAX(0,AVERAGEIFS(B1102:B1198,D1102:D1198,1)-Resumen!$B$5*AVERAGEIFS(C1102:C1198,D1102:D1198,1)))</f>
        <v>0.566086257731959</v>
      </c>
      <c r="F1150" s="10" t="n">
        <f aca="false">IF(B1150="","",(B1150-E1150)/Resumen!$B$5)</f>
        <v>3.54560265470059</v>
      </c>
      <c r="G1150" s="10" t="n">
        <f aca="false">IF(OR(F1150="",C1150=""),0,(F1150-C1150)*0.9)</f>
        <v>0.54486238923053</v>
      </c>
      <c r="H1150" s="26" t="n">
        <f aca="false">IF(A1150&lt;Resumen!$B$11,"",IF(H1149="",0,H1149)+G1150/Resumen!$B$9)</f>
        <v>1.37213063642946</v>
      </c>
      <c r="I1150" s="26" t="n">
        <f aca="false">IF(H1150="","",H1150-AVERAGE(H1102:H1198))</f>
        <v>0.122146549033809</v>
      </c>
      <c r="J1150" s="27" t="n">
        <f aca="false">IF(I1150="","",Resumen!$B$10-(MAX(I1102:I1198)-I1150))</f>
        <v>1.85</v>
      </c>
    </row>
    <row r="1151" customFormat="false" ht="15" hidden="false" customHeight="false" outlineLevel="0" collapsed="false">
      <c r="A1151" s="24" t="n">
        <v>46273.3645833333</v>
      </c>
      <c r="B1151" s="10" t="n">
        <v>5.0953</v>
      </c>
      <c r="C1151" s="10" t="n">
        <v>3.7351</v>
      </c>
      <c r="D1151" s="10" t="n">
        <f aca="false">IF(OR(B1151="",C1151="",B1151&lt;=0.05,C1151&lt;=0.05),0,1)</f>
        <v>1</v>
      </c>
      <c r="E1151" s="25" t="n">
        <f aca="false">IF(OR(A1151&lt;Resumen!$B$6,A1151&gt;=Resumen!$B$7),0,MAX(0,AVERAGEIFS(B1103:B1199,D1103:D1199,1)-Resumen!$B$5*AVERAGEIFS(C1103:C1199,D1103:D1199,1)))</f>
        <v>0.572006739175258</v>
      </c>
      <c r="F1151" s="10" t="n">
        <f aca="false">IF(B1151="","",(B1151-E1151)/Resumen!$B$5)</f>
        <v>3.59276668850258</v>
      </c>
      <c r="G1151" s="10" t="n">
        <f aca="false">IF(OR(F1151="",C1151=""),0,(F1151-C1151)*0.9)</f>
        <v>-0.128099980347682</v>
      </c>
      <c r="H1151" s="26" t="n">
        <f aca="false">IF(A1151&lt;Resumen!$B$11,"",IF(H1150="",0,H1150)+G1151/Resumen!$B$9)</f>
        <v>1.36607549256459</v>
      </c>
      <c r="I1151" s="26" t="n">
        <f aca="false">IF(H1151="","",H1151-AVERAGE(H1103:H1199))</f>
        <v>0.115661590006308</v>
      </c>
      <c r="J1151" s="27" t="n">
        <f aca="false">IF(I1151="","",Resumen!$B$10-(MAX(I1103:I1199)-I1151))</f>
        <v>1.8435150409725</v>
      </c>
    </row>
    <row r="1152" customFormat="false" ht="15" hidden="false" customHeight="false" outlineLevel="0" collapsed="false">
      <c r="A1152" s="24" t="n">
        <v>46273.375</v>
      </c>
      <c r="B1152" s="10" t="n">
        <v>5.1811</v>
      </c>
      <c r="C1152" s="10" t="n">
        <v>3.8084</v>
      </c>
      <c r="D1152" s="10" t="n">
        <f aca="false">IF(OR(B1152="",C1152="",B1152&lt;=0.05,C1152&lt;=0.05),0,1)</f>
        <v>1</v>
      </c>
      <c r="E1152" s="25" t="n">
        <f aca="false">IF(OR(A1152&lt;Resumen!$B$6,A1152&gt;=Resumen!$B$7),0,MAX(0,AVERAGEIFS(B1104:B1200,D1104:D1200,1)-Resumen!$B$5*AVERAGEIFS(C1104:C1200,D1104:D1200,1)))</f>
        <v>0.5804962814433</v>
      </c>
      <c r="F1152" s="10" t="n">
        <f aca="false">IF(B1152="","",(B1152-E1152)/Resumen!$B$5)</f>
        <v>3.65417292975115</v>
      </c>
      <c r="G1152" s="10" t="n">
        <f aca="false">IF(OR(F1152="",C1152=""),0,(F1152-C1152)*0.9)</f>
        <v>-0.138804363223963</v>
      </c>
      <c r="H1152" s="26" t="n">
        <f aca="false">IF(A1152&lt;Resumen!$B$11,"",IF(H1151="",0,H1151)+G1152/Resumen!$B$9)</f>
        <v>1.3595143644043</v>
      </c>
      <c r="I1152" s="26" t="n">
        <f aca="false">IF(H1152="","",H1152-AVERAGE(H1104:H1200))</f>
        <v>0.108339112009926</v>
      </c>
      <c r="J1152" s="27" t="n">
        <f aca="false">IF(I1152="","",Resumen!$B$10-(MAX(I1104:I1200)-I1152))</f>
        <v>1.83619256297612</v>
      </c>
    </row>
    <row r="1153" customFormat="false" ht="15" hidden="false" customHeight="false" outlineLevel="0" collapsed="false">
      <c r="A1153" s="24" t="n">
        <v>46273.3854166667</v>
      </c>
      <c r="B1153" s="10" t="n">
        <v>5.4131</v>
      </c>
      <c r="C1153" s="10" t="n">
        <v>3.9123</v>
      </c>
      <c r="D1153" s="10" t="n">
        <f aca="false">IF(OR(B1153="",C1153="",B1153&lt;=0.05,C1153&lt;=0.05),0,1)</f>
        <v>1</v>
      </c>
      <c r="E1153" s="25" t="n">
        <f aca="false">IF(OR(A1153&lt;Resumen!$B$6,A1153&gt;=Resumen!$B$7),0,MAX(0,AVERAGEIFS(B1105:B1201,D1105:D1201,1)-Resumen!$B$5*AVERAGEIFS(C1105:C1201,D1105:D1201,1)))</f>
        <v>0.574647753608248</v>
      </c>
      <c r="F1153" s="10" t="n">
        <f aca="false">IF(B1153="","",(B1153-E1153)/Resumen!$B$5)</f>
        <v>3.84309153803952</v>
      </c>
      <c r="G1153" s="10" t="n">
        <f aca="false">IF(OR(F1153="",C1153=""),0,(F1153-C1153)*0.9)</f>
        <v>-0.0622876157644342</v>
      </c>
      <c r="H1153" s="26" t="n">
        <f aca="false">IF(A1153&lt;Resumen!$B$11,"",IF(H1152="",0,H1152)+G1153/Resumen!$B$9)</f>
        <v>1.35657009795375</v>
      </c>
      <c r="I1153" s="26" t="n">
        <f aca="false">IF(H1153="","",H1153-AVERAGE(H1105:H1201))</f>
        <v>0.104780204826621</v>
      </c>
      <c r="J1153" s="27" t="n">
        <f aca="false">IF(I1153="","",Resumen!$B$10-(MAX(I1105:I1201)-I1153))</f>
        <v>1.83263365579281</v>
      </c>
    </row>
    <row r="1154" customFormat="false" ht="15" hidden="false" customHeight="false" outlineLevel="0" collapsed="false">
      <c r="A1154" s="24" t="n">
        <v>46273.3958333333</v>
      </c>
      <c r="B1154" s="10" t="n">
        <v>5.1049</v>
      </c>
      <c r="C1154" s="10" t="n">
        <v>3.7358</v>
      </c>
      <c r="D1154" s="10" t="n">
        <f aca="false">IF(OR(B1154="",C1154="",B1154&lt;=0.05,C1154&lt;=0.05),0,1)</f>
        <v>1</v>
      </c>
      <c r="E1154" s="25" t="n">
        <f aca="false">IF(OR(A1154&lt;Resumen!$B$6,A1154&gt;=Resumen!$B$7),0,MAX(0,AVERAGEIFS(B1106:B1202,D1106:D1202,1)-Resumen!$B$5*AVERAGEIFS(C1106:C1202,D1106:D1202,1)))</f>
        <v>0.577418422680413</v>
      </c>
      <c r="F1154" s="10" t="n">
        <f aca="false">IF(B1154="","",(B1154-E1154)/Resumen!$B$5)</f>
        <v>3.59609338945162</v>
      </c>
      <c r="G1154" s="10" t="n">
        <f aca="false">IF(OR(F1154="",C1154=""),0,(F1154-C1154)*0.9)</f>
        <v>-0.125735949493544</v>
      </c>
      <c r="H1154" s="26" t="n">
        <f aca="false">IF(A1154&lt;Resumen!$B$11,"",IF(H1153="",0,H1153)+G1154/Resumen!$B$9)</f>
        <v>1.350626699203</v>
      </c>
      <c r="I1154" s="26" t="n">
        <f aca="false">IF(H1154="","",H1154-AVERAGE(H1106:H1202))</f>
        <v>0.098081254005967</v>
      </c>
      <c r="J1154" s="27" t="n">
        <f aca="false">IF(I1154="","",Resumen!$B$10-(MAX(I1106:I1202)-I1154))</f>
        <v>1.82593470497216</v>
      </c>
    </row>
    <row r="1155" customFormat="false" ht="15" hidden="false" customHeight="false" outlineLevel="0" collapsed="false">
      <c r="A1155" s="24" t="n">
        <v>46273.40625</v>
      </c>
      <c r="B1155" s="10" t="n">
        <v>4.7031</v>
      </c>
      <c r="C1155" s="10" t="n">
        <v>2.8476</v>
      </c>
      <c r="D1155" s="10" t="n">
        <f aca="false">IF(OR(B1155="",C1155="",B1155&lt;=0.05,C1155&lt;=0.05),0,1)</f>
        <v>1</v>
      </c>
      <c r="E1155" s="25" t="n">
        <f aca="false">IF(OR(A1155&lt;Resumen!$B$6,A1155&gt;=Resumen!$B$7),0,MAX(0,AVERAGEIFS(B1107:B1203,D1107:D1203,1)-Resumen!$B$5*AVERAGEIFS(C1107:C1203,D1107:D1203,1)))</f>
        <v>0.570584353608248</v>
      </c>
      <c r="F1155" s="10" t="n">
        <f aca="false">IF(B1155="","",(B1155-E1155)/Resumen!$B$5)</f>
        <v>3.28237938553753</v>
      </c>
      <c r="G1155" s="10" t="n">
        <f aca="false">IF(OR(F1155="",C1155=""),0,(F1155-C1155)*0.9)</f>
        <v>0.391301446983779</v>
      </c>
      <c r="H1155" s="26" t="n">
        <f aca="false">IF(A1155&lt;Resumen!$B$11,"",IF(H1154="",0,H1154)+G1155/Resumen!$B$9)</f>
        <v>1.36912308421092</v>
      </c>
      <c r="I1155" s="26" t="n">
        <f aca="false">IF(H1155="","",H1155-AVERAGE(H1107:H1203))</f>
        <v>0.11601184025898</v>
      </c>
      <c r="J1155" s="27" t="n">
        <f aca="false">IF(I1155="","",Resumen!$B$10-(MAX(I1107:I1203)-I1155))</f>
        <v>1.84386529122517</v>
      </c>
    </row>
    <row r="1156" customFormat="false" ht="15" hidden="false" customHeight="false" outlineLevel="0" collapsed="false">
      <c r="A1156" s="24" t="n">
        <v>46273.4166666667</v>
      </c>
      <c r="B1156" s="10" t="n">
        <v>4.5536</v>
      </c>
      <c r="C1156" s="10" t="n">
        <v>3.1951</v>
      </c>
      <c r="D1156" s="10" t="n">
        <f aca="false">IF(OR(B1156="",C1156="",B1156&lt;=0.05,C1156&lt;=0.05),0,1)</f>
        <v>1</v>
      </c>
      <c r="E1156" s="25" t="n">
        <f aca="false">IF(OR(A1156&lt;Resumen!$B$6,A1156&gt;=Resumen!$B$7),0,MAX(0,AVERAGEIFS(B1108:B1204,D1108:D1204,1)-Resumen!$B$5*AVERAGEIFS(C1108:C1204,D1108:D1204,1)))</f>
        <v>0.5582566814433</v>
      </c>
      <c r="F1156" s="10" t="n">
        <f aca="false">IF(B1156="","",(B1156-E1156)/Resumen!$B$5)</f>
        <v>3.17342598773368</v>
      </c>
      <c r="G1156" s="10" t="n">
        <f aca="false">IF(OR(F1156="",C1156=""),0,(F1156-C1156)*0.9)</f>
        <v>-0.0195066110396895</v>
      </c>
      <c r="H1156" s="26" t="n">
        <f aca="false">IF(A1156&lt;Resumen!$B$11,"",IF(H1155="",0,H1155)+G1156/Resumen!$B$9)</f>
        <v>1.36820102836173</v>
      </c>
      <c r="I1156" s="26" t="n">
        <f aca="false">IF(H1156="","",H1156-AVERAGE(H1108:H1204))</f>
        <v>0.114894288281584</v>
      </c>
      <c r="J1156" s="27" t="n">
        <f aca="false">IF(I1156="","",Resumen!$B$10-(MAX(I1108:I1204)-I1156))</f>
        <v>1.84274773924778</v>
      </c>
    </row>
    <row r="1157" customFormat="false" ht="15" hidden="false" customHeight="false" outlineLevel="0" collapsed="false">
      <c r="A1157" s="24" t="n">
        <v>46273.4270833333</v>
      </c>
      <c r="B1157" s="10" t="n">
        <v>7.0292</v>
      </c>
      <c r="C1157" s="10" t="n">
        <v>5.061</v>
      </c>
      <c r="D1157" s="10" t="n">
        <f aca="false">IF(OR(B1157="",C1157="",B1157&lt;=0.05,C1157&lt;=0.05),0,1)</f>
        <v>1</v>
      </c>
      <c r="E1157" s="25" t="n">
        <f aca="false">IF(OR(A1157&lt;Resumen!$B$6,A1157&gt;=Resumen!$B$7),0,MAX(0,AVERAGEIFS(B1109:B1205,D1109:D1205,1)-Resumen!$B$5*AVERAGEIFS(C1109:C1205,D1109:D1205,1)))</f>
        <v>0.563777851546392</v>
      </c>
      <c r="F1157" s="10" t="n">
        <f aca="false">IF(B1157="","",(B1157-E1157)/Resumen!$B$5)</f>
        <v>5.13536310441113</v>
      </c>
      <c r="G1157" s="10" t="n">
        <f aca="false">IF(OR(F1157="",C1157=""),0,(F1157-C1157)*0.9)</f>
        <v>0.0669267939700149</v>
      </c>
      <c r="H1157" s="26" t="n">
        <f aca="false">IF(A1157&lt;Resumen!$B$11,"",IF(H1156="",0,H1156)+G1157/Resumen!$B$9)</f>
        <v>1.37136458361601</v>
      </c>
      <c r="I1157" s="26" t="n">
        <f aca="false">IF(H1157="","",H1157-AVERAGE(H1109:H1205))</f>
        <v>0.117627163140178</v>
      </c>
      <c r="J1157" s="27" t="n">
        <f aca="false">IF(I1157="","",Resumen!$B$10-(MAX(I1109:I1205)-I1157))</f>
        <v>1.84548061410637</v>
      </c>
    </row>
    <row r="1158" customFormat="false" ht="15" hidden="false" customHeight="false" outlineLevel="0" collapsed="false">
      <c r="A1158" s="24" t="n">
        <v>46273.4375</v>
      </c>
      <c r="B1158" s="10" t="n">
        <v>5.9856</v>
      </c>
      <c r="C1158" s="10" t="n">
        <v>4.4564</v>
      </c>
      <c r="D1158" s="10" t="n">
        <f aca="false">IF(OR(B1158="",C1158="",B1158&lt;=0.05,C1158&lt;=0.05),0,1)</f>
        <v>1</v>
      </c>
      <c r="E1158" s="25" t="n">
        <f aca="false">IF(OR(A1158&lt;Resumen!$B$6,A1158&gt;=Resumen!$B$7),0,MAX(0,AVERAGEIFS(B1110:B1206,D1110:D1206,1)-Resumen!$B$5*AVERAGEIFS(C1110:C1206,D1110:D1206,1)))</f>
        <v>0.560543644329897</v>
      </c>
      <c r="F1158" s="10" t="n">
        <f aca="false">IF(B1158="","",(B1158-E1158)/Resumen!$B$5)</f>
        <v>4.30902013953146</v>
      </c>
      <c r="G1158" s="10" t="n">
        <f aca="false">IF(OR(F1158="",C1158=""),0,(F1158-C1158)*0.9)</f>
        <v>-0.13264187442169</v>
      </c>
      <c r="H1158" s="26" t="n">
        <f aca="false">IF(A1158&lt;Resumen!$B$11,"",IF(H1157="",0,H1157)+G1158/Resumen!$B$9)</f>
        <v>1.36509474946031</v>
      </c>
      <c r="I1158" s="26" t="n">
        <f aca="false">IF(H1158="","",H1158-AVERAGE(H1110:H1206))</f>
        <v>0.110985979698859</v>
      </c>
      <c r="J1158" s="27" t="n">
        <f aca="false">IF(I1158="","",Resumen!$B$10-(MAX(I1110:I1206)-I1158))</f>
        <v>1.83883943066505</v>
      </c>
    </row>
    <row r="1159" customFormat="false" ht="15" hidden="false" customHeight="false" outlineLevel="0" collapsed="false">
      <c r="A1159" s="24" t="n">
        <v>46273.4479166667</v>
      </c>
      <c r="B1159" s="10" t="n">
        <v>5.5084</v>
      </c>
      <c r="C1159" s="10" t="n">
        <v>3.9849</v>
      </c>
      <c r="D1159" s="10" t="n">
        <f aca="false">IF(OR(B1159="",C1159="",B1159&lt;=0.05,C1159&lt;=0.05),0,1)</f>
        <v>1</v>
      </c>
      <c r="E1159" s="25" t="n">
        <f aca="false">IF(OR(A1159&lt;Resumen!$B$6,A1159&gt;=Resumen!$B$7),0,MAX(0,AVERAGEIFS(B1111:B1207,D1111:D1207,1)-Resumen!$B$5*AVERAGEIFS(C1111:C1207,D1111:D1207,1)))</f>
        <v>0.559449091752577</v>
      </c>
      <c r="F1159" s="10" t="n">
        <f aca="false">IF(B1159="","",(B1159-E1159)/Resumen!$B$5)</f>
        <v>3.93085854507341</v>
      </c>
      <c r="G1159" s="10" t="n">
        <f aca="false">IF(OR(F1159="",C1159=""),0,(F1159-C1159)*0.9)</f>
        <v>-0.0486373094339318</v>
      </c>
      <c r="H1159" s="26" t="n">
        <f aca="false">IF(A1159&lt;Resumen!$B$11,"",IF(H1158="",0,H1158)+G1159/Resumen!$B$9)</f>
        <v>1.36279571783655</v>
      </c>
      <c r="I1159" s="26" t="n">
        <f aca="false">IF(H1159="","",H1159-AVERAGE(H1111:H1207))</f>
        <v>0.10830257640174</v>
      </c>
      <c r="J1159" s="27" t="n">
        <f aca="false">IF(I1159="","",Resumen!$B$10-(MAX(I1111:I1207)-I1159))</f>
        <v>1.83615602736793</v>
      </c>
    </row>
    <row r="1160" customFormat="false" ht="15" hidden="false" customHeight="false" outlineLevel="0" collapsed="false">
      <c r="A1160" s="24" t="n">
        <v>46273.4583333333</v>
      </c>
      <c r="B1160" s="10" t="n">
        <v>4.4102</v>
      </c>
      <c r="C1160" s="10" t="n">
        <v>2.9109</v>
      </c>
      <c r="D1160" s="10" t="n">
        <f aca="false">IF(OR(B1160="",C1160="",B1160&lt;=0.05,C1160&lt;=0.05),0,1)</f>
        <v>1</v>
      </c>
      <c r="E1160" s="25" t="n">
        <f aca="false">IF(OR(A1160&lt;Resumen!$B$6,A1160&gt;=Resumen!$B$7),0,MAX(0,AVERAGEIFS(B1112:B1208,D1112:D1208,1)-Resumen!$B$5*AVERAGEIFS(C1112:C1208,D1112:D1208,1)))</f>
        <v>0.557525080412371</v>
      </c>
      <c r="F1160" s="10" t="n">
        <f aca="false">IF(B1160="","",(B1160-E1160)/Resumen!$B$5)</f>
        <v>3.06010716408867</v>
      </c>
      <c r="G1160" s="10" t="n">
        <f aca="false">IF(OR(F1160="",C1160=""),0,(F1160-C1160)*0.9)</f>
        <v>0.134286447679798</v>
      </c>
      <c r="H1160" s="26" t="n">
        <f aca="false">IF(A1160&lt;Resumen!$B$11,"",IF(H1159="",0,H1159)+G1160/Resumen!$B$9)</f>
        <v>1.36914328914449</v>
      </c>
      <c r="I1160" s="26" t="n">
        <f aca="false">IF(H1160="","",H1160-AVERAGE(H1112:H1208))</f>
        <v>0.114273798156983</v>
      </c>
      <c r="J1160" s="27" t="n">
        <f aca="false">IF(I1160="","",Resumen!$B$10-(MAX(I1112:I1208)-I1160))</f>
        <v>1.84212724912317</v>
      </c>
    </row>
    <row r="1161" customFormat="false" ht="15" hidden="false" customHeight="false" outlineLevel="0" collapsed="false">
      <c r="A1161" s="24" t="n">
        <v>46273.46875</v>
      </c>
      <c r="B1161" s="10" t="n">
        <v>5.4745</v>
      </c>
      <c r="C1161" s="10" t="n">
        <v>4.3866</v>
      </c>
      <c r="D1161" s="10" t="n">
        <f aca="false">IF(OR(B1161="",C1161="",B1161&lt;=0.05,C1161&lt;=0.05),0,1)</f>
        <v>1</v>
      </c>
      <c r="E1161" s="25" t="n">
        <f aca="false">IF(OR(A1161&lt;Resumen!$B$6,A1161&gt;=Resumen!$B$7),0,MAX(0,AVERAGEIFS(B1113:B1209,D1113:D1209,1)-Resumen!$B$5*AVERAGEIFS(C1113:C1209,D1113:D1209,1)))</f>
        <v>0.561386378350516</v>
      </c>
      <c r="F1161" s="10" t="n">
        <f aca="false">IF(B1161="","",(B1161-E1161)/Resumen!$B$5)</f>
        <v>3.90239366294637</v>
      </c>
      <c r="G1161" s="10" t="n">
        <f aca="false">IF(OR(F1161="",C1161=""),0,(F1161-C1161)*0.9)</f>
        <v>-0.435785703348263</v>
      </c>
      <c r="H1161" s="26" t="n">
        <f aca="false">IF(A1161&lt;Resumen!$B$11,"",IF(H1160="",0,H1160)+G1161/Resumen!$B$9)</f>
        <v>1.34854418272102</v>
      </c>
      <c r="I1161" s="26" t="n">
        <f aca="false">IF(H1161="","",H1161-AVERAGE(H1113:H1209))</f>
        <v>0.0931100291701639</v>
      </c>
      <c r="J1161" s="27" t="n">
        <f aca="false">IF(I1161="","",Resumen!$B$10-(MAX(I1113:I1209)-I1161))</f>
        <v>1.82096348013636</v>
      </c>
    </row>
    <row r="1162" customFormat="false" ht="15" hidden="false" customHeight="false" outlineLevel="0" collapsed="false">
      <c r="A1162" s="24" t="n">
        <v>46273.4791666667</v>
      </c>
      <c r="B1162" s="10" t="n">
        <v>6.5351</v>
      </c>
      <c r="C1162" s="10" t="n">
        <v>4.4487</v>
      </c>
      <c r="D1162" s="10" t="n">
        <f aca="false">IF(OR(B1162="",C1162="",B1162&lt;=0.05,C1162&lt;=0.05),0,1)</f>
        <v>1</v>
      </c>
      <c r="E1162" s="25" t="n">
        <f aca="false">IF(OR(A1162&lt;Resumen!$B$6,A1162&gt;=Resumen!$B$7),0,MAX(0,AVERAGEIFS(B1114:B1210,D1114:D1210,1)-Resumen!$B$5*AVERAGEIFS(C1114:C1210,D1114:D1210,1)))</f>
        <v>0.553859325773196</v>
      </c>
      <c r="F1162" s="10" t="n">
        <f aca="false">IF(B1162="","",(B1162-E1162)/Resumen!$B$5)</f>
        <v>4.75078687388944</v>
      </c>
      <c r="G1162" s="10" t="n">
        <f aca="false">IF(OR(F1162="",C1162=""),0,(F1162-C1162)*0.9)</f>
        <v>0.271878186500496</v>
      </c>
      <c r="H1162" s="26" t="n">
        <f aca="false">IF(A1162&lt;Resumen!$B$11,"",IF(H1161="",0,H1161)+G1162/Resumen!$B$9)</f>
        <v>1.36139556277988</v>
      </c>
      <c r="I1162" s="26" t="n">
        <f aca="false">IF(H1162="","",H1162-AVERAGE(H1114:H1210))</f>
        <v>0.105631991477754</v>
      </c>
      <c r="J1162" s="27" t="n">
        <f aca="false">IF(I1162="","",Resumen!$B$10-(MAX(I1114:I1210)-I1162))</f>
        <v>1.83348544244395</v>
      </c>
    </row>
    <row r="1163" customFormat="false" ht="15" hidden="false" customHeight="false" outlineLevel="0" collapsed="false">
      <c r="A1163" s="24" t="n">
        <v>46273.4895833333</v>
      </c>
      <c r="B1163" s="10" t="n">
        <v>5.7026</v>
      </c>
      <c r="C1163" s="10" t="n">
        <v>4.9754</v>
      </c>
      <c r="D1163" s="10" t="n">
        <f aca="false">IF(OR(B1163="",C1163="",B1163&lt;=0.05,C1163&lt;=0.05),0,1)</f>
        <v>1</v>
      </c>
      <c r="E1163" s="25" t="n">
        <f aca="false">IF(OR(A1163&lt;Resumen!$B$6,A1163&gt;=Resumen!$B$7),0,MAX(0,AVERAGEIFS(B1115:B1211,D1115:D1211,1)-Resumen!$B$5*AVERAGEIFS(C1115:C1211,D1115:D1211,1)))</f>
        <v>0.550890253608248</v>
      </c>
      <c r="F1163" s="10" t="n">
        <f aca="false">IF(B1163="","",(B1163-E1163)/Resumen!$B$5)</f>
        <v>4.09190607338503</v>
      </c>
      <c r="G1163" s="10" t="n">
        <f aca="false">IF(OR(F1163="",C1163=""),0,(F1163-C1163)*0.9)</f>
        <v>-0.795144533953472</v>
      </c>
      <c r="H1163" s="26" t="n">
        <f aca="false">IF(A1163&lt;Resumen!$B$11,"",IF(H1162="",0,H1162)+G1163/Resumen!$B$9)</f>
        <v>1.32380996336461</v>
      </c>
      <c r="I1163" s="26" t="n">
        <f aca="false">IF(H1163="","",H1163-AVERAGE(H1115:H1211))</f>
        <v>0.0677943835584689</v>
      </c>
      <c r="J1163" s="27" t="n">
        <f aca="false">IF(I1163="","",Resumen!$B$10-(MAX(I1115:I1211)-I1163))</f>
        <v>1.79564783452466</v>
      </c>
    </row>
    <row r="1164" customFormat="false" ht="15" hidden="false" customHeight="false" outlineLevel="0" collapsed="false">
      <c r="A1164" s="24" t="n">
        <v>46273.5</v>
      </c>
      <c r="B1164" s="10" t="n">
        <v>5.2615</v>
      </c>
      <c r="C1164" s="10" t="n">
        <v>4.6838</v>
      </c>
      <c r="D1164" s="10" t="n">
        <f aca="false">IF(OR(B1164="",C1164="",B1164&lt;=0.05,C1164&lt;=0.05),0,1)</f>
        <v>1</v>
      </c>
      <c r="E1164" s="25" t="n">
        <f aca="false">IF(OR(A1164&lt;Resumen!$B$6,A1164&gt;=Resumen!$B$7),0,MAX(0,AVERAGEIFS(B1116:B1212,D1116:D1212,1)-Resumen!$B$5*AVERAGEIFS(C1116:C1212,D1116:D1212,1)))</f>
        <v>0.546216097938145</v>
      </c>
      <c r="F1164" s="10" t="n">
        <f aca="false">IF(B1164="","",(B1164-E1164)/Resumen!$B$5)</f>
        <v>3.74526124071633</v>
      </c>
      <c r="G1164" s="10" t="n">
        <f aca="false">IF(OR(F1164="",C1164=""),0,(F1164-C1164)*0.9)</f>
        <v>-0.844684883355305</v>
      </c>
      <c r="H1164" s="26" t="n">
        <f aca="false">IF(A1164&lt;Resumen!$B$11,"",IF(H1163="",0,H1163)+G1164/Resumen!$B$9)</f>
        <v>1.28388264662878</v>
      </c>
      <c r="I1164" s="26" t="n">
        <f aca="false">IF(H1164="","",H1164-AVERAGE(H1116:H1212))</f>
        <v>0.0277621500942515</v>
      </c>
      <c r="J1164" s="27" t="n">
        <f aca="false">IF(I1164="","",Resumen!$B$10-(MAX(I1116:I1212)-I1164))</f>
        <v>1.75561560106044</v>
      </c>
    </row>
    <row r="1165" customFormat="false" ht="15" hidden="false" customHeight="false" outlineLevel="0" collapsed="false">
      <c r="A1165" s="24" t="n">
        <v>46273.5104166667</v>
      </c>
      <c r="B1165" s="10" t="n">
        <v>4.7587</v>
      </c>
      <c r="C1165" s="10" t="n">
        <v>3.4288</v>
      </c>
      <c r="D1165" s="10" t="n">
        <f aca="false">IF(OR(B1165="",C1165="",B1165&lt;=0.05,C1165&lt;=0.05),0,1)</f>
        <v>1</v>
      </c>
      <c r="E1165" s="25" t="n">
        <f aca="false">IF(OR(A1165&lt;Resumen!$B$6,A1165&gt;=Resumen!$B$7),0,MAX(0,AVERAGEIFS(B1117:B1213,D1117:D1213,1)-Resumen!$B$5*AVERAGEIFS(C1117:C1213,D1117:D1213,1)))</f>
        <v>0.556458401030929</v>
      </c>
      <c r="F1165" s="10" t="n">
        <f aca="false">IF(B1165="","",(B1165-E1165)/Resumen!$B$5)</f>
        <v>3.33776139711602</v>
      </c>
      <c r="G1165" s="10" t="n">
        <f aca="false">IF(OR(F1165="",C1165=""),0,(F1165-C1165)*0.9)</f>
        <v>-0.0819347425955798</v>
      </c>
      <c r="H1165" s="26" t="n">
        <f aca="false">IF(A1165&lt;Resumen!$B$11,"",IF(H1164="",0,H1164)+G1165/Resumen!$B$9)</f>
        <v>1.28000968230357</v>
      </c>
      <c r="I1165" s="26" t="n">
        <f aca="false">IF(H1165="","",H1165-AVERAGE(H1117:H1213))</f>
        <v>0.0234327354668937</v>
      </c>
      <c r="J1165" s="27" t="n">
        <f aca="false">IF(I1165="","",Resumen!$B$10-(MAX(I1117:I1213)-I1165))</f>
        <v>1.75128618643309</v>
      </c>
    </row>
    <row r="1166" customFormat="false" ht="15" hidden="false" customHeight="false" outlineLevel="0" collapsed="false">
      <c r="A1166" s="24" t="n">
        <v>46273.5208333333</v>
      </c>
      <c r="B1166" s="10" t="n">
        <v>5.0275</v>
      </c>
      <c r="C1166" s="10" t="n">
        <v>3.7479</v>
      </c>
      <c r="D1166" s="10" t="n">
        <f aca="false">IF(OR(B1166="",C1166="",B1166&lt;=0.05,C1166&lt;=0.05),0,1)</f>
        <v>1</v>
      </c>
      <c r="E1166" s="25" t="n">
        <f aca="false">IF(OR(A1166&lt;Resumen!$B$6,A1166&gt;=Resumen!$B$7),0,MAX(0,AVERAGEIFS(B1118:B1214,D1118:D1214,1)-Resumen!$B$5*AVERAGEIFS(C1118:C1214,D1118:D1214,1)))</f>
        <v>0.553310494845361</v>
      </c>
      <c r="F1166" s="10" t="n">
        <f aca="false">IF(B1166="","",(B1166-E1166)/Resumen!$B$5)</f>
        <v>3.55376449972569</v>
      </c>
      <c r="G1166" s="10" t="n">
        <f aca="false">IF(OR(F1166="",C1166=""),0,(F1166-C1166)*0.9)</f>
        <v>-0.174721950246882</v>
      </c>
      <c r="H1166" s="26" t="n">
        <f aca="false">IF(A1166&lt;Resumen!$B$11,"",IF(H1165="",0,H1165)+G1166/Resumen!$B$9)</f>
        <v>1.27175076967748</v>
      </c>
      <c r="I1166" s="26" t="n">
        <f aca="false">IF(H1166="","",H1166-AVERAGE(H1118:H1214))</f>
        <v>0.0148166314219873</v>
      </c>
      <c r="J1166" s="27" t="n">
        <f aca="false">IF(I1166="","",Resumen!$B$10-(MAX(I1118:I1214)-I1166))</f>
        <v>1.74267008238818</v>
      </c>
    </row>
    <row r="1167" customFormat="false" ht="15" hidden="false" customHeight="false" outlineLevel="0" collapsed="false">
      <c r="A1167" s="24" t="n">
        <v>46273.53125</v>
      </c>
      <c r="B1167" s="10" t="n">
        <v>5.0246</v>
      </c>
      <c r="C1167" s="10" t="n">
        <v>4.0936</v>
      </c>
      <c r="D1167" s="10" t="n">
        <f aca="false">IF(OR(B1167="",C1167="",B1167&lt;=0.05,C1167&lt;=0.05),0,1)</f>
        <v>1</v>
      </c>
      <c r="E1167" s="25" t="n">
        <f aca="false">IF(OR(A1167&lt;Resumen!$B$6,A1167&gt;=Resumen!$B$7),0,MAX(0,AVERAGEIFS(B1119:B1215,D1119:D1215,1)-Resumen!$B$5*AVERAGEIFS(C1119:C1215,D1119:D1215,1)))</f>
        <v>0.550782535051547</v>
      </c>
      <c r="F1167" s="10" t="n">
        <f aca="false">IF(B1167="","",(B1167-E1167)/Resumen!$B$5)</f>
        <v>3.55346899519337</v>
      </c>
      <c r="G1167" s="10" t="n">
        <f aca="false">IF(OR(F1167="",C1167=""),0,(F1167-C1167)*0.9)</f>
        <v>-0.486117904325967</v>
      </c>
      <c r="H1167" s="26" t="n">
        <f aca="false">IF(A1167&lt;Resumen!$B$11,"",IF(H1166="",0,H1166)+G1167/Resumen!$B$9)</f>
        <v>1.2487725159885</v>
      </c>
      <c r="I1167" s="26" t="n">
        <f aca="false">IF(H1167="","",H1167-AVERAGE(H1119:H1215))</f>
        <v>-0.008436009128302</v>
      </c>
      <c r="J1167" s="27" t="n">
        <f aca="false">IF(I1167="","",Resumen!$B$10-(MAX(I1119:I1215)-I1167))</f>
        <v>1.71941744183789</v>
      </c>
    </row>
    <row r="1168" customFormat="false" ht="15" hidden="false" customHeight="false" outlineLevel="0" collapsed="false">
      <c r="A1168" s="24" t="n">
        <v>46273.5416666667</v>
      </c>
      <c r="B1168" s="10" t="n">
        <v>5.2388</v>
      </c>
      <c r="C1168" s="10" t="n">
        <v>4.0792</v>
      </c>
      <c r="D1168" s="10" t="n">
        <f aca="false">IF(OR(B1168="",C1168="",B1168&lt;=0.05,C1168&lt;=0.05),0,1)</f>
        <v>1</v>
      </c>
      <c r="E1168" s="25" t="n">
        <f aca="false">IF(OR(A1168&lt;Resumen!$B$6,A1168&gt;=Resumen!$B$7),0,MAX(0,AVERAGEIFS(B1120:B1216,D1120:D1216,1)-Resumen!$B$5*AVERAGEIFS(C1120:C1216,D1120:D1216,1)))</f>
        <v>0.554378672164948</v>
      </c>
      <c r="F1168" s="10" t="n">
        <f aca="false">IF(B1168="","",(B1168-E1168)/Resumen!$B$5)</f>
        <v>3.72074767897939</v>
      </c>
      <c r="G1168" s="10" t="n">
        <f aca="false">IF(OR(F1168="",C1168=""),0,(F1168-C1168)*0.9)</f>
        <v>-0.322607088918549</v>
      </c>
      <c r="H1168" s="26" t="n">
        <f aca="false">IF(A1168&lt;Resumen!$B$11,"",IF(H1167="",0,H1167)+G1168/Resumen!$B$9)</f>
        <v>1.23352323702744</v>
      </c>
      <c r="I1168" s="26" t="n">
        <f aca="false">IF(H1168="","",H1168-AVERAGE(H1120:H1216))</f>
        <v>-0.0240828255328545</v>
      </c>
      <c r="J1168" s="27" t="n">
        <f aca="false">IF(I1168="","",Resumen!$B$10-(MAX(I1120:I1216)-I1168))</f>
        <v>1.70377062543334</v>
      </c>
    </row>
    <row r="1169" customFormat="false" ht="15" hidden="false" customHeight="false" outlineLevel="0" collapsed="false">
      <c r="A1169" s="24" t="n">
        <v>46273.5520833333</v>
      </c>
      <c r="B1169" s="10" t="n">
        <v>4.8186</v>
      </c>
      <c r="C1169" s="10" t="n">
        <v>3.2663</v>
      </c>
      <c r="D1169" s="10" t="n">
        <f aca="false">IF(OR(B1169="",C1169="",B1169&lt;=0.05,C1169&lt;=0.05),0,1)</f>
        <v>1</v>
      </c>
      <c r="E1169" s="25" t="n">
        <f aca="false">IF(OR(A1169&lt;Resumen!$B$6,A1169&gt;=Resumen!$B$7),0,MAX(0,AVERAGEIFS(B1121:B1217,D1121:D1217,1)-Resumen!$B$5*AVERAGEIFS(C1121:C1217,D1121:D1217,1)))</f>
        <v>0.561079719587629</v>
      </c>
      <c r="F1169" s="10" t="n">
        <f aca="false">IF(B1169="","",(B1169-E1169)/Resumen!$B$5)</f>
        <v>3.38166821319489</v>
      </c>
      <c r="G1169" s="10" t="n">
        <f aca="false">IF(OR(F1169="",C1169=""),0,(F1169-C1169)*0.9)</f>
        <v>0.103831391875404</v>
      </c>
      <c r="H1169" s="26" t="n">
        <f aca="false">IF(A1169&lt;Resumen!$B$11,"",IF(H1168="",0,H1168)+G1169/Resumen!$B$9)</f>
        <v>1.23843123165624</v>
      </c>
      <c r="I1169" s="26" t="n">
        <f aca="false">IF(H1169="","",H1169-AVERAGE(H1121:H1217))</f>
        <v>-0.0197950184647842</v>
      </c>
      <c r="J1169" s="27" t="n">
        <f aca="false">IF(I1169="","",Resumen!$B$10-(MAX(I1121:I1217)-I1169))</f>
        <v>1.70805843250141</v>
      </c>
    </row>
    <row r="1170" customFormat="false" ht="15" hidden="false" customHeight="false" outlineLevel="0" collapsed="false">
      <c r="A1170" s="24" t="n">
        <v>46273.5625</v>
      </c>
      <c r="B1170" s="10" t="n">
        <v>4.5276</v>
      </c>
      <c r="C1170" s="10" t="n">
        <v>3.0732</v>
      </c>
      <c r="D1170" s="10" t="n">
        <f aca="false">IF(OR(B1170="",C1170="",B1170&lt;=0.05,C1170&lt;=0.05),0,1)</f>
        <v>1</v>
      </c>
      <c r="E1170" s="25" t="n">
        <f aca="false">IF(OR(A1170&lt;Resumen!$B$6,A1170&gt;=Resumen!$B$7),0,MAX(0,AVERAGEIFS(B1122:B1218,D1122:D1218,1)-Resumen!$B$5*AVERAGEIFS(C1122:C1218,D1122:D1218,1)))</f>
        <v>0.563307782474227</v>
      </c>
      <c r="F1170" s="10" t="n">
        <f aca="false">IF(B1170="","",(B1170-E1170)/Resumen!$B$5)</f>
        <v>3.14876268270514</v>
      </c>
      <c r="G1170" s="10" t="n">
        <f aca="false">IF(OR(F1170="",C1170=""),0,(F1170-C1170)*0.9)</f>
        <v>0.0680064144346273</v>
      </c>
      <c r="H1170" s="26" t="n">
        <f aca="false">IF(A1170&lt;Resumen!$B$11,"",IF(H1169="",0,H1169)+G1170/Resumen!$B$9)</f>
        <v>1.24164581937138</v>
      </c>
      <c r="I1170" s="26" t="n">
        <f aca="false">IF(H1170="","",H1170-AVERAGE(H1122:H1218))</f>
        <v>-0.0172733496872191</v>
      </c>
      <c r="J1170" s="27" t="n">
        <f aca="false">IF(I1170="","",Resumen!$B$10-(MAX(I1122:I1218)-I1170))</f>
        <v>1.71058010127897</v>
      </c>
    </row>
    <row r="1171" customFormat="false" ht="15" hidden="false" customHeight="false" outlineLevel="0" collapsed="false">
      <c r="A1171" s="24" t="n">
        <v>46273.5729166667</v>
      </c>
      <c r="B1171" s="10" t="n">
        <v>4.1122</v>
      </c>
      <c r="C1171" s="10" t="n">
        <v>2.9446</v>
      </c>
      <c r="D1171" s="10" t="n">
        <f aca="false">IF(OR(B1171="",C1171="",B1171&lt;=0.05,C1171&lt;=0.05),0,1)</f>
        <v>1</v>
      </c>
      <c r="E1171" s="25" t="n">
        <f aca="false">IF(OR(A1171&lt;Resumen!$B$6,A1171&gt;=Resumen!$B$7),0,MAX(0,AVERAGEIFS(B1123:B1219,D1123:D1219,1)-Resumen!$B$5*AVERAGEIFS(C1123:C1219,D1123:D1219,1)))</f>
        <v>0.569448989690722</v>
      </c>
      <c r="F1171" s="10" t="n">
        <f aca="false">IF(B1171="","",(B1171-E1171)/Resumen!$B$5)</f>
        <v>2.8139404371003</v>
      </c>
      <c r="G1171" s="10" t="n">
        <f aca="false">IF(OR(F1171="",C1171=""),0,(F1171-C1171)*0.9)</f>
        <v>-0.11759360660973</v>
      </c>
      <c r="H1171" s="26" t="n">
        <f aca="false">IF(A1171&lt;Resumen!$B$11,"",IF(H1170="",0,H1170)+G1171/Resumen!$B$9)</f>
        <v>1.23608730012978</v>
      </c>
      <c r="I1171" s="26" t="n">
        <f aca="false">IF(H1171="","",H1171-AVERAGE(H1123:H1219))</f>
        <v>-0.0237321945137692</v>
      </c>
      <c r="J1171" s="27" t="n">
        <f aca="false">IF(I1171="","",Resumen!$B$10-(MAX(I1123:I1219)-I1171))</f>
        <v>1.70412125645242</v>
      </c>
    </row>
    <row r="1172" customFormat="false" ht="15" hidden="false" customHeight="false" outlineLevel="0" collapsed="false">
      <c r="A1172" s="24" t="n">
        <v>46273.5833333333</v>
      </c>
      <c r="B1172" s="10" t="n">
        <v>5.2481</v>
      </c>
      <c r="C1172" s="10" t="n">
        <v>3.6263</v>
      </c>
      <c r="D1172" s="10" t="n">
        <f aca="false">IF(OR(B1172="",C1172="",B1172&lt;=0.05,C1172&lt;=0.05),0,1)</f>
        <v>1</v>
      </c>
      <c r="E1172" s="25" t="n">
        <f aca="false">IF(OR(A1172&lt;Resumen!$B$6,A1172&gt;=Resumen!$B$7),0,MAX(0,AVERAGEIFS(B1124:B1220,D1124:D1220,1)-Resumen!$B$5*AVERAGEIFS(C1124:C1220,D1124:D1220,1)))</f>
        <v>0.571418268041238</v>
      </c>
      <c r="F1172" s="10" t="n">
        <f aca="false">IF(B1172="","",(B1172-E1172)/Resumen!$B$5)</f>
        <v>3.7146002636686</v>
      </c>
      <c r="G1172" s="10" t="n">
        <f aca="false">IF(OR(F1172="",C1172=""),0,(F1172-C1172)*0.9)</f>
        <v>0.0794702373017365</v>
      </c>
      <c r="H1172" s="26" t="n">
        <f aca="false">IF(A1172&lt;Resumen!$B$11,"",IF(H1171="",0,H1171)+G1172/Resumen!$B$9)</f>
        <v>1.23984377002565</v>
      </c>
      <c r="I1172" s="26" t="n">
        <f aca="false">IF(H1172="","",H1172-AVERAGE(H1124:H1220))</f>
        <v>-0.0209438628830554</v>
      </c>
      <c r="J1172" s="27" t="n">
        <f aca="false">IF(I1172="","",Resumen!$B$10-(MAX(I1124:I1220)-I1172))</f>
        <v>1.70690958808314</v>
      </c>
    </row>
    <row r="1173" customFormat="false" ht="15" hidden="false" customHeight="false" outlineLevel="0" collapsed="false">
      <c r="A1173" s="24" t="n">
        <v>46273.59375</v>
      </c>
      <c r="B1173" s="10" t="n">
        <v>4.875</v>
      </c>
      <c r="C1173" s="10" t="n">
        <v>3.3455</v>
      </c>
      <c r="D1173" s="10" t="n">
        <f aca="false">IF(OR(B1173="",C1173="",B1173&lt;=0.05,C1173&lt;=0.05),0,1)</f>
        <v>1</v>
      </c>
      <c r="E1173" s="25" t="n">
        <f aca="false">IF(OR(A1173&lt;Resumen!$B$6,A1173&gt;=Resumen!$B$7),0,MAX(0,AVERAGEIFS(B1125:B1221,D1125:D1221,1)-Resumen!$B$5*AVERAGEIFS(C1125:C1221,D1125:D1221,1)))</f>
        <v>0.562278963917526</v>
      </c>
      <c r="F1173" s="10" t="n">
        <f aca="false">IF(B1173="","",(B1173-E1173)/Resumen!$B$5)</f>
        <v>3.42551313429903</v>
      </c>
      <c r="G1173" s="10" t="n">
        <f aca="false">IF(OR(F1173="",C1173=""),0,(F1173-C1173)*0.9)</f>
        <v>0.0720118208691236</v>
      </c>
      <c r="H1173" s="26" t="n">
        <f aca="false">IF(A1173&lt;Resumen!$B$11,"",IF(H1172="",0,H1172)+G1173/Resumen!$B$9)</f>
        <v>1.24324768885647</v>
      </c>
      <c r="I1173" s="26" t="n">
        <f aca="false">IF(H1173="","",H1173-AVERAGE(H1125:H1221))</f>
        <v>-0.0181995456194173</v>
      </c>
      <c r="J1173" s="27" t="n">
        <f aca="false">IF(I1173="","",Resumen!$B$10-(MAX(I1125:I1221)-I1173))</f>
        <v>1.70965390534677</v>
      </c>
    </row>
    <row r="1174" customFormat="false" ht="15" hidden="false" customHeight="false" outlineLevel="0" collapsed="false">
      <c r="A1174" s="24" t="n">
        <v>46273.6041666667</v>
      </c>
      <c r="B1174" s="10" t="n">
        <v>5.1909</v>
      </c>
      <c r="C1174" s="10" t="n">
        <v>4.5146</v>
      </c>
      <c r="D1174" s="10" t="n">
        <f aca="false">IF(OR(B1174="",C1174="",B1174&lt;=0.05,C1174&lt;=0.05),0,1)</f>
        <v>1</v>
      </c>
      <c r="E1174" s="25" t="n">
        <f aca="false">IF(OR(A1174&lt;Resumen!$B$6,A1174&gt;=Resumen!$B$7),0,MAX(0,AVERAGEIFS(B1126:B1222,D1126:D1222,1)-Resumen!$B$5*AVERAGEIFS(C1126:C1222,D1126:D1222,1)))</f>
        <v>0.56291970927835</v>
      </c>
      <c r="F1174" s="10" t="n">
        <f aca="false">IF(B1174="","",(B1174-E1174)/Resumen!$B$5)</f>
        <v>3.67591762567248</v>
      </c>
      <c r="G1174" s="10" t="n">
        <f aca="false">IF(OR(F1174="",C1174=""),0,(F1174-C1174)*0.9)</f>
        <v>-0.754814136894769</v>
      </c>
      <c r="H1174" s="26" t="n">
        <f aca="false">IF(A1174&lt;Resumen!$B$11,"",IF(H1173="",0,H1173)+G1174/Resumen!$B$9)</f>
        <v>1.20756846253865</v>
      </c>
      <c r="I1174" s="26" t="n">
        <f aca="false">IF(H1174="","",H1174-AVERAGE(H1126:H1222))</f>
        <v>-0.0545613386951613</v>
      </c>
      <c r="J1174" s="27" t="n">
        <f aca="false">IF(I1174="","",Resumen!$B$10-(MAX(I1126:I1222)-I1174))</f>
        <v>1.67329211227103</v>
      </c>
    </row>
    <row r="1175" customFormat="false" ht="15" hidden="false" customHeight="false" outlineLevel="0" collapsed="false">
      <c r="A1175" s="24" t="n">
        <v>46273.6145833333</v>
      </c>
      <c r="B1175" s="10" t="n">
        <v>4.542</v>
      </c>
      <c r="C1175" s="10" t="n">
        <v>3.1382</v>
      </c>
      <c r="D1175" s="10" t="n">
        <f aca="false">IF(OR(B1175="",C1175="",B1175&lt;=0.05,C1175&lt;=0.05),0,1)</f>
        <v>1</v>
      </c>
      <c r="E1175" s="25" t="n">
        <f aca="false">IF(OR(A1175&lt;Resumen!$B$6,A1175&gt;=Resumen!$B$7),0,MAX(0,AVERAGEIFS(B1127:B1223,D1127:D1223,1)-Resumen!$B$5*AVERAGEIFS(C1127:C1223,D1127:D1223,1)))</f>
        <v>0.559812267010309</v>
      </c>
      <c r="F1175" s="10" t="n">
        <f aca="false">IF(B1175="","",(B1175-E1175)/Resumen!$B$5)</f>
        <v>3.16297675376465</v>
      </c>
      <c r="G1175" s="10" t="n">
        <f aca="false">IF(OR(F1175="",C1175=""),0,(F1175-C1175)*0.9)</f>
        <v>0.0222990783881826</v>
      </c>
      <c r="H1175" s="26" t="n">
        <f aca="false">IF(A1175&lt;Resumen!$B$11,"",IF(H1174="",0,H1174)+G1175/Resumen!$B$9)</f>
        <v>1.20862251521944</v>
      </c>
      <c r="I1175" s="26" t="n">
        <f aca="false">IF(H1175="","",H1175-AVERAGE(H1127:H1223))</f>
        <v>-0.054079376726921</v>
      </c>
      <c r="J1175" s="27" t="n">
        <f aca="false">IF(I1175="","",Resumen!$B$10-(MAX(I1127:I1223)-I1175))</f>
        <v>1.67377407423927</v>
      </c>
    </row>
    <row r="1176" customFormat="false" ht="15" hidden="false" customHeight="false" outlineLevel="0" collapsed="false">
      <c r="A1176" s="24" t="n">
        <v>46273.625</v>
      </c>
      <c r="B1176" s="10" t="n">
        <v>4.6685</v>
      </c>
      <c r="C1176" s="10" t="n">
        <v>3.0182</v>
      </c>
      <c r="D1176" s="10" t="n">
        <f aca="false">IF(OR(B1176="",C1176="",B1176&lt;=0.05,C1176&lt;=0.05),0,1)</f>
        <v>1</v>
      </c>
      <c r="E1176" s="25" t="n">
        <f aca="false">IF(OR(A1176&lt;Resumen!$B$6,A1176&gt;=Resumen!$B$7),0,MAX(0,AVERAGEIFS(B1128:B1224,D1128:D1224,1)-Resumen!$B$5*AVERAGEIFS(C1128:C1224,D1128:D1224,1)))</f>
        <v>0.557731267010309</v>
      </c>
      <c r="F1176" s="10" t="n">
        <f aca="false">IF(B1176="","",(B1176-E1176)/Resumen!$B$5)</f>
        <v>3.26510622159626</v>
      </c>
      <c r="G1176" s="10" t="n">
        <f aca="false">IF(OR(F1176="",C1176=""),0,(F1176-C1176)*0.9)</f>
        <v>0.222215599436634</v>
      </c>
      <c r="H1176" s="26" t="n">
        <f aca="false">IF(A1176&lt;Resumen!$B$11,"",IF(H1175="",0,H1175)+G1176/Resumen!$B$9)</f>
        <v>1.21912639991914</v>
      </c>
      <c r="I1176" s="26" t="n">
        <f aca="false">IF(H1176="","",H1176-AVERAGE(H1128:H1224))</f>
        <v>-0.0440738944571586</v>
      </c>
      <c r="J1176" s="27" t="n">
        <f aca="false">IF(I1176="","",Resumen!$B$10-(MAX(I1128:I1224)-I1176))</f>
        <v>1.68377955650903</v>
      </c>
    </row>
    <row r="1177" customFormat="false" ht="15" hidden="false" customHeight="false" outlineLevel="0" collapsed="false">
      <c r="A1177" s="24" t="n">
        <v>46273.6354166667</v>
      </c>
      <c r="B1177" s="10" t="n">
        <v>4.463</v>
      </c>
      <c r="C1177" s="10" t="n">
        <v>3.0774</v>
      </c>
      <c r="D1177" s="10" t="n">
        <f aca="false">IF(OR(B1177="",C1177="",B1177&lt;=0.05,C1177&lt;=0.05),0,1)</f>
        <v>1</v>
      </c>
      <c r="E1177" s="25" t="n">
        <f aca="false">IF(OR(A1177&lt;Resumen!$B$6,A1177&gt;=Resumen!$B$7),0,MAX(0,AVERAGEIFS(B1129:B1225,D1129:D1225,1)-Resumen!$B$5*AVERAGEIFS(C1129:C1225,D1129:D1225,1)))</f>
        <v>0.556877045360825</v>
      </c>
      <c r="F1177" s="10" t="n">
        <f aca="false">IF(B1177="","",(B1177-E1177)/Resumen!$B$5)</f>
        <v>3.1025599321995</v>
      </c>
      <c r="G1177" s="10" t="n">
        <f aca="false">IF(OR(F1177="",C1177=""),0,(F1177-C1177)*0.9)</f>
        <v>0.0226439389795534</v>
      </c>
      <c r="H1177" s="26" t="n">
        <f aca="false">IF(A1177&lt;Resumen!$B$11,"",IF(H1176="",0,H1176)+G1177/Resumen!$B$9)</f>
        <v>1.22019675377725</v>
      </c>
      <c r="I1177" s="26" t="n">
        <f aca="false">IF(H1177="","",H1177-AVERAGE(H1129:H1225))</f>
        <v>-0.043468092498933</v>
      </c>
      <c r="J1177" s="27" t="n">
        <f aca="false">IF(I1177="","",Resumen!$B$10-(MAX(I1129:I1225)-I1177))</f>
        <v>1.68438535846726</v>
      </c>
    </row>
    <row r="1178" customFormat="false" ht="15" hidden="false" customHeight="false" outlineLevel="0" collapsed="false">
      <c r="A1178" s="24" t="n">
        <v>46273.6458333333</v>
      </c>
      <c r="B1178" s="10" t="n">
        <v>4.7516</v>
      </c>
      <c r="C1178" s="10" t="n">
        <v>3.2566</v>
      </c>
      <c r="D1178" s="10" t="n">
        <f aca="false">IF(OR(B1178="",C1178="",B1178&lt;=0.05,C1178&lt;=0.05),0,1)</f>
        <v>1</v>
      </c>
      <c r="E1178" s="25" t="n">
        <f aca="false">IF(OR(A1178&lt;Resumen!$B$6,A1178&gt;=Resumen!$B$7),0,MAX(0,AVERAGEIFS(B1130:B1226,D1130:D1226,1)-Resumen!$B$5*AVERAGEIFS(C1130:C1226,D1130:D1226,1)))</f>
        <v>0.554466704123712</v>
      </c>
      <c r="F1178" s="10" t="n">
        <f aca="false">IF(B1178="","",(B1178-E1178)/Resumen!$B$5)</f>
        <v>3.33370396813049</v>
      </c>
      <c r="G1178" s="10" t="n">
        <f aca="false">IF(OR(F1178="",C1178=""),0,(F1178-C1178)*0.9)</f>
        <v>0.0693935713174419</v>
      </c>
      <c r="H1178" s="26" t="n">
        <f aca="false">IF(A1178&lt;Resumen!$B$11,"",IF(H1177="",0,H1177)+G1178/Resumen!$B$9)</f>
        <v>1.22347691085833</v>
      </c>
      <c r="I1178" s="26" t="n">
        <f aca="false">IF(H1178="","",H1178-AVERAGE(H1130:H1226))</f>
        <v>-0.0405645772030474</v>
      </c>
      <c r="J1178" s="27" t="n">
        <f aca="false">IF(I1178="","",Resumen!$B$10-(MAX(I1130:I1226)-I1178))</f>
        <v>1.68728887376314</v>
      </c>
    </row>
    <row r="1179" customFormat="false" ht="15" hidden="false" customHeight="false" outlineLevel="0" collapsed="false">
      <c r="A1179" s="24" t="n">
        <v>46273.65625</v>
      </c>
      <c r="B1179" s="10" t="n">
        <v>3.9217</v>
      </c>
      <c r="C1179" s="10" t="n">
        <v>3.1772</v>
      </c>
      <c r="D1179" s="10" t="n">
        <f aca="false">IF(OR(B1179="",C1179="",B1179&lt;=0.05,C1179&lt;=0.05),0,1)</f>
        <v>1</v>
      </c>
      <c r="E1179" s="25" t="n">
        <f aca="false">IF(OR(A1179&lt;Resumen!$B$6,A1179&gt;=Resumen!$B$7),0,MAX(0,AVERAGEIFS(B1131:B1227,D1131:D1227,1)-Resumen!$B$5*AVERAGEIFS(C1131:C1227,D1131:D1227,1)))</f>
        <v>0.559582247422681</v>
      </c>
      <c r="F1179" s="10" t="n">
        <f aca="false">IF(B1179="","",(B1179-E1179)/Resumen!$B$5)</f>
        <v>2.67046684080804</v>
      </c>
      <c r="G1179" s="10" t="n">
        <f aca="false">IF(OR(F1179="",C1179=""),0,(F1179-C1179)*0.9)</f>
        <v>-0.456059843272766</v>
      </c>
      <c r="H1179" s="26" t="n">
        <f aca="false">IF(A1179&lt;Resumen!$B$11,"",IF(H1178="",0,H1178)+G1179/Resumen!$B$9)</f>
        <v>1.20191946834733</v>
      </c>
      <c r="I1179" s="26" t="n">
        <f aca="false">IF(H1179="","",H1179-AVERAGE(H1131:H1227))</f>
        <v>-0.0626634812142084</v>
      </c>
      <c r="J1179" s="27" t="n">
        <f aca="false">IF(I1179="","",Resumen!$B$10-(MAX(I1131:I1227)-I1179))</f>
        <v>1.66518996975198</v>
      </c>
    </row>
    <row r="1180" customFormat="false" ht="15" hidden="false" customHeight="false" outlineLevel="0" collapsed="false">
      <c r="A1180" s="24" t="n">
        <v>46273.6666666667</v>
      </c>
      <c r="B1180" s="10" t="n">
        <v>5.0695</v>
      </c>
      <c r="C1180" s="10" t="n">
        <v>3.8455</v>
      </c>
      <c r="D1180" s="10" t="n">
        <f aca="false">IF(OR(B1180="",C1180="",B1180&lt;=0.05,C1180&lt;=0.05),0,1)</f>
        <v>1</v>
      </c>
      <c r="E1180" s="25" t="n">
        <f aca="false">IF(OR(A1180&lt;Resumen!$B$6,A1180&gt;=Resumen!$B$7),0,MAX(0,AVERAGEIFS(B1132:B1228,D1132:D1228,1)-Resumen!$B$5*AVERAGEIFS(C1132:C1228,D1132:D1228,1)))</f>
        <v>0.562575936082475</v>
      </c>
      <c r="F1180" s="10" t="n">
        <f aca="false">IF(B1180="","",(B1180-E1180)/Resumen!$B$5)</f>
        <v>3.57976494354053</v>
      </c>
      <c r="G1180" s="10" t="n">
        <f aca="false">IF(OR(F1180="",C1180=""),0,(F1180-C1180)*0.9)</f>
        <v>-0.239161550813524</v>
      </c>
      <c r="H1180" s="26" t="n">
        <f aca="false">IF(A1180&lt;Resumen!$B$11,"",IF(H1179="",0,H1179)+G1180/Resumen!$B$9)</f>
        <v>1.19061456733805</v>
      </c>
      <c r="I1180" s="26" t="n">
        <f aca="false">IF(H1180="","",H1180-AVERAGE(H1132:H1228))</f>
        <v>-0.0745983931891401</v>
      </c>
      <c r="J1180" s="27" t="n">
        <f aca="false">IF(I1180="","",Resumen!$B$10-(MAX(I1132:I1228)-I1180))</f>
        <v>1.65325505777705</v>
      </c>
    </row>
    <row r="1181" customFormat="false" ht="15" hidden="false" customHeight="false" outlineLevel="0" collapsed="false">
      <c r="A1181" s="24" t="n">
        <v>46273.6770833333</v>
      </c>
      <c r="B1181" s="10" t="n">
        <v>4.018</v>
      </c>
      <c r="C1181" s="10" t="n">
        <v>2.491</v>
      </c>
      <c r="D1181" s="10" t="n">
        <f aca="false">IF(OR(B1181="",C1181="",B1181&lt;=0.05,C1181&lt;=0.05),0,1)</f>
        <v>1</v>
      </c>
      <c r="E1181" s="25" t="n">
        <f aca="false">IF(OR(A1181&lt;Resumen!$B$6,A1181&gt;=Resumen!$B$7),0,MAX(0,AVERAGEIFS(B1133:B1229,D1133:D1229,1)-Resumen!$B$5*AVERAGEIFS(C1133:C1229,D1133:D1229,1)))</f>
        <v>0.560612743298969</v>
      </c>
      <c r="F1181" s="10" t="n">
        <f aca="false">IF(B1181="","",(B1181-E1181)/Resumen!$B$5)</f>
        <v>2.74613761453616</v>
      </c>
      <c r="G1181" s="10" t="n">
        <f aca="false">IF(OR(F1181="",C1181=""),0,(F1181-C1181)*0.9)</f>
        <v>0.229623853082548</v>
      </c>
      <c r="H1181" s="26" t="n">
        <f aca="false">IF(A1181&lt;Resumen!$B$11,"",IF(H1180="",0,H1180)+G1181/Resumen!$B$9)</f>
        <v>1.20146863196356</v>
      </c>
      <c r="I1181" s="26" t="n">
        <f aca="false">IF(H1181="","",H1181-AVERAGE(H1133:H1229))</f>
        <v>-0.0642916197714922</v>
      </c>
      <c r="J1181" s="27" t="n">
        <f aca="false">IF(I1181="","",Resumen!$B$10-(MAX(I1133:I1229)-I1181))</f>
        <v>1.6635618311947</v>
      </c>
    </row>
    <row r="1182" customFormat="false" ht="15" hidden="false" customHeight="false" outlineLevel="0" collapsed="false">
      <c r="A1182" s="24" t="n">
        <v>46273.6875</v>
      </c>
      <c r="B1182" s="10" t="n">
        <v>4.5121</v>
      </c>
      <c r="C1182" s="10" t="n">
        <v>3.5949</v>
      </c>
      <c r="D1182" s="10" t="n">
        <f aca="false">IF(OR(B1182="",C1182="",B1182&lt;=0.05,C1182&lt;=0.05),0,1)</f>
        <v>1</v>
      </c>
      <c r="E1182" s="25" t="n">
        <f aca="false">IF(OR(A1182&lt;Resumen!$B$6,A1182&gt;=Resumen!$B$7),0,MAX(0,AVERAGEIFS(B1134:B1230,D1134:D1230,1)-Resumen!$B$5*AVERAGEIFS(C1134:C1230,D1134:D1230,1)))</f>
        <v>0.554821089690722</v>
      </c>
      <c r="F1182" s="10" t="n">
        <f aca="false">IF(B1182="","",(B1182-E1182)/Resumen!$B$5)</f>
        <v>3.14319214480483</v>
      </c>
      <c r="G1182" s="10" t="n">
        <f aca="false">IF(OR(F1182="",C1182=""),0,(F1182-C1182)*0.9)</f>
        <v>-0.406537069675655</v>
      </c>
      <c r="H1182" s="26" t="n">
        <f aca="false">IF(A1182&lt;Resumen!$B$11,"",IF(H1181="",0,H1181)+G1182/Resumen!$B$9)</f>
        <v>1.18225207598434</v>
      </c>
      <c r="I1182" s="26" t="n">
        <f aca="false">IF(H1182="","",H1182-AVERAGE(H1134:H1230))</f>
        <v>-0.0838465271540538</v>
      </c>
      <c r="J1182" s="27" t="n">
        <f aca="false">IF(I1182="","",Resumen!$B$10-(MAX(I1134:I1230)-I1182))</f>
        <v>1.64400692381214</v>
      </c>
    </row>
    <row r="1183" customFormat="false" ht="15" hidden="false" customHeight="false" outlineLevel="0" collapsed="false">
      <c r="A1183" s="24" t="n">
        <v>46273.6979166667</v>
      </c>
      <c r="B1183" s="10" t="n">
        <v>4.9624</v>
      </c>
      <c r="C1183" s="10" t="n">
        <v>3.5909</v>
      </c>
      <c r="D1183" s="10" t="n">
        <f aca="false">IF(OR(B1183="",C1183="",B1183&lt;=0.05,C1183&lt;=0.05),0,1)</f>
        <v>1</v>
      </c>
      <c r="E1183" s="25" t="n">
        <f aca="false">IF(OR(A1183&lt;Resumen!$B$6,A1183&gt;=Resumen!$B$7),0,MAX(0,AVERAGEIFS(B1135:B1231,D1135:D1231,1)-Resumen!$B$5*AVERAGEIFS(C1135:C1231,D1135:D1231,1)))</f>
        <v>0.551699140206186</v>
      </c>
      <c r="F1183" s="10" t="n">
        <f aca="false">IF(B1183="","",(B1183-E1183)/Resumen!$B$5)</f>
        <v>3.50333666385529</v>
      </c>
      <c r="G1183" s="10" t="n">
        <f aca="false">IF(OR(F1183="",C1183=""),0,(F1183-C1183)*0.9)</f>
        <v>-0.0788070025302359</v>
      </c>
      <c r="H1183" s="26" t="n">
        <f aca="false">IF(A1183&lt;Resumen!$B$11,"",IF(H1182="",0,H1182)+G1183/Resumen!$B$9)</f>
        <v>1.17852695645986</v>
      </c>
      <c r="I1183" s="26" t="n">
        <f aca="false">IF(H1183="","",H1183-AVERAGE(H1135:H1231))</f>
        <v>-0.0877907455605529</v>
      </c>
      <c r="J1183" s="27" t="n">
        <f aca="false">IF(I1183="","",Resumen!$B$10-(MAX(I1135:I1231)-I1183))</f>
        <v>1.64006270540564</v>
      </c>
    </row>
    <row r="1184" customFormat="false" ht="15" hidden="false" customHeight="false" outlineLevel="0" collapsed="false">
      <c r="A1184" s="24" t="n">
        <v>46273.7083333333</v>
      </c>
      <c r="B1184" s="10" t="n">
        <v>4.9952</v>
      </c>
      <c r="C1184" s="10" t="n">
        <v>3.7507</v>
      </c>
      <c r="D1184" s="10" t="n">
        <f aca="false">IF(OR(B1184="",C1184="",B1184&lt;=0.05,C1184&lt;=0.05),0,1)</f>
        <v>1</v>
      </c>
      <c r="E1184" s="25" t="n">
        <f aca="false">IF(OR(A1184&lt;Resumen!$B$6,A1184&gt;=Resumen!$B$7),0,MAX(0,AVERAGEIFS(B1136:B1232,D1136:D1232,1)-Resumen!$B$5*AVERAGEIFS(C1136:C1232,D1136:D1232,1)))</f>
        <v>0.548259549484536</v>
      </c>
      <c r="F1184" s="10" t="n">
        <f aca="false">IF(B1184="","",(B1184-E1184)/Resumen!$B$5)</f>
        <v>3.53212108857464</v>
      </c>
      <c r="G1184" s="10" t="n">
        <f aca="false">IF(OR(F1184="",C1184=""),0,(F1184-C1184)*0.9)</f>
        <v>-0.196721020282829</v>
      </c>
      <c r="H1184" s="26" t="n">
        <f aca="false">IF(A1184&lt;Resumen!$B$11,"",IF(H1183="",0,H1183)+G1184/Resumen!$B$9)</f>
        <v>1.16922817221475</v>
      </c>
      <c r="I1184" s="26" t="n">
        <f aca="false">IF(H1184="","",H1184-AVERAGE(H1136:H1232))</f>
        <v>-0.0971779878861299</v>
      </c>
      <c r="J1184" s="27" t="n">
        <f aca="false">IF(I1184="","",Resumen!$B$10-(MAX(I1136:I1232)-I1184))</f>
        <v>1.63067546308006</v>
      </c>
    </row>
    <row r="1185" customFormat="false" ht="15" hidden="false" customHeight="false" outlineLevel="0" collapsed="false">
      <c r="A1185" s="24" t="n">
        <v>46273.71875</v>
      </c>
      <c r="B1185" s="10" t="n">
        <v>5.3202</v>
      </c>
      <c r="C1185" s="10" t="n">
        <v>3.7961</v>
      </c>
      <c r="D1185" s="10" t="n">
        <f aca="false">IF(OR(B1185="",C1185="",B1185&lt;=0.05,C1185&lt;=0.05),0,1)</f>
        <v>1</v>
      </c>
      <c r="E1185" s="25" t="n">
        <f aca="false">IF(OR(A1185&lt;Resumen!$B$6,A1185&gt;=Resumen!$B$7),0,MAX(0,AVERAGEIFS(B1137:B1233,D1137:D1233,1)-Resumen!$B$5*AVERAGEIFS(C1137:C1233,D1137:D1233,1)))</f>
        <v>0.551483887628867</v>
      </c>
      <c r="F1185" s="10" t="n">
        <f aca="false">IF(B1185="","",(B1185-E1185)/Resumen!$B$5)</f>
        <v>3.78770143953227</v>
      </c>
      <c r="G1185" s="10" t="n">
        <f aca="false">IF(OR(F1185="",C1185=""),0,(F1185-C1185)*0.9)</f>
        <v>-0.00755870442095312</v>
      </c>
      <c r="H1185" s="26" t="n">
        <f aca="false">IF(A1185&lt;Resumen!$B$11,"",IF(H1184="",0,H1184)+G1185/Resumen!$B$9)</f>
        <v>1.16887088064783</v>
      </c>
      <c r="I1185" s="26" t="n">
        <f aca="false">IF(H1185="","",H1185-AVERAGE(H1137:H1233))</f>
        <v>-0.0977137867106024</v>
      </c>
      <c r="J1185" s="27" t="n">
        <f aca="false">IF(I1185="","",Resumen!$B$10-(MAX(I1137:I1233)-I1185))</f>
        <v>1.63013966425559</v>
      </c>
    </row>
    <row r="1186" customFormat="false" ht="15" hidden="false" customHeight="false" outlineLevel="0" collapsed="false">
      <c r="A1186" s="24" t="n">
        <v>46273.7291666667</v>
      </c>
      <c r="B1186" s="10" t="n">
        <v>3.9115</v>
      </c>
      <c r="C1186" s="10" t="n">
        <v>2.9141</v>
      </c>
      <c r="D1186" s="10" t="n">
        <f aca="false">IF(OR(B1186="",C1186="",B1186&lt;=0.05,C1186&lt;=0.05),0,1)</f>
        <v>1</v>
      </c>
      <c r="E1186" s="25" t="n">
        <f aca="false">IF(OR(A1186&lt;Resumen!$B$6,A1186&gt;=Resumen!$B$7),0,MAX(0,AVERAGEIFS(B1138:B1234,D1138:D1234,1)-Resumen!$B$5*AVERAGEIFS(C1138:C1234,D1138:D1234,1)))</f>
        <v>0.53519205257732</v>
      </c>
      <c r="F1186" s="10" t="n">
        <f aca="false">IF(B1186="","",(B1186-E1186)/Resumen!$B$5)</f>
        <v>2.6817378454509</v>
      </c>
      <c r="G1186" s="10" t="n">
        <f aca="false">IF(OR(F1186="",C1186=""),0,(F1186-C1186)*0.9)</f>
        <v>-0.209125939094192</v>
      </c>
      <c r="H1186" s="26" t="n">
        <f aca="false">IF(A1186&lt;Resumen!$B$11,"",IF(H1185="",0,H1185)+G1186/Resumen!$B$9)</f>
        <v>1.15898572966143</v>
      </c>
      <c r="I1186" s="26" t="n">
        <f aca="false">IF(H1186="","",H1186-AVERAGE(H1138:H1234))</f>
        <v>-0.107206201628935</v>
      </c>
      <c r="J1186" s="27" t="n">
        <f aca="false">IF(I1186="","",Resumen!$B$10-(MAX(I1138:I1234)-I1186))</f>
        <v>1.62064724933726</v>
      </c>
    </row>
    <row r="1187" customFormat="false" ht="15" hidden="false" customHeight="false" outlineLevel="0" collapsed="false">
      <c r="A1187" s="24" t="n">
        <v>46273.7395833333</v>
      </c>
      <c r="B1187" s="10" t="n">
        <v>4.2676</v>
      </c>
      <c r="C1187" s="10" t="n">
        <v>2.9337</v>
      </c>
      <c r="D1187" s="10" t="n">
        <f aca="false">IF(OR(B1187="",C1187="",B1187&lt;=0.05,C1187&lt;=0.05),0,1)</f>
        <v>1</v>
      </c>
      <c r="E1187" s="25" t="n">
        <f aca="false">IF(OR(A1187&lt;Resumen!$B$6,A1187&gt;=Resumen!$B$7),0,MAX(0,AVERAGEIFS(B1139:B1235,D1139:D1235,1)-Resumen!$B$5*AVERAGEIFS(C1139:C1235,D1139:D1235,1)))</f>
        <v>0.538345496907217</v>
      </c>
      <c r="F1187" s="10" t="n">
        <f aca="false">IF(B1187="","",(B1187-E1187)/Resumen!$B$5)</f>
        <v>2.96207665058998</v>
      </c>
      <c r="G1187" s="10" t="n">
        <f aca="false">IF(OR(F1187="",C1187=""),0,(F1187-C1187)*0.9)</f>
        <v>0.0255389855309811</v>
      </c>
      <c r="H1187" s="26" t="n">
        <f aca="false">IF(A1187&lt;Resumen!$B$11,"",IF(H1186="",0,H1186)+G1187/Resumen!$B$9)</f>
        <v>1.16019292915618</v>
      </c>
      <c r="I1187" s="26" t="n">
        <f aca="false">IF(H1187="","",H1187-AVERAGE(H1139:H1235))</f>
        <v>-0.105690314063962</v>
      </c>
      <c r="J1187" s="27" t="n">
        <f aca="false">IF(I1187="","",Resumen!$B$10-(MAX(I1139:I1235)-I1187))</f>
        <v>1.62216313690223</v>
      </c>
    </row>
    <row r="1188" customFormat="false" ht="15" hidden="false" customHeight="false" outlineLevel="0" collapsed="false">
      <c r="A1188" s="24" t="n">
        <v>46273.75</v>
      </c>
      <c r="B1188" s="10" t="n">
        <v>3.8998</v>
      </c>
      <c r="C1188" s="10" t="n">
        <v>2.3528</v>
      </c>
      <c r="D1188" s="10" t="n">
        <f aca="false">IF(OR(B1188="",C1188="",B1188&lt;=0.05,C1188&lt;=0.05),0,1)</f>
        <v>1</v>
      </c>
      <c r="E1188" s="25" t="n">
        <f aca="false">IF(OR(A1188&lt;Resumen!$B$6,A1188&gt;=Resumen!$B$7),0,MAX(0,AVERAGEIFS(B1140:B1236,D1140:D1236,1)-Resumen!$B$5*AVERAGEIFS(C1140:C1236,D1140:D1236,1)))</f>
        <v>0.531194344329898</v>
      </c>
      <c r="F1188" s="10" t="n">
        <f aca="false">IF(B1188="","",(B1188-E1188)/Resumen!$B$5)</f>
        <v>2.67562006010334</v>
      </c>
      <c r="G1188" s="10" t="n">
        <f aca="false">IF(OR(F1188="",C1188=""),0,(F1188-C1188)*0.9)</f>
        <v>0.290538054093005</v>
      </c>
      <c r="H1188" s="26" t="n">
        <f aca="false">IF(A1188&lt;Resumen!$B$11,"",IF(H1187="",0,H1187)+G1188/Resumen!$B$9)</f>
        <v>1.17392634044147</v>
      </c>
      <c r="I1188" s="26" t="n">
        <f aca="false">IF(H1188="","",H1188-AVERAGE(H1140:H1236))</f>
        <v>-0.0913837229267405</v>
      </c>
      <c r="J1188" s="27" t="n">
        <f aca="false">IF(I1188="","",Resumen!$B$10-(MAX(I1140:I1236)-I1188))</f>
        <v>1.63646972803945</v>
      </c>
    </row>
    <row r="1189" customFormat="false" ht="15" hidden="false" customHeight="false" outlineLevel="0" collapsed="false">
      <c r="A1189" s="24" t="n">
        <v>46273.7604166667</v>
      </c>
      <c r="B1189" s="10" t="n">
        <v>4.1133</v>
      </c>
      <c r="C1189" s="10" t="n">
        <v>2.3148</v>
      </c>
      <c r="D1189" s="10" t="n">
        <f aca="false">IF(OR(B1189="",C1189="",B1189&lt;=0.05,C1189&lt;=0.05),0,1)</f>
        <v>1</v>
      </c>
      <c r="E1189" s="25" t="n">
        <f aca="false">IF(OR(A1189&lt;Resumen!$B$6,A1189&gt;=Resumen!$B$7),0,MAX(0,AVERAGEIFS(B1141:B1237,D1141:D1237,1)-Resumen!$B$5*AVERAGEIFS(C1141:C1237,D1141:D1237,1)))</f>
        <v>0.526268036082475</v>
      </c>
      <c r="F1189" s="10" t="n">
        <f aca="false">IF(B1189="","",(B1189-E1189)/Resumen!$B$5)</f>
        <v>2.84911196498612</v>
      </c>
      <c r="G1189" s="10" t="n">
        <f aca="false">IF(OR(F1189="",C1189=""),0,(F1189-C1189)*0.9)</f>
        <v>0.480880768487508</v>
      </c>
      <c r="H1189" s="26" t="n">
        <f aca="false">IF(A1189&lt;Resumen!$B$11,"",IF(H1188="",0,H1188)+G1189/Resumen!$B$9)</f>
        <v>1.1966570405332</v>
      </c>
      <c r="I1189" s="26" t="n">
        <f aca="false">IF(H1189="","",H1189-AVERAGE(H1141:H1237))</f>
        <v>-0.0678955898148446</v>
      </c>
      <c r="J1189" s="27" t="n">
        <f aca="false">IF(I1189="","",Resumen!$B$10-(MAX(I1141:I1237)-I1189))</f>
        <v>1.65995786115135</v>
      </c>
    </row>
    <row r="1190" customFormat="false" ht="15" hidden="false" customHeight="false" outlineLevel="0" collapsed="false">
      <c r="A1190" s="24" t="n">
        <v>46273.7708333333</v>
      </c>
      <c r="B1190" s="10" t="n">
        <v>4.0075</v>
      </c>
      <c r="C1190" s="10" t="n">
        <v>2.7277</v>
      </c>
      <c r="D1190" s="10" t="n">
        <f aca="false">IF(OR(B1190="",C1190="",B1190&lt;=0.05,C1190&lt;=0.05),0,1)</f>
        <v>1</v>
      </c>
      <c r="E1190" s="25" t="n">
        <f aca="false">IF(OR(A1190&lt;Resumen!$B$6,A1190&gt;=Resumen!$B$7),0,MAX(0,AVERAGEIFS(B1142:B1238,D1142:D1238,1)-Resumen!$B$5*AVERAGEIFS(C1142:C1238,D1142:D1238,1)))</f>
        <v>0.53711268556701</v>
      </c>
      <c r="F1190" s="10" t="n">
        <f aca="false">IF(B1190="","",(B1190-E1190)/Resumen!$B$5)</f>
        <v>2.75646331567354</v>
      </c>
      <c r="G1190" s="10" t="n">
        <f aca="false">IF(OR(F1190="",C1190=""),0,(F1190-C1190)*0.9)</f>
        <v>0.0258869841061887</v>
      </c>
      <c r="H1190" s="26" t="n">
        <f aca="false">IF(A1190&lt;Resumen!$B$11,"",IF(H1189="",0,H1189)+G1190/Resumen!$B$9)</f>
        <v>1.19788068953428</v>
      </c>
      <c r="I1190" s="26" t="n">
        <f aca="false">IF(H1190="","",H1190-AVERAGE(H1142:H1238))</f>
        <v>-0.0662690618713269</v>
      </c>
      <c r="J1190" s="27" t="n">
        <f aca="false">IF(I1190="","",Resumen!$B$10-(MAX(I1142:I1238)-I1190))</f>
        <v>1.66158438909486</v>
      </c>
    </row>
    <row r="1191" customFormat="false" ht="15" hidden="false" customHeight="false" outlineLevel="0" collapsed="false">
      <c r="A1191" s="24" t="n">
        <v>46273.78125</v>
      </c>
      <c r="B1191" s="10" t="n">
        <v>4.3922</v>
      </c>
      <c r="C1191" s="10" t="n">
        <v>2.6803</v>
      </c>
      <c r="D1191" s="10" t="n">
        <f aca="false">IF(OR(B1191="",C1191="",B1191&lt;=0.05,C1191&lt;=0.05),0,1)</f>
        <v>1</v>
      </c>
      <c r="E1191" s="25" t="n">
        <f aca="false">IF(OR(A1191&lt;Resumen!$B$6,A1191&gt;=Resumen!$B$7),0,MAX(0,AVERAGEIFS(B1143:B1239,D1143:D1239,1)-Resumen!$B$5*AVERAGEIFS(C1143:C1239,D1143:D1239,1)))</f>
        <v>0.53635723814433</v>
      </c>
      <c r="F1191" s="10" t="n">
        <f aca="false">IF(B1191="","",(B1191-E1191)/Resumen!$B$5)</f>
        <v>3.06262332156924</v>
      </c>
      <c r="G1191" s="10" t="n">
        <f aca="false">IF(OR(F1191="",C1191=""),0,(F1191-C1191)*0.9)</f>
        <v>0.344090989412314</v>
      </c>
      <c r="H1191" s="26" t="n">
        <f aca="false">IF(A1191&lt;Resumen!$B$11,"",IF(H1190="",0,H1190)+G1191/Resumen!$B$9)</f>
        <v>1.214145488622</v>
      </c>
      <c r="I1191" s="26" t="n">
        <f aca="false">IF(H1191="","",H1191-AVERAGE(H1143:H1239))</f>
        <v>-0.0495636253868164</v>
      </c>
      <c r="J1191" s="27" t="n">
        <f aca="false">IF(I1191="","",Resumen!$B$10-(MAX(I1143:I1239)-I1191))</f>
        <v>1.67828982557938</v>
      </c>
    </row>
    <row r="1192" customFormat="false" ht="15" hidden="false" customHeight="false" outlineLevel="0" collapsed="false">
      <c r="A1192" s="24" t="n">
        <v>46273.7916666667</v>
      </c>
      <c r="B1192" s="10" t="n">
        <v>3.8982</v>
      </c>
      <c r="C1192" s="10" t="n">
        <v>2.5056</v>
      </c>
      <c r="D1192" s="10" t="n">
        <f aca="false">IF(OR(B1192="",C1192="",B1192&lt;=0.05,C1192&lt;=0.05),0,1)</f>
        <v>1</v>
      </c>
      <c r="E1192" s="25" t="n">
        <f aca="false">IF(OR(A1192&lt;Resumen!$B$6,A1192&gt;=Resumen!$B$7),0,MAX(0,AVERAGEIFS(B1144:B1240,D1144:D1240,1)-Resumen!$B$5*AVERAGEIFS(C1144:C1240,D1144:D1240,1)))</f>
        <v>0.529633449484536</v>
      </c>
      <c r="F1192" s="10" t="n">
        <f aca="false">IF(B1192="","",(B1192-E1192)/Resumen!$B$5)</f>
        <v>2.67558899961514</v>
      </c>
      <c r="G1192" s="10" t="n">
        <f aca="false">IF(OR(F1192="",C1192=""),0,(F1192-C1192)*0.9)</f>
        <v>0.152990099653628</v>
      </c>
      <c r="H1192" s="26" t="n">
        <f aca="false">IF(A1192&lt;Resumen!$B$11,"",IF(H1191="",0,H1191)+G1192/Resumen!$B$9)</f>
        <v>1.22137716079548</v>
      </c>
      <c r="I1192" s="26" t="n">
        <f aca="false">IF(H1192="","",H1192-AVERAGE(H1144:H1240))</f>
        <v>-0.0416562455724159</v>
      </c>
      <c r="J1192" s="27" t="n">
        <f aca="false">IF(I1192="","",Resumen!$B$10-(MAX(I1144:I1240)-I1192))</f>
        <v>1.68619720539378</v>
      </c>
    </row>
    <row r="1193" customFormat="false" ht="15" hidden="false" customHeight="false" outlineLevel="0" collapsed="false">
      <c r="A1193" s="24" t="n">
        <v>46273.8020833333</v>
      </c>
      <c r="B1193" s="10" t="n">
        <v>3.7289</v>
      </c>
      <c r="C1193" s="10" t="n">
        <v>2.4273</v>
      </c>
      <c r="D1193" s="10" t="n">
        <f aca="false">IF(OR(B1193="",C1193="",B1193&lt;=0.05,C1193&lt;=0.05),0,1)</f>
        <v>1</v>
      </c>
      <c r="E1193" s="25" t="n">
        <f aca="false">IF(OR(A1193&lt;Resumen!$B$6,A1193&gt;=Resumen!$B$7),0,MAX(0,AVERAGEIFS(B1145:B1241,D1145:D1241,1)-Resumen!$B$5*AVERAGEIFS(C1145:C1241,D1145:D1241,1)))</f>
        <v>0.534167837113402</v>
      </c>
      <c r="F1193" s="10" t="n">
        <f aca="false">IF(B1193="","",(B1193-E1193)/Resumen!$B$5)</f>
        <v>2.53751561786068</v>
      </c>
      <c r="G1193" s="10" t="n">
        <f aca="false">IF(OR(F1193="",C1193=""),0,(F1193-C1193)*0.9)</f>
        <v>0.0991940560746133</v>
      </c>
      <c r="H1193" s="26" t="n">
        <f aca="false">IF(A1193&lt;Resumen!$B$11,"",IF(H1192="",0,H1192)+G1193/Resumen!$B$9)</f>
        <v>1.22606595370896</v>
      </c>
      <c r="I1193" s="26" t="n">
        <f aca="false">IF(H1193="","",H1193-AVERAGE(H1145:H1241))</f>
        <v>-0.0364383651765767</v>
      </c>
      <c r="J1193" s="27" t="n">
        <f aca="false">IF(I1193="","",Resumen!$B$10-(MAX(I1145:I1241)-I1193))</f>
        <v>1.69141508578961</v>
      </c>
    </row>
    <row r="1194" customFormat="false" ht="15" hidden="false" customHeight="false" outlineLevel="0" collapsed="false">
      <c r="A1194" s="24" t="n">
        <v>46273.8125</v>
      </c>
      <c r="B1194" s="10" t="n">
        <v>4.2273</v>
      </c>
      <c r="C1194" s="10" t="n">
        <v>3.0721</v>
      </c>
      <c r="D1194" s="10" t="n">
        <f aca="false">IF(OR(B1194="",C1194="",B1194&lt;=0.05,C1194&lt;=0.05),0,1)</f>
        <v>1</v>
      </c>
      <c r="E1194" s="25" t="n">
        <f aca="false">IF(OR(A1194&lt;Resumen!$B$6,A1194&gt;=Resumen!$B$7),0,MAX(0,AVERAGEIFS(B1146:B1242,D1146:D1242,1)-Resumen!$B$5*AVERAGEIFS(C1146:C1242,D1146:D1242,1)))</f>
        <v>0.530822931958763</v>
      </c>
      <c r="F1194" s="10" t="n">
        <f aca="false">IF(B1194="","",(B1194-E1194)/Resumen!$B$5)</f>
        <v>2.93604215094618</v>
      </c>
      <c r="G1194" s="10" t="n">
        <f aca="false">IF(OR(F1194="",C1194=""),0,(F1194-C1194)*0.9)</f>
        <v>-0.122452064148441</v>
      </c>
      <c r="H1194" s="26" t="n">
        <f aca="false">IF(A1194&lt;Resumen!$B$11,"",IF(H1193="",0,H1193)+G1194/Resumen!$B$9)</f>
        <v>1.22027778057297</v>
      </c>
      <c r="I1194" s="26" t="n">
        <f aca="false">IF(H1194="","",H1194-AVERAGE(H1146:H1242))</f>
        <v>-0.0415800473944625</v>
      </c>
      <c r="J1194" s="27" t="n">
        <f aca="false">IF(I1194="","",Resumen!$B$10-(MAX(I1146:I1242)-I1194))</f>
        <v>1.68627340357173</v>
      </c>
    </row>
    <row r="1195" customFormat="false" ht="15" hidden="false" customHeight="false" outlineLevel="0" collapsed="false">
      <c r="A1195" s="24" t="n">
        <v>46273.8229166667</v>
      </c>
      <c r="B1195" s="10" t="n">
        <v>3.397</v>
      </c>
      <c r="C1195" s="10" t="n">
        <v>2.1093</v>
      </c>
      <c r="D1195" s="10" t="n">
        <f aca="false">IF(OR(B1195="",C1195="",B1195&lt;=0.05,C1195&lt;=0.05),0,1)</f>
        <v>1</v>
      </c>
      <c r="E1195" s="25" t="n">
        <f aca="false">IF(OR(A1195&lt;Resumen!$B$6,A1195&gt;=Resumen!$B$7),0,MAX(0,AVERAGEIFS(B1147:B1243,D1147:D1243,1)-Resumen!$B$5*AVERAGEIFS(C1147:C1243,D1147:D1243,1)))</f>
        <v>0.525146994845362</v>
      </c>
      <c r="F1195" s="10" t="n">
        <f aca="false">IF(B1195="","",(B1195-E1195)/Resumen!$B$5)</f>
        <v>2.28105878090122</v>
      </c>
      <c r="G1195" s="10" t="n">
        <f aca="false">IF(OR(F1195="",C1195=""),0,(F1195-C1195)*0.9)</f>
        <v>0.1545829028111</v>
      </c>
      <c r="H1195" s="26" t="n">
        <f aca="false">IF(A1195&lt;Resumen!$B$11,"",IF(H1194="",0,H1194)+G1195/Resumen!$B$9)</f>
        <v>1.2275847427835</v>
      </c>
      <c r="I1195" s="26" t="n">
        <f aca="false">IF(H1195="","",H1195-AVERAGE(H1147:H1243))</f>
        <v>-0.0334276801645879</v>
      </c>
      <c r="J1195" s="27" t="n">
        <f aca="false">IF(I1195="","",Resumen!$B$10-(MAX(I1147:I1243)-I1195))</f>
        <v>1.6944257708016</v>
      </c>
    </row>
    <row r="1196" customFormat="false" ht="15" hidden="false" customHeight="false" outlineLevel="0" collapsed="false">
      <c r="A1196" s="24" t="n">
        <v>46273.8333333333</v>
      </c>
      <c r="B1196" s="10" t="n">
        <v>3.9618</v>
      </c>
      <c r="C1196" s="10" t="n">
        <v>2.1359</v>
      </c>
      <c r="D1196" s="10" t="n">
        <f aca="false">IF(OR(B1196="",C1196="",B1196&lt;=0.05,C1196&lt;=0.05),0,1)</f>
        <v>1</v>
      </c>
      <c r="E1196" s="25" t="n">
        <f aca="false">IF(OR(A1196&lt;Resumen!$B$6,A1196&gt;=Resumen!$B$7),0,MAX(0,AVERAGEIFS(B1148:B1244,D1148:D1244,1)-Resumen!$B$5*AVERAGEIFS(C1148:C1244,D1148:D1244,1)))</f>
        <v>0.528508156701032</v>
      </c>
      <c r="F1196" s="10" t="n">
        <f aca="false">IF(B1196="","",(B1196-E1196)/Resumen!$B$5)</f>
        <v>2.72699908125415</v>
      </c>
      <c r="G1196" s="10" t="n">
        <f aca="false">IF(OR(F1196="",C1196=""),0,(F1196-C1196)*0.9)</f>
        <v>0.531989173128731</v>
      </c>
      <c r="H1196" s="26" t="n">
        <f aca="false">IF(A1196&lt;Resumen!$B$11,"",IF(H1195="",0,H1195)+G1196/Resumen!$B$9)</f>
        <v>1.25273128042624</v>
      </c>
      <c r="I1196" s="26" t="n">
        <f aca="false">IF(H1196="","",H1196-AVERAGE(H1148:H1244))</f>
        <v>-0.00754570932526844</v>
      </c>
      <c r="J1196" s="27" t="n">
        <f aca="false">IF(I1196="","",Resumen!$B$10-(MAX(I1148:I1244)-I1196))</f>
        <v>1.72030774164092</v>
      </c>
    </row>
    <row r="1197" customFormat="false" ht="15" hidden="false" customHeight="false" outlineLevel="0" collapsed="false">
      <c r="A1197" s="24" t="n">
        <v>46273.84375</v>
      </c>
      <c r="B1197" s="10" t="n">
        <v>3.441</v>
      </c>
      <c r="C1197" s="10" t="n">
        <v>2.5229</v>
      </c>
      <c r="D1197" s="10" t="n">
        <f aca="false">IF(OR(B1197="",C1197="",B1197&lt;=0.05,C1197&lt;=0.05),0,1)</f>
        <v>1</v>
      </c>
      <c r="E1197" s="25" t="n">
        <f aca="false">IF(OR(A1197&lt;Resumen!$B$6,A1197&gt;=Resumen!$B$7),0,MAX(0,AVERAGEIFS(B1149:B1245,D1149:D1245,1)-Resumen!$B$5*AVERAGEIFS(C1149:C1245,D1149:D1245,1)))</f>
        <v>0.529933773195877</v>
      </c>
      <c r="F1197" s="10" t="n">
        <f aca="false">IF(B1197="","",(B1197-E1197)/Resumen!$B$5)</f>
        <v>2.31220510468953</v>
      </c>
      <c r="G1197" s="10" t="n">
        <f aca="false">IF(OR(F1197="",C1197=""),0,(F1197-C1197)*0.9)</f>
        <v>-0.189625405779419</v>
      </c>
      <c r="H1197" s="26" t="n">
        <f aca="false">IF(A1197&lt;Resumen!$B$11,"",IF(H1196="",0,H1196)+G1197/Resumen!$B$9)</f>
        <v>1.24376789800173</v>
      </c>
      <c r="I1197" s="26" t="n">
        <f aca="false">IF(H1197="","",H1197-AVERAGE(H1149:H1245))</f>
        <v>-0.0158240010474389</v>
      </c>
      <c r="J1197" s="27" t="n">
        <f aca="false">IF(I1197="","",Resumen!$B$10-(MAX(I1149:I1245)-I1197))</f>
        <v>1.71202944991875</v>
      </c>
    </row>
    <row r="1198" customFormat="false" ht="15" hidden="false" customHeight="false" outlineLevel="0" collapsed="false">
      <c r="A1198" s="24" t="n">
        <v>46273.8541666667</v>
      </c>
      <c r="B1198" s="10" t="n">
        <v>3.7157</v>
      </c>
      <c r="C1198" s="10" t="n">
        <v>2.172</v>
      </c>
      <c r="D1198" s="10" t="n">
        <f aca="false">IF(OR(B1198="",C1198="",B1198&lt;=0.05,C1198&lt;=0.05),0,1)</f>
        <v>1</v>
      </c>
      <c r="E1198" s="25" t="n">
        <f aca="false">IF(OR(A1198&lt;Resumen!$B$6,A1198&gt;=Resumen!$B$7),0,MAX(0,AVERAGEIFS(B1150:B1246,D1150:D1246,1)-Resumen!$B$5*AVERAGEIFS(C1150:C1246,D1150:D1246,1)))</f>
        <v>0.525537587628867</v>
      </c>
      <c r="F1198" s="10" t="n">
        <f aca="false">IF(B1198="","",(B1198-E1198)/Resumen!$B$5)</f>
        <v>2.53388595104935</v>
      </c>
      <c r="G1198" s="10" t="n">
        <f aca="false">IF(OR(F1198="",C1198=""),0,(F1198-C1198)*0.9)</f>
        <v>0.325697355944416</v>
      </c>
      <c r="H1198" s="26" t="n">
        <f aca="false">IF(A1198&lt;Resumen!$B$11,"",IF(H1197="",0,H1197)+G1198/Resumen!$B$9)</f>
        <v>1.25916325045454</v>
      </c>
      <c r="I1198" s="26" t="n">
        <f aca="false">IF(H1198="","",H1198-AVERAGE(H1150:H1246))</f>
        <v>0.000404424644621093</v>
      </c>
      <c r="J1198" s="27" t="n">
        <f aca="false">IF(I1198="","",Resumen!$B$10-(MAX(I1150:I1246)-I1198))</f>
        <v>1.72825787561081</v>
      </c>
    </row>
    <row r="1199" customFormat="false" ht="15" hidden="false" customHeight="false" outlineLevel="0" collapsed="false">
      <c r="A1199" s="24" t="n">
        <v>46273.8645833333</v>
      </c>
      <c r="B1199" s="10" t="n">
        <v>3.4744</v>
      </c>
      <c r="C1199" s="10" t="n">
        <v>2.0576</v>
      </c>
      <c r="D1199" s="10" t="n">
        <f aca="false">IF(OR(B1199="",C1199="",B1199&lt;=0.05,C1199&lt;=0.05),0,1)</f>
        <v>1</v>
      </c>
      <c r="E1199" s="25" t="n">
        <f aca="false">IF(OR(A1199&lt;Resumen!$B$6,A1199&gt;=Resumen!$B$7),0,MAX(0,AVERAGEIFS(B1151:B1247,D1151:D1247,1)-Resumen!$B$5*AVERAGEIFS(C1151:C1247,D1151:D1247,1)))</f>
        <v>0.523206383505155</v>
      </c>
      <c r="F1199" s="10" t="n">
        <f aca="false">IF(B1199="","",(B1199-E1199)/Resumen!$B$5)</f>
        <v>2.34407753494428</v>
      </c>
      <c r="G1199" s="10" t="n">
        <f aca="false">IF(OR(F1199="",C1199=""),0,(F1199-C1199)*0.9)</f>
        <v>0.25782978144985</v>
      </c>
      <c r="H1199" s="26" t="n">
        <f aca="false">IF(A1199&lt;Resumen!$B$11,"",IF(H1198="",0,H1198)+G1199/Resumen!$B$9)</f>
        <v>1.27135057800204</v>
      </c>
      <c r="I1199" s="26" t="n">
        <f aca="false">IF(H1199="","",H1199-AVERAGE(H1151:H1247))</f>
        <v>0.0134976930138153</v>
      </c>
      <c r="J1199" s="27" t="n">
        <f aca="false">IF(I1199="","",Resumen!$B$10-(MAX(I1151:I1247)-I1199))</f>
        <v>1.74587052987364</v>
      </c>
    </row>
    <row r="1200" customFormat="false" ht="15" hidden="false" customHeight="false" outlineLevel="0" collapsed="false">
      <c r="A1200" s="24" t="n">
        <v>46273.875</v>
      </c>
      <c r="B1200" s="10" t="n">
        <v>3.9806</v>
      </c>
      <c r="C1200" s="10" t="n">
        <v>2.8395</v>
      </c>
      <c r="D1200" s="10" t="n">
        <f aca="false">IF(OR(B1200="",C1200="",B1200&lt;=0.05,C1200&lt;=0.05),0,1)</f>
        <v>1</v>
      </c>
      <c r="E1200" s="25" t="n">
        <f aca="false">IF(OR(A1200&lt;Resumen!$B$6,A1200&gt;=Resumen!$B$7),0,MAX(0,AVERAGEIFS(B1152:B1248,D1152:D1248,1)-Resumen!$B$5*AVERAGEIFS(C1152:C1248,D1152:D1248,1)))</f>
        <v>0.532188744329898</v>
      </c>
      <c r="F1200" s="10" t="n">
        <f aca="false">IF(B1200="","",(B1200-E1200)/Resumen!$B$5)</f>
        <v>2.73900814588571</v>
      </c>
      <c r="G1200" s="10" t="n">
        <f aca="false">IF(OR(F1200="",C1200=""),0,(F1200-C1200)*0.9)</f>
        <v>-0.0904426687028657</v>
      </c>
      <c r="H1200" s="26" t="n">
        <f aca="false">IF(A1200&lt;Resumen!$B$11,"",IF(H1199="",0,H1199)+G1200/Resumen!$B$9)</f>
        <v>1.26707545345454</v>
      </c>
      <c r="I1200" s="26" t="n">
        <f aca="false">IF(H1200="","",H1200-AVERAGE(H1152:H1248))</f>
        <v>0.00981590084469652</v>
      </c>
      <c r="J1200" s="27" t="n">
        <f aca="false">IF(I1200="","",Resumen!$B$10-(MAX(I1152:I1248)-I1200))</f>
        <v>1.74218873770452</v>
      </c>
    </row>
    <row r="1201" customFormat="false" ht="15" hidden="false" customHeight="false" outlineLevel="0" collapsed="false">
      <c r="A1201" s="24" t="n">
        <v>46273.8854166667</v>
      </c>
      <c r="B1201" s="10" t="n">
        <v>3.4909</v>
      </c>
      <c r="C1201" s="10" t="n">
        <v>2.6128</v>
      </c>
      <c r="D1201" s="10" t="n">
        <f aca="false">IF(OR(B1201="",C1201="",B1201&lt;=0.05,C1201&lt;=0.05),0,1)</f>
        <v>1</v>
      </c>
      <c r="E1201" s="25" t="n">
        <f aca="false">IF(OR(A1201&lt;Resumen!$B$6,A1201&gt;=Resumen!$B$7),0,MAX(0,AVERAGEIFS(B1153:B1249,D1153:D1249,1)-Resumen!$B$5*AVERAGEIFS(C1153:C1249,D1153:D1249,1)))</f>
        <v>0.527690474226804</v>
      </c>
      <c r="F1201" s="10" t="n">
        <f aca="false">IF(B1201="","",(B1201-E1201)/Resumen!$B$5)</f>
        <v>2.35362154549102</v>
      </c>
      <c r="G1201" s="10" t="n">
        <f aca="false">IF(OR(F1201="",C1201=""),0,(F1201-C1201)*0.9)</f>
        <v>-0.233260609058081</v>
      </c>
      <c r="H1201" s="26" t="n">
        <f aca="false">IF(A1201&lt;Resumen!$B$11,"",IF(H1200="",0,H1200)+G1201/Resumen!$B$9)</f>
        <v>1.2560494834113</v>
      </c>
      <c r="I1201" s="26" t="n">
        <f aca="false">IF(H1201="","",H1201-AVERAGE(H1153:H1249))</f>
        <v>-0.000475318475731568</v>
      </c>
      <c r="J1201" s="27" t="n">
        <f aca="false">IF(I1201="","",Resumen!$B$10-(MAX(I1153:I1249)-I1201))</f>
        <v>1.73189751838409</v>
      </c>
    </row>
    <row r="1202" customFormat="false" ht="15" hidden="false" customHeight="false" outlineLevel="0" collapsed="false">
      <c r="A1202" s="24" t="n">
        <v>46273.8958333333</v>
      </c>
      <c r="B1202" s="10" t="n">
        <v>3.1822</v>
      </c>
      <c r="C1202" s="10" t="n">
        <v>2.0012</v>
      </c>
      <c r="D1202" s="10" t="n">
        <f aca="false">IF(OR(B1202="",C1202="",B1202&lt;=0.05,C1202&lt;=0.05),0,1)</f>
        <v>1</v>
      </c>
      <c r="E1202" s="25" t="n">
        <f aca="false">IF(OR(A1202&lt;Resumen!$B$6,A1202&gt;=Resumen!$B$7),0,MAX(0,AVERAGEIFS(B1154:B1250,D1154:D1250,1)-Resumen!$B$5*AVERAGEIFS(C1154:C1250,D1154:D1250,1)))</f>
        <v>0.532454601030928</v>
      </c>
      <c r="F1202" s="10" t="n">
        <f aca="false">IF(B1202="","",(B1202-E1202)/Resumen!$B$5)</f>
        <v>2.10464289036463</v>
      </c>
      <c r="G1202" s="10" t="n">
        <f aca="false">IF(OR(F1202="",C1202=""),0,(F1202-C1202)*0.9)</f>
        <v>0.0930986013281693</v>
      </c>
      <c r="H1202" s="26" t="n">
        <f aca="false">IF(A1202&lt;Resumen!$B$11,"",IF(H1201="",0,H1201)+G1202/Resumen!$B$9)</f>
        <v>1.2604501509456</v>
      </c>
      <c r="I1202" s="26" t="n">
        <f aca="false">IF(H1202="","",H1202-AVERAGE(H1154:H1250))</f>
        <v>0.00449290405632974</v>
      </c>
      <c r="J1202" s="27" t="n">
        <f aca="false">IF(I1202="","",Resumen!$B$10-(MAX(I1154:I1250)-I1202))</f>
        <v>1.73686574091615</v>
      </c>
    </row>
    <row r="1203" customFormat="false" ht="15" hidden="false" customHeight="false" outlineLevel="0" collapsed="false">
      <c r="A1203" s="24" t="n">
        <v>46273.90625</v>
      </c>
      <c r="B1203" s="10" t="n">
        <v>3.1505</v>
      </c>
      <c r="C1203" s="10" t="n">
        <v>2.3877</v>
      </c>
      <c r="D1203" s="10" t="n">
        <f aca="false">IF(OR(B1203="",C1203="",B1203&lt;=0.05,C1203&lt;=0.05),0,1)</f>
        <v>1</v>
      </c>
      <c r="E1203" s="25" t="n">
        <f aca="false">IF(OR(A1203&lt;Resumen!$B$6,A1203&gt;=Resumen!$B$7),0,MAX(0,AVERAGEIFS(B1155:B1251,D1155:D1251,1)-Resumen!$B$5*AVERAGEIFS(C1155:C1251,D1155:D1251,1)))</f>
        <v>0.535713684536083</v>
      </c>
      <c r="F1203" s="10" t="n">
        <f aca="false">IF(B1203="","",(B1203-E1203)/Resumen!$B$5)</f>
        <v>2.07687554842249</v>
      </c>
      <c r="G1203" s="10" t="n">
        <f aca="false">IF(OR(F1203="",C1203=""),0,(F1203-C1203)*0.9)</f>
        <v>-0.279742006419758</v>
      </c>
      <c r="H1203" s="26" t="n">
        <f aca="false">IF(A1203&lt;Resumen!$B$11,"",IF(H1202="",0,H1202)+G1203/Resumen!$B$9)</f>
        <v>1.24722705684893</v>
      </c>
      <c r="I1203" s="26" t="n">
        <f aca="false">IF(H1203="","",H1203-AVERAGE(H1155:H1251))</f>
        <v>-0.00827972201368832</v>
      </c>
      <c r="J1203" s="27" t="n">
        <f aca="false">IF(I1203="","",Resumen!$B$10-(MAX(I1155:I1251)-I1203))</f>
        <v>1.72409311484613</v>
      </c>
    </row>
    <row r="1204" customFormat="false" ht="15" hidden="false" customHeight="false" outlineLevel="0" collapsed="false">
      <c r="A1204" s="24" t="n">
        <v>46273.9166666667</v>
      </c>
      <c r="B1204" s="10" t="n">
        <v>3.2983</v>
      </c>
      <c r="C1204" s="10" t="n">
        <v>2.3978</v>
      </c>
      <c r="D1204" s="10" t="n">
        <f aca="false">IF(OR(B1204="",C1204="",B1204&lt;=0.05,C1204&lt;=0.05),0,1)</f>
        <v>1</v>
      </c>
      <c r="E1204" s="25" t="n">
        <f aca="false">IF(OR(A1204&lt;Resumen!$B$6,A1204&gt;=Resumen!$B$7),0,MAX(0,AVERAGEIFS(B1156:B1252,D1156:D1252,1)-Resumen!$B$5*AVERAGEIFS(C1156:C1252,D1156:D1252,1)))</f>
        <v>0.528982723711341</v>
      </c>
      <c r="F1204" s="10" t="n">
        <f aca="false">IF(B1204="","",(B1204-E1204)/Resumen!$B$5)</f>
        <v>2.1996165816431</v>
      </c>
      <c r="G1204" s="10" t="n">
        <f aca="false">IF(OR(F1204="",C1204=""),0,(F1204-C1204)*0.9)</f>
        <v>-0.178365076521213</v>
      </c>
      <c r="H1204" s="26" t="n">
        <f aca="false">IF(A1204&lt;Resumen!$B$11,"",IF(H1203="",0,H1203)+G1204/Resumen!$B$9)</f>
        <v>1.23879593768816</v>
      </c>
      <c r="I1204" s="26" t="n">
        <f aca="false">IF(H1204="","",H1204-AVERAGE(H1156:H1252))</f>
        <v>-0.0160355387005133</v>
      </c>
      <c r="J1204" s="27" t="n">
        <f aca="false">IF(I1204="","",Resumen!$B$10-(MAX(I1156:I1252)-I1204))</f>
        <v>1.71633729815931</v>
      </c>
    </row>
    <row r="1205" customFormat="false" ht="15" hidden="false" customHeight="false" outlineLevel="0" collapsed="false">
      <c r="A1205" s="24" t="n">
        <v>46273.9270833333</v>
      </c>
      <c r="B1205" s="10" t="n">
        <v>2.8755</v>
      </c>
      <c r="C1205" s="10" t="n">
        <v>1.7254</v>
      </c>
      <c r="D1205" s="10" t="n">
        <f aca="false">IF(OR(B1205="",C1205="",B1205&lt;=0.05,C1205&lt;=0.05),0,1)</f>
        <v>1</v>
      </c>
      <c r="E1205" s="25" t="n">
        <f aca="false">IF(OR(A1205&lt;Resumen!$B$6,A1205&gt;=Resumen!$B$7),0,MAX(0,AVERAGEIFS(B1157:B1253,D1157:D1253,1)-Resumen!$B$5*AVERAGEIFS(C1157:C1253,D1157:D1253,1)))</f>
        <v>0.526126315463918</v>
      </c>
      <c r="F1205" s="10" t="n">
        <f aca="false">IF(B1205="","",(B1205-E1205)/Resumen!$B$5)</f>
        <v>1.86606329192699</v>
      </c>
      <c r="G1205" s="10" t="n">
        <f aca="false">IF(OR(F1205="",C1205=""),0,(F1205-C1205)*0.9)</f>
        <v>0.126596962734293</v>
      </c>
      <c r="H1205" s="26" t="n">
        <f aca="false">IF(A1205&lt;Resumen!$B$11,"",IF(H1204="",0,H1204)+G1205/Resumen!$B$9)</f>
        <v>1.24478003557897</v>
      </c>
      <c r="I1205" s="26" t="n">
        <f aca="false">IF(H1205="","",H1205-AVERAGE(H1157:H1253))</f>
        <v>-0.00927535874516416</v>
      </c>
      <c r="J1205" s="27" t="n">
        <f aca="false">IF(I1205="","",Resumen!$B$10-(MAX(I1157:I1253)-I1205))</f>
        <v>1.72309747811466</v>
      </c>
    </row>
    <row r="1206" customFormat="false" ht="15" hidden="false" customHeight="false" outlineLevel="0" collapsed="false">
      <c r="A1206" s="24" t="n">
        <v>46273.9375</v>
      </c>
      <c r="B1206" s="10" t="n">
        <v>3.6258</v>
      </c>
      <c r="C1206" s="10" t="n">
        <v>2.7827</v>
      </c>
      <c r="D1206" s="10" t="n">
        <f aca="false">IF(OR(B1206="",C1206="",B1206&lt;=0.05,C1206&lt;=0.05),0,1)</f>
        <v>1</v>
      </c>
      <c r="E1206" s="25" t="n">
        <f aca="false">IF(OR(A1206&lt;Resumen!$B$6,A1206&gt;=Resumen!$B$7),0,MAX(0,AVERAGEIFS(B1158:B1254,D1158:D1254,1)-Resumen!$B$5*AVERAGEIFS(C1158:C1254,D1158:D1254,1)))</f>
        <v>0.526848479381443</v>
      </c>
      <c r="F1206" s="10" t="n">
        <f aca="false">IF(B1206="","",(B1206-E1206)/Resumen!$B$5)</f>
        <v>2.46143885672642</v>
      </c>
      <c r="G1206" s="10" t="n">
        <f aca="false">IF(OR(F1206="",C1206=""),0,(F1206-C1206)*0.9)</f>
        <v>-0.289135028946226</v>
      </c>
      <c r="H1206" s="26" t="n">
        <f aca="false">IF(A1206&lt;Resumen!$B$11,"",IF(H1205="",0,H1205)+G1206/Resumen!$B$9)</f>
        <v>1.23111294373485</v>
      </c>
      <c r="I1206" s="26" t="n">
        <f aca="false">IF(H1206="","",H1206-AVERAGE(H1158:H1254))</f>
        <v>-0.0221885985131687</v>
      </c>
      <c r="J1206" s="27" t="n">
        <f aca="false">IF(I1206="","",Resumen!$B$10-(MAX(I1158:I1254)-I1206))</f>
        <v>1.71353760332985</v>
      </c>
    </row>
    <row r="1207" customFormat="false" ht="15" hidden="false" customHeight="false" outlineLevel="0" collapsed="false">
      <c r="A1207" s="24" t="n">
        <v>46273.9479166667</v>
      </c>
      <c r="B1207" s="10" t="n">
        <v>3.1207</v>
      </c>
      <c r="C1207" s="10" t="n">
        <v>2.5745</v>
      </c>
      <c r="D1207" s="10" t="n">
        <f aca="false">IF(OR(B1207="",C1207="",B1207&lt;=0.05,C1207&lt;=0.05),0,1)</f>
        <v>1</v>
      </c>
      <c r="E1207" s="25" t="n">
        <f aca="false">IF(OR(A1207&lt;Resumen!$B$6,A1207&gt;=Resumen!$B$7),0,MAX(0,AVERAGEIFS(B1159:B1255,D1159:D1255,1)-Resumen!$B$5*AVERAGEIFS(C1159:C1255,D1159:D1255,1)))</f>
        <v>0.524223701030929</v>
      </c>
      <c r="F1207" s="10" t="n">
        <f aca="false">IF(B1207="","",(B1207-E1207)/Resumen!$B$5)</f>
        <v>2.06233224699688</v>
      </c>
      <c r="G1207" s="10" t="n">
        <f aca="false">IF(OR(F1207="",C1207=""),0,(F1207-C1207)*0.9)</f>
        <v>-0.460950977702809</v>
      </c>
      <c r="H1207" s="26" t="n">
        <f aca="false">IF(A1207&lt;Resumen!$B$11,"",IF(H1206="",0,H1206)+G1207/Resumen!$B$9)</f>
        <v>1.20932430272908</v>
      </c>
      <c r="I1207" s="26" t="n">
        <f aca="false">IF(H1207="","",H1207-AVERAGE(H1159:H1255))</f>
        <v>-0.043128762774344</v>
      </c>
      <c r="J1207" s="27" t="n">
        <f aca="false">IF(I1207="","",Resumen!$B$10-(MAX(I1159:I1255)-I1207))</f>
        <v>1.69259743906867</v>
      </c>
    </row>
    <row r="1208" customFormat="false" ht="15" hidden="false" customHeight="false" outlineLevel="0" collapsed="false">
      <c r="A1208" s="24" t="n">
        <v>46273.9583333333</v>
      </c>
      <c r="B1208" s="10" t="n">
        <v>3.0282</v>
      </c>
      <c r="C1208" s="10" t="n">
        <v>1.924</v>
      </c>
      <c r="D1208" s="10" t="n">
        <f aca="false">IF(OR(B1208="",C1208="",B1208&lt;=0.05,C1208&lt;=0.05),0,1)</f>
        <v>1</v>
      </c>
      <c r="E1208" s="25" t="n">
        <f aca="false">IF(OR(A1208&lt;Resumen!$B$6,A1208&gt;=Resumen!$B$7),0,MAX(0,AVERAGEIFS(B1160:B1256,D1160:D1256,1)-Resumen!$B$5*AVERAGEIFS(C1160:C1256,D1160:D1256,1)))</f>
        <v>0.514626709278351</v>
      </c>
      <c r="F1208" s="10" t="n">
        <f aca="false">IF(B1208="","",(B1208-E1208)/Resumen!$B$5)</f>
        <v>1.99648394815064</v>
      </c>
      <c r="G1208" s="10" t="n">
        <f aca="false">IF(OR(F1208="",C1208=""),0,(F1208-C1208)*0.9)</f>
        <v>0.0652355533355715</v>
      </c>
      <c r="H1208" s="26" t="n">
        <f aca="false">IF(A1208&lt;Resumen!$B$11,"",IF(H1207="",0,H1207)+G1208/Resumen!$B$9)</f>
        <v>1.21240791491605</v>
      </c>
      <c r="I1208" s="26" t="n">
        <f aca="false">IF(H1208="","",H1208-AVERAGE(H1160:H1256))</f>
        <v>-0.03886310295494</v>
      </c>
      <c r="J1208" s="27" t="n">
        <f aca="false">IF(I1208="","",Resumen!$B$10-(MAX(I1160:I1256)-I1208))</f>
        <v>1.69686309888808</v>
      </c>
    </row>
    <row r="1209" customFormat="false" ht="15" hidden="false" customHeight="false" outlineLevel="0" collapsed="false">
      <c r="A1209" s="24" t="n">
        <v>46273.96875</v>
      </c>
      <c r="B1209" s="10" t="n">
        <v>2.8618</v>
      </c>
      <c r="C1209" s="10" t="n">
        <v>1.8676</v>
      </c>
      <c r="D1209" s="10" t="n">
        <f aca="false">IF(OR(B1209="",C1209="",B1209&lt;=0.05,C1209&lt;=0.05),0,1)</f>
        <v>1</v>
      </c>
      <c r="E1209" s="25" t="n">
        <f aca="false">IF(OR(A1209&lt;Resumen!$B$6,A1209&gt;=Resumen!$B$7),0,MAX(0,AVERAGEIFS(B1161:B1257,D1161:D1257,1)-Resumen!$B$5*AVERAGEIFS(C1161:C1257,D1161:D1257,1)))</f>
        <v>0.505114115463918</v>
      </c>
      <c r="F1209" s="10" t="n">
        <f aca="false">IF(B1209="","",(B1209-E1209)/Resumen!$B$5)</f>
        <v>1.87187123473875</v>
      </c>
      <c r="G1209" s="10" t="n">
        <f aca="false">IF(OR(F1209="",C1209=""),0,(F1209-C1209)*0.9)</f>
        <v>0.00384411126487232</v>
      </c>
      <c r="H1209" s="26" t="n">
        <f aca="false">IF(A1209&lt;Resumen!$B$11,"",IF(H1208="",0,H1208)+G1209/Resumen!$B$9)</f>
        <v>1.21258962178812</v>
      </c>
      <c r="I1209" s="26" t="n">
        <f aca="false">IF(H1209="","",H1209-AVERAGE(H1161:H1257))</f>
        <v>-0.0371680865591317</v>
      </c>
      <c r="J1209" s="27" t="n">
        <f aca="false">IF(I1209="","",Resumen!$B$10-(MAX(I1161:I1257)-I1209))</f>
        <v>1.70719992196311</v>
      </c>
    </row>
    <row r="1210" customFormat="false" ht="15" hidden="false" customHeight="false" outlineLevel="0" collapsed="false">
      <c r="A1210" s="24" t="n">
        <v>46273.9791666667</v>
      </c>
      <c r="B1210" s="10" t="n">
        <v>3.0215</v>
      </c>
      <c r="C1210" s="10" t="n">
        <v>1.9858</v>
      </c>
      <c r="D1210" s="10" t="n">
        <f aca="false">IF(OR(B1210="",C1210="",B1210&lt;=0.05,C1210&lt;=0.05),0,1)</f>
        <v>1</v>
      </c>
      <c r="E1210" s="25" t="n">
        <f aca="false">IF(OR(A1210&lt;Resumen!$B$6,A1210&gt;=Resumen!$B$7),0,MAX(0,AVERAGEIFS(B1162:B1258,D1162:D1258,1)-Resumen!$B$5*AVERAGEIFS(C1162:C1258,D1162:D1258,1)))</f>
        <v>0.507177743298969</v>
      </c>
      <c r="F1210" s="10" t="n">
        <f aca="false">IF(B1210="","",(B1210-E1210)/Resumen!$B$5)</f>
        <v>1.99707883772918</v>
      </c>
      <c r="G1210" s="10" t="n">
        <f aca="false">IF(OR(F1210="",C1210=""),0,(F1210-C1210)*0.9)</f>
        <v>0.0101509539562577</v>
      </c>
      <c r="H1210" s="26" t="n">
        <f aca="false">IF(A1210&lt;Resumen!$B$11,"",IF(H1209="",0,H1209)+G1210/Resumen!$B$9)</f>
        <v>1.21306944611287</v>
      </c>
      <c r="I1210" s="26" t="n">
        <f aca="false">IF(H1210="","",H1210-AVERAGE(H1162:H1258))</f>
        <v>-0.0352353107064276</v>
      </c>
      <c r="J1210" s="27" t="n">
        <f aca="false">IF(I1210="","",Resumen!$B$10-(MAX(I1162:I1258)-I1210))</f>
        <v>1.70913269781582</v>
      </c>
    </row>
    <row r="1211" customFormat="false" ht="15" hidden="false" customHeight="false" outlineLevel="0" collapsed="false">
      <c r="A1211" s="24" t="n">
        <v>46273.9895833333</v>
      </c>
      <c r="B1211" s="10" t="n">
        <v>3.0864</v>
      </c>
      <c r="C1211" s="10" t="n">
        <v>1.9079</v>
      </c>
      <c r="D1211" s="10" t="n">
        <f aca="false">IF(OR(B1211="",C1211="",B1211&lt;=0.05,C1211&lt;=0.05),0,1)</f>
        <v>1</v>
      </c>
      <c r="E1211" s="25" t="n">
        <f aca="false">IF(OR(A1211&lt;Resumen!$B$6,A1211&gt;=Resumen!$B$7),0,MAX(0,AVERAGEIFS(B1163:B1259,D1163:D1259,1)-Resumen!$B$5*AVERAGEIFS(C1163:C1259,D1163:D1259,1)))</f>
        <v>0.49760101958763</v>
      </c>
      <c r="F1211" s="10" t="n">
        <f aca="false">IF(B1211="","",(B1211-E1211)/Resumen!$B$5)</f>
        <v>2.0562342973887</v>
      </c>
      <c r="G1211" s="10" t="n">
        <f aca="false">IF(OR(F1211="",C1211=""),0,(F1211-C1211)*0.9)</f>
        <v>0.133500867649828</v>
      </c>
      <c r="H1211" s="26" t="n">
        <f aca="false">IF(A1211&lt;Resumen!$B$11,"",IF(H1210="",0,H1210)+G1211/Resumen!$B$9)</f>
        <v>1.21937988392489</v>
      </c>
      <c r="I1211" s="26" t="n">
        <f aca="false">IF(H1211="","",H1211-AVERAGE(H1163:H1259))</f>
        <v>-0.0271360233274791</v>
      </c>
      <c r="J1211" s="27" t="n">
        <f aca="false">IF(I1211="","",Resumen!$B$10-(MAX(I1163:I1259)-I1211))</f>
        <v>1.75506959311405</v>
      </c>
    </row>
    <row r="1212" customFormat="false" ht="15" hidden="false" customHeight="false" outlineLevel="0" collapsed="false">
      <c r="A1212" s="24" t="n">
        <v>46274</v>
      </c>
      <c r="B1212" s="10" t="n">
        <v>3.0081</v>
      </c>
      <c r="C1212" s="10" t="n">
        <v>2.1573</v>
      </c>
      <c r="D1212" s="10" t="n">
        <f aca="false">IF(OR(B1212="",C1212="",B1212&lt;=0.05,C1212&lt;=0.05),0,1)</f>
        <v>1</v>
      </c>
      <c r="E1212" s="25" t="n">
        <f aca="false">IF(OR(A1212&lt;Resumen!$B$6,A1212&gt;=Resumen!$B$7),0,MAX(0,AVERAGEIFS(B1164:B1260,D1164:D1260,1)-Resumen!$B$5*AVERAGEIFS(C1164:C1260,D1164:D1260,1)))</f>
        <v>0.511070463917526</v>
      </c>
      <c r="F1212" s="10" t="n">
        <f aca="false">IF(B1212="","",(B1212-E1212)/Resumen!$B$5)</f>
        <v>1.98334355526805</v>
      </c>
      <c r="G1212" s="10" t="n">
        <f aca="false">IF(OR(F1212="",C1212=""),0,(F1212-C1212)*0.9)</f>
        <v>-0.156560800258756</v>
      </c>
      <c r="H1212" s="26" t="n">
        <f aca="false">IF(A1212&lt;Resumen!$B$11,"",IF(H1211="",0,H1211)+G1212/Resumen!$B$9)</f>
        <v>1.21197942869771</v>
      </c>
      <c r="I1212" s="26" t="n">
        <f aca="false">IF(H1212="","",H1212-AVERAGE(H1164:H1260))</f>
        <v>-0.0331902903842476</v>
      </c>
      <c r="J1212" s="27" t="n">
        <f aca="false">IF(I1212="","",Resumen!$B$10-(MAX(I1164:I1260)-I1212))</f>
        <v>1.75004219107078</v>
      </c>
    </row>
    <row r="1213" customFormat="false" ht="15" hidden="false" customHeight="false" outlineLevel="0" collapsed="false">
      <c r="A1213" s="24" t="n">
        <v>46274.0104166667</v>
      </c>
      <c r="B1213" s="10" t="n">
        <v>2.9244</v>
      </c>
      <c r="C1213" s="10" t="n">
        <v>1.5895</v>
      </c>
      <c r="D1213" s="10" t="n">
        <f aca="false">IF(OR(B1213="",C1213="",B1213&lt;=0.05,C1213&lt;=0.05),0,1)</f>
        <v>1</v>
      </c>
      <c r="E1213" s="25" t="n">
        <f aca="false">IF(OR(A1213&lt;Resumen!$B$6,A1213&gt;=Resumen!$B$7),0,MAX(0,AVERAGEIFS(B1165:B1261,D1165:D1261,1)-Resumen!$B$5*AVERAGEIFS(C1165:C1261,D1165:D1261,1)))</f>
        <v>0.526549660824743</v>
      </c>
      <c r="F1213" s="10" t="n">
        <f aca="false">IF(B1213="","",(B1213-E1213)/Resumen!$B$5)</f>
        <v>1.90456738615986</v>
      </c>
      <c r="G1213" s="10" t="n">
        <f aca="false">IF(OR(F1213="",C1213=""),0,(F1213-C1213)*0.9)</f>
        <v>0.28356064754387</v>
      </c>
      <c r="H1213" s="26" t="n">
        <f aca="false">IF(A1213&lt;Resumen!$B$11,"",IF(H1212="",0,H1212)+G1213/Resumen!$B$9)</f>
        <v>1.22538302572116</v>
      </c>
      <c r="I1213" s="26" t="n">
        <f aca="false">IF(H1213="","",H1213-AVERAGE(H1165:H1261))</f>
        <v>-0.0189476582789629</v>
      </c>
      <c r="J1213" s="27" t="n">
        <f aca="false">IF(I1213="","",Resumen!$B$10-(MAX(I1165:I1261)-I1213))</f>
        <v>1.76428482317606</v>
      </c>
    </row>
    <row r="1214" customFormat="false" ht="15" hidden="false" customHeight="false" outlineLevel="0" collapsed="false">
      <c r="A1214" s="24" t="n">
        <v>46274.0208333333</v>
      </c>
      <c r="B1214" s="10" t="n">
        <v>2.6507</v>
      </c>
      <c r="C1214" s="10" t="n">
        <v>1.5816</v>
      </c>
      <c r="D1214" s="10" t="n">
        <f aca="false">IF(OR(B1214="",C1214="",B1214&lt;=0.05,C1214&lt;=0.05),0,1)</f>
        <v>1</v>
      </c>
      <c r="E1214" s="25" t="n">
        <f aca="false">IF(OR(A1214&lt;Resumen!$B$6,A1214&gt;=Resumen!$B$7),0,MAX(0,AVERAGEIFS(B1166:B1262,D1166:D1262,1)-Resumen!$B$5*AVERAGEIFS(C1166:C1262,D1166:D1262,1)))</f>
        <v>0.51886374329897</v>
      </c>
      <c r="F1214" s="10" t="n">
        <f aca="false">IF(B1214="","",(B1214-E1214)/Resumen!$B$5)</f>
        <v>1.69327740802306</v>
      </c>
      <c r="G1214" s="10" t="n">
        <f aca="false">IF(OR(F1214="",C1214=""),0,(F1214-C1214)*0.9)</f>
        <v>0.100509667220753</v>
      </c>
      <c r="H1214" s="26" t="n">
        <f aca="false">IF(A1214&lt;Resumen!$B$11,"",IF(H1213="",0,H1213)+G1214/Resumen!$B$9)</f>
        <v>1.23013400611304</v>
      </c>
      <c r="I1214" s="26" t="n">
        <f aca="false">IF(H1214="","",H1214-AVERAGE(H1166:H1262))</f>
        <v>-0.0130866839840513</v>
      </c>
      <c r="J1214" s="27" t="n">
        <f aca="false">IF(I1214="","",Resumen!$B$10-(MAX(I1166:I1262)-I1214))</f>
        <v>1.77014579747098</v>
      </c>
    </row>
    <row r="1215" customFormat="false" ht="15" hidden="false" customHeight="false" outlineLevel="0" collapsed="false">
      <c r="A1215" s="24" t="n">
        <v>46274.03125</v>
      </c>
      <c r="B1215" s="10" t="n">
        <v>2.6503</v>
      </c>
      <c r="C1215" s="10" t="n">
        <v>1.859</v>
      </c>
      <c r="D1215" s="10" t="n">
        <f aca="false">IF(OR(B1215="",C1215="",B1215&lt;=0.05,C1215&lt;=0.05),0,1)</f>
        <v>1</v>
      </c>
      <c r="E1215" s="25" t="n">
        <f aca="false">IF(OR(A1215&lt;Resumen!$B$6,A1215&gt;=Resumen!$B$7),0,MAX(0,AVERAGEIFS(B1167:B1263,D1167:D1263,1)-Resumen!$B$5*AVERAGEIFS(C1167:C1263,D1167:D1263,1)))</f>
        <v>0.526962913402062</v>
      </c>
      <c r="F1215" s="10" t="n">
        <f aca="false">IF(B1215="","",(B1215-E1215)/Resumen!$B$5)</f>
        <v>1.68652667720249</v>
      </c>
      <c r="G1215" s="10" t="n">
        <f aca="false">IF(OR(F1215="",C1215=""),0,(F1215-C1215)*0.9)</f>
        <v>-0.155225990517757</v>
      </c>
      <c r="H1215" s="26" t="n">
        <f aca="false">IF(A1215&lt;Resumen!$B$11,"",IF(H1214="",0,H1214)+G1215/Resumen!$B$9)</f>
        <v>1.22279664586052</v>
      </c>
      <c r="I1215" s="26" t="n">
        <f aca="false">IF(H1215="","",H1215-AVERAGE(H1167:H1263))</f>
        <v>-0.0195755386903054</v>
      </c>
      <c r="J1215" s="27" t="n">
        <f aca="false">IF(I1215="","",Resumen!$B$10-(MAX(I1167:I1263)-I1215))</f>
        <v>1.76365694276472</v>
      </c>
    </row>
    <row r="1216" customFormat="false" ht="15" hidden="false" customHeight="false" outlineLevel="0" collapsed="false">
      <c r="A1216" s="24" t="n">
        <v>46274.0416666667</v>
      </c>
      <c r="B1216" s="10" t="n">
        <v>2.8253</v>
      </c>
      <c r="C1216" s="10" t="n">
        <v>1.614</v>
      </c>
      <c r="D1216" s="10" t="n">
        <f aca="false">IF(OR(B1216="",C1216="",B1216&lt;=0.05,C1216&lt;=0.05),0,1)</f>
        <v>1</v>
      </c>
      <c r="E1216" s="25" t="n">
        <f aca="false">IF(OR(A1216&lt;Resumen!$B$6,A1216&gt;=Resumen!$B$7),0,MAX(0,AVERAGEIFS(B1168:B1264,D1168:D1264,1)-Resumen!$B$5*AVERAGEIFS(C1168:C1264,D1168:D1264,1)))</f>
        <v>0.534591885567012</v>
      </c>
      <c r="F1216" s="10" t="n">
        <f aca="false">IF(B1216="","",(B1216-E1216)/Resumen!$B$5)</f>
        <v>1.81946633394201</v>
      </c>
      <c r="G1216" s="10" t="n">
        <f aca="false">IF(OR(F1216="",C1216=""),0,(F1216-C1216)*0.9)</f>
        <v>0.184919700547807</v>
      </c>
      <c r="H1216" s="26" t="n">
        <f aca="false">IF(A1216&lt;Resumen!$B$11,"",IF(H1215="",0,H1215)+G1216/Resumen!$B$9)</f>
        <v>1.23153759482262</v>
      </c>
      <c r="I1216" s="26" t="n">
        <f aca="false">IF(H1216="","",H1216-AVERAGE(H1168:H1264))</f>
        <v>-0.010229768938028</v>
      </c>
      <c r="J1216" s="27" t="n">
        <f aca="false">IF(I1216="","",Resumen!$B$10-(MAX(I1168:I1264)-I1216))</f>
        <v>1.773002712517</v>
      </c>
    </row>
    <row r="1217" customFormat="false" ht="15" hidden="false" customHeight="false" outlineLevel="0" collapsed="false">
      <c r="A1217" s="24" t="n">
        <v>46274.0520833333</v>
      </c>
      <c r="B1217" s="10" t="n">
        <v>2.7337</v>
      </c>
      <c r="C1217" s="10" t="n">
        <v>1.5698</v>
      </c>
      <c r="D1217" s="10" t="n">
        <f aca="false">IF(OR(B1217="",C1217="",B1217&lt;=0.05,C1217&lt;=0.05),0,1)</f>
        <v>1</v>
      </c>
      <c r="E1217" s="25" t="n">
        <f aca="false">IF(OR(A1217&lt;Resumen!$B$6,A1217&gt;=Resumen!$B$7),0,MAX(0,AVERAGEIFS(B1169:B1265,D1169:D1265,1)-Resumen!$B$5*AVERAGEIFS(C1169:C1265,D1169:D1265,1)))</f>
        <v>0.544461092783506</v>
      </c>
      <c r="F1217" s="10" t="n">
        <f aca="false">IF(B1217="","",(B1217-E1217)/Resumen!$B$5)</f>
        <v>1.73887125275337</v>
      </c>
      <c r="G1217" s="10" t="n">
        <f aca="false">IF(OR(F1217="",C1217=""),0,(F1217-C1217)*0.9)</f>
        <v>0.152164127478034</v>
      </c>
      <c r="H1217" s="26" t="n">
        <f aca="false">IF(A1217&lt;Resumen!$B$11,"",IF(H1216="",0,H1216)+G1217/Resumen!$B$9)</f>
        <v>1.23873022420829</v>
      </c>
      <c r="I1217" s="26" t="n">
        <f aca="false">IF(H1217="","",H1217-AVERAGE(H1169:H1265))</f>
        <v>-0.0027531401295402</v>
      </c>
      <c r="J1217" s="27" t="n">
        <f aca="false">IF(I1217="","",Resumen!$B$10-(MAX(I1169:I1265)-I1217))</f>
        <v>1.78047934132549</v>
      </c>
    </row>
    <row r="1218" customFormat="false" ht="15" hidden="false" customHeight="false" outlineLevel="0" collapsed="false">
      <c r="A1218" s="24" t="n">
        <v>46274.0625</v>
      </c>
      <c r="B1218" s="10" t="n">
        <v>2.6017</v>
      </c>
      <c r="C1218" s="10" t="n">
        <v>1.6215</v>
      </c>
      <c r="D1218" s="10" t="n">
        <f aca="false">IF(OR(B1218="",C1218="",B1218&lt;=0.05,C1218&lt;=0.05),0,1)</f>
        <v>1</v>
      </c>
      <c r="E1218" s="25" t="n">
        <f aca="false">IF(OR(A1218&lt;Resumen!$B$6,A1218&gt;=Resumen!$B$7),0,MAX(0,AVERAGEIFS(B1170:B1266,D1170:D1266,1)-Resumen!$B$5*AVERAGEIFS(C1170:C1266,D1170:D1266,1)))</f>
        <v>0.542108437113403</v>
      </c>
      <c r="F1218" s="10" t="n">
        <f aca="false">IF(B1218="","",(B1218-E1218)/Resumen!$B$5)</f>
        <v>1.63589480769388</v>
      </c>
      <c r="G1218" s="10" t="n">
        <f aca="false">IF(OR(F1218="",C1218=""),0,(F1218-C1218)*0.9)</f>
        <v>0.012955326924494</v>
      </c>
      <c r="H1218" s="26" t="n">
        <f aca="false">IF(A1218&lt;Resumen!$B$11,"",IF(H1217="",0,H1217)+G1218/Resumen!$B$9)</f>
        <v>1.23934260813006</v>
      </c>
      <c r="I1218" s="26" t="n">
        <f aca="false">IF(H1218="","",H1218-AVERAGE(H1170:H1266))</f>
        <v>-0.00176682519196048</v>
      </c>
      <c r="J1218" s="27" t="n">
        <f aca="false">IF(I1218="","",Resumen!$B$10-(MAX(I1170:I1266)-I1218))</f>
        <v>1.78146565626307</v>
      </c>
    </row>
    <row r="1219" customFormat="false" ht="15" hidden="false" customHeight="false" outlineLevel="0" collapsed="false">
      <c r="A1219" s="24" t="n">
        <v>46274.0729166667</v>
      </c>
      <c r="B1219" s="10" t="n">
        <v>2.6699</v>
      </c>
      <c r="C1219" s="10" t="n">
        <v>1.6338</v>
      </c>
      <c r="D1219" s="10" t="n">
        <f aca="false">IF(OR(B1219="",C1219="",B1219&lt;=0.05,C1219&lt;=0.05),0,1)</f>
        <v>1</v>
      </c>
      <c r="E1219" s="25" t="n">
        <f aca="false">IF(OR(A1219&lt;Resumen!$B$6,A1219&gt;=Resumen!$B$7),0,MAX(0,AVERAGEIFS(B1171:B1267,D1171:D1267,1)-Resumen!$B$5*AVERAGEIFS(C1171:C1267,D1171:D1267,1)))</f>
        <v>0.537104472164949</v>
      </c>
      <c r="F1219" s="10" t="n">
        <f aca="false">IF(B1219="","",(B1219-E1219)/Resumen!$B$5)</f>
        <v>1.69403933902705</v>
      </c>
      <c r="G1219" s="10" t="n">
        <f aca="false">IF(OR(F1219="",C1219=""),0,(F1219-C1219)*0.9)</f>
        <v>0.0542154051243419</v>
      </c>
      <c r="H1219" s="26" t="n">
        <f aca="false">IF(A1219&lt;Resumen!$B$11,"",IF(H1218="",0,H1218)+G1219/Resumen!$B$9)</f>
        <v>1.24190531014476</v>
      </c>
      <c r="I1219" s="26" t="n">
        <f aca="false">IF(H1219="","",H1219-AVERAGE(H1171:H1267))</f>
        <v>0.00134881762650174</v>
      </c>
      <c r="J1219" s="27" t="n">
        <f aca="false">IF(I1219="","",Resumen!$B$10-(MAX(I1171:I1267)-I1219))</f>
        <v>1.78458129908153</v>
      </c>
    </row>
    <row r="1220" customFormat="false" ht="15" hidden="false" customHeight="false" outlineLevel="0" collapsed="false">
      <c r="A1220" s="24" t="n">
        <v>46274.0833333333</v>
      </c>
      <c r="B1220" s="10" t="n">
        <v>2.6688</v>
      </c>
      <c r="C1220" s="10" t="n">
        <v>1.6314</v>
      </c>
      <c r="D1220" s="10" t="n">
        <f aca="false">IF(OR(B1220="",C1220="",B1220&lt;=0.05,C1220&lt;=0.05),0,1)</f>
        <v>1</v>
      </c>
      <c r="E1220" s="25" t="n">
        <f aca="false">IF(OR(A1220&lt;Resumen!$B$6,A1220&gt;=Resumen!$B$7),0,MAX(0,AVERAGEIFS(B1172:B1268,D1172:D1268,1)-Resumen!$B$5*AVERAGEIFS(C1172:C1268,D1172:D1268,1)))</f>
        <v>0.537922379381443</v>
      </c>
      <c r="F1220" s="10" t="n">
        <f aca="false">IF(B1220="","",(B1220-E1220)/Resumen!$B$5)</f>
        <v>1.69251598142856</v>
      </c>
      <c r="G1220" s="10" t="n">
        <f aca="false">IF(OR(F1220="",C1220=""),0,(F1220-C1220)*0.9)</f>
        <v>0.055004383285704</v>
      </c>
      <c r="H1220" s="26" t="n">
        <f aca="false">IF(A1220&lt;Resumen!$B$11,"",IF(H1219="",0,H1219)+G1220/Resumen!$B$9)</f>
        <v>1.24450530628128</v>
      </c>
      <c r="I1220" s="26" t="n">
        <f aca="false">IF(H1220="","",H1220-AVERAGE(H1172:H1268))</f>
        <v>0.00448248965243914</v>
      </c>
      <c r="J1220" s="27" t="n">
        <f aca="false">IF(I1220="","",Resumen!$B$10-(MAX(I1172:I1268)-I1220))</f>
        <v>1.78771497110747</v>
      </c>
    </row>
    <row r="1221" customFormat="false" ht="15" hidden="false" customHeight="false" outlineLevel="0" collapsed="false">
      <c r="A1221" s="24" t="n">
        <v>46274.09375</v>
      </c>
      <c r="B1221" s="10" t="n">
        <v>2.6397</v>
      </c>
      <c r="C1221" s="10" t="n">
        <v>1.4954</v>
      </c>
      <c r="D1221" s="10" t="n">
        <f aca="false">IF(OR(B1221="",C1221="",B1221&lt;=0.05,C1221&lt;=0.05),0,1)</f>
        <v>1</v>
      </c>
      <c r="E1221" s="25" t="n">
        <f aca="false">IF(OR(A1221&lt;Resumen!$B$6,A1221&gt;=Resumen!$B$7),0,MAX(0,AVERAGEIFS(B1173:B1269,D1173:D1269,1)-Resumen!$B$5*AVERAGEIFS(C1173:C1269,D1173:D1269,1)))</f>
        <v>0.540789719587629</v>
      </c>
      <c r="F1221" s="10" t="n">
        <f aca="false">IF(B1221="","",(B1221-E1221)/Resumen!$B$5)</f>
        <v>1.66712492487083</v>
      </c>
      <c r="G1221" s="10" t="n">
        <f aca="false">IF(OR(F1221="",C1221=""),0,(F1221-C1221)*0.9)</f>
        <v>0.154552432383744</v>
      </c>
      <c r="H1221" s="26" t="n">
        <f aca="false">IF(A1221&lt;Resumen!$B$11,"",IF(H1220="",0,H1220)+G1221/Resumen!$B$9)</f>
        <v>1.25181082818854</v>
      </c>
      <c r="I1221" s="26" t="n">
        <f aca="false">IF(H1221="","",H1221-AVERAGE(H1173:H1269))</f>
        <v>0.0122328320080174</v>
      </c>
      <c r="J1221" s="27" t="n">
        <f aca="false">IF(I1221="","",Resumen!$B$10-(MAX(I1173:I1269)-I1221))</f>
        <v>1.79546531346305</v>
      </c>
    </row>
    <row r="1222" customFormat="false" ht="15" hidden="false" customHeight="false" outlineLevel="0" collapsed="false">
      <c r="A1222" s="24" t="n">
        <v>46274.1041666667</v>
      </c>
      <c r="B1222" s="10" t="n">
        <v>2.5883</v>
      </c>
      <c r="C1222" s="10" t="n">
        <v>1.6227</v>
      </c>
      <c r="D1222" s="10" t="n">
        <f aca="false">IF(OR(B1222="",C1222="",B1222&lt;=0.05,C1222&lt;=0.05),0,1)</f>
        <v>1</v>
      </c>
      <c r="E1222" s="25" t="n">
        <f aca="false">IF(OR(A1222&lt;Resumen!$B$6,A1222&gt;=Resumen!$B$7),0,MAX(0,AVERAGEIFS(B1174:B1270,D1174:D1270,1)-Resumen!$B$5*AVERAGEIFS(C1174:C1270,D1174:D1270,1)))</f>
        <v>0.545332237113402</v>
      </c>
      <c r="F1222" s="10" t="n">
        <f aca="false">IF(B1222="","",(B1222-E1222)/Resumen!$B$5)</f>
        <v>1.622690836288</v>
      </c>
      <c r="G1222" s="10" t="n">
        <f aca="false">IF(OR(F1222="",C1222=""),0,(F1222-C1222)*0.9)</f>
        <v>-8.24734079569733E-006</v>
      </c>
      <c r="H1222" s="26" t="n">
        <f aca="false">IF(A1222&lt;Resumen!$B$11,"",IF(H1221="",0,H1221)+G1222/Resumen!$B$9)</f>
        <v>1.2518104383459</v>
      </c>
      <c r="I1222" s="26" t="n">
        <f aca="false">IF(H1222="","",H1222-AVERAGE(H1174:H1270))</f>
        <v>0.012532267497563</v>
      </c>
      <c r="J1222" s="27" t="n">
        <f aca="false">IF(I1222="","",Resumen!$B$10-(MAX(I1174:I1270)-I1222))</f>
        <v>1.79576474895259</v>
      </c>
    </row>
    <row r="1223" customFormat="false" ht="15" hidden="false" customHeight="false" outlineLevel="0" collapsed="false">
      <c r="A1223" s="24" t="n">
        <v>46274.1145833333</v>
      </c>
      <c r="B1223" s="10" t="n">
        <v>2.5338</v>
      </c>
      <c r="C1223" s="10" t="n">
        <v>1.5205</v>
      </c>
      <c r="D1223" s="10" t="n">
        <f aca="false">IF(OR(B1223="",C1223="",B1223&lt;=0.05,C1223&lt;=0.05),0,1)</f>
        <v>1</v>
      </c>
      <c r="E1223" s="25" t="n">
        <f aca="false">IF(OR(A1223&lt;Resumen!$B$6,A1223&gt;=Resumen!$B$7),0,MAX(0,AVERAGEIFS(B1175:B1271,D1175:D1271,1)-Resumen!$B$5*AVERAGEIFS(C1175:C1271,D1175:D1271,1)))</f>
        <v>0.559783517525773</v>
      </c>
      <c r="F1223" s="10" t="n">
        <f aca="false">IF(B1223="","",(B1223-E1223)/Resumen!$B$5)</f>
        <v>1.56792413222735</v>
      </c>
      <c r="G1223" s="10" t="n">
        <f aca="false">IF(OR(F1223="",C1223=""),0,(F1223-C1223)*0.9)</f>
        <v>0.0426817190046105</v>
      </c>
      <c r="H1223" s="26" t="n">
        <f aca="false">IF(A1223&lt;Resumen!$B$11,"",IF(H1222="",0,H1222)+G1223/Resumen!$B$9)</f>
        <v>1.25382795582147</v>
      </c>
      <c r="I1223" s="26" t="n">
        <f aca="false">IF(H1223="","",H1223-AVERAGE(H1175:H1271))</f>
        <v>0.0143701503470768</v>
      </c>
      <c r="J1223" s="27" t="n">
        <f aca="false">IF(I1223="","",Resumen!$B$10-(MAX(I1175:I1271)-I1223))</f>
        <v>1.7976026318021</v>
      </c>
    </row>
    <row r="1224" customFormat="false" ht="15" hidden="false" customHeight="false" outlineLevel="0" collapsed="false">
      <c r="A1224" s="24" t="n">
        <v>46274.125</v>
      </c>
      <c r="B1224" s="10" t="n">
        <v>2.6334</v>
      </c>
      <c r="C1224" s="10" t="n">
        <v>1.8782</v>
      </c>
      <c r="D1224" s="10" t="n">
        <f aca="false">IF(OR(B1224="",C1224="",B1224&lt;=0.05,C1224&lt;=0.05),0,1)</f>
        <v>1</v>
      </c>
      <c r="E1224" s="25" t="n">
        <f aca="false">IF(OR(A1224&lt;Resumen!$B$6,A1224&gt;=Resumen!$B$7),0,MAX(0,AVERAGEIFS(B1176:B1272,D1176:D1272,1)-Resumen!$B$5*AVERAGEIFS(C1176:C1272,D1176:D1272,1)))</f>
        <v>0.562919758762886</v>
      </c>
      <c r="F1224" s="10" t="n">
        <f aca="false">IF(B1224="","",(B1224-E1224)/Resumen!$B$5)</f>
        <v>1.64454347993417</v>
      </c>
      <c r="G1224" s="10" t="n">
        <f aca="false">IF(OR(F1224="",C1224=""),0,(F1224-C1224)*0.9)</f>
        <v>-0.210290868059251</v>
      </c>
      <c r="H1224" s="26" t="n">
        <f aca="false">IF(A1224&lt;Resumen!$B$11,"",IF(H1223="",0,H1223)+G1224/Resumen!$B$9)</f>
        <v>1.24388773993611</v>
      </c>
      <c r="I1224" s="26" t="n">
        <f aca="false">IF(H1224="","",H1224-AVERAGE(H1176:H1272))</f>
        <v>0.00415502799025025</v>
      </c>
      <c r="J1224" s="27" t="n">
        <f aca="false">IF(I1224="","",Resumen!$B$10-(MAX(I1176:I1272)-I1224))</f>
        <v>1.78738750944528</v>
      </c>
    </row>
    <row r="1225" customFormat="false" ht="15" hidden="false" customHeight="false" outlineLevel="0" collapsed="false">
      <c r="A1225" s="24" t="n">
        <v>46274.1354166667</v>
      </c>
      <c r="B1225" s="10" t="n">
        <v>2.6077</v>
      </c>
      <c r="C1225" s="10" t="n">
        <v>1.5</v>
      </c>
      <c r="D1225" s="10" t="n">
        <f aca="false">IF(OR(B1225="",C1225="",B1225&lt;=0.05,C1225&lt;=0.05),0,1)</f>
        <v>1</v>
      </c>
      <c r="E1225" s="25" t="n">
        <f aca="false">IF(OR(A1225&lt;Resumen!$B$6,A1225&gt;=Resumen!$B$7),0,MAX(0,AVERAGEIFS(B1177:B1273,D1177:D1273,1)-Resumen!$B$5*AVERAGEIFS(C1177:C1273,D1177:D1273,1)))</f>
        <v>0.56597892886598</v>
      </c>
      <c r="F1225" s="10" t="n">
        <f aca="false">IF(B1225="","",(B1225-E1225)/Resumen!$B$5)</f>
        <v>1.62170061249724</v>
      </c>
      <c r="G1225" s="10" t="n">
        <f aca="false">IF(OR(F1225="",C1225=""),0,(F1225-C1225)*0.9)</f>
        <v>0.109530551247513</v>
      </c>
      <c r="H1225" s="26" t="n">
        <f aca="false">IF(A1225&lt;Resumen!$B$11,"",IF(H1224="",0,H1224)+G1225/Resumen!$B$9)</f>
        <v>1.24906512750168</v>
      </c>
      <c r="I1225" s="26" t="n">
        <f aca="false">IF(H1225="","",H1225-AVERAGE(H1177:H1273))</f>
        <v>0.00896698884972924</v>
      </c>
      <c r="J1225" s="27" t="n">
        <f aca="false">IF(I1225="","",Resumen!$B$10-(MAX(I1177:I1273)-I1225))</f>
        <v>1.79219947030476</v>
      </c>
    </row>
    <row r="1226" customFormat="false" ht="15" hidden="false" customHeight="false" outlineLevel="0" collapsed="false">
      <c r="A1226" s="24" t="n">
        <v>46274.1458333333</v>
      </c>
      <c r="B1226" s="10" t="n">
        <v>2.6487</v>
      </c>
      <c r="C1226" s="10" t="n">
        <v>1.5275</v>
      </c>
      <c r="D1226" s="10" t="n">
        <f aca="false">IF(OR(B1226="",C1226="",B1226&lt;=0.05,C1226&lt;=0.05),0,1)</f>
        <v>1</v>
      </c>
      <c r="E1226" s="25" t="n">
        <f aca="false">IF(OR(A1226&lt;Resumen!$B$6,A1226&gt;=Resumen!$B$7),0,MAX(0,AVERAGEIFS(B1178:B1274,D1178:D1274,1)-Resumen!$B$5*AVERAGEIFS(C1178:C1274,D1178:D1274,1)))</f>
        <v>0.568565449484536</v>
      </c>
      <c r="F1226" s="10" t="n">
        <f aca="false">IF(B1226="","",(B1226-E1226)/Resumen!$B$5)</f>
        <v>1.65221171605676</v>
      </c>
      <c r="G1226" s="10" t="n">
        <f aca="false">IF(OR(F1226="",C1226=""),0,(F1226-C1226)*0.9)</f>
        <v>0.112240544451086</v>
      </c>
      <c r="H1226" s="26" t="n">
        <f aca="false">IF(A1226&lt;Resumen!$B$11,"",IF(H1225="",0,H1225)+G1226/Resumen!$B$9)</f>
        <v>1.25437061343757</v>
      </c>
      <c r="I1226" s="26" t="n">
        <f aca="false">IF(H1226="","",H1226-AVERAGE(H1178:H1274))</f>
        <v>0.0138324944855737</v>
      </c>
      <c r="J1226" s="27" t="n">
        <f aca="false">IF(I1226="","",Resumen!$B$10-(MAX(I1178:I1274)-I1226))</f>
        <v>1.7970649759406</v>
      </c>
    </row>
    <row r="1227" customFormat="false" ht="15" hidden="false" customHeight="false" outlineLevel="0" collapsed="false">
      <c r="A1227" s="24" t="n">
        <v>46274.15625</v>
      </c>
      <c r="B1227" s="10" t="n">
        <v>3.0349</v>
      </c>
      <c r="C1227" s="10" t="n">
        <v>1.8105</v>
      </c>
      <c r="D1227" s="10" t="n">
        <f aca="false">IF(OR(B1227="",C1227="",B1227&lt;=0.05,C1227&lt;=0.05),0,1)</f>
        <v>1</v>
      </c>
      <c r="E1227" s="25" t="n">
        <f aca="false">IF(OR(A1227&lt;Resumen!$B$6,A1227&gt;=Resumen!$B$7),0,MAX(0,AVERAGEIFS(B1179:B1275,D1179:D1275,1)-Resumen!$B$5*AVERAGEIFS(C1179:C1275,D1179:D1275,1)))</f>
        <v>0.569723229896907</v>
      </c>
      <c r="F1227" s="10" t="n">
        <f aca="false">IF(B1227="","",(B1227-E1227)/Resumen!$B$5)</f>
        <v>1.95804350286187</v>
      </c>
      <c r="G1227" s="10" t="n">
        <f aca="false">IF(OR(F1227="",C1227=""),0,(F1227-C1227)*0.9)</f>
        <v>0.132789152575682</v>
      </c>
      <c r="H1227" s="26" t="n">
        <f aca="false">IF(A1227&lt;Resumen!$B$11,"",IF(H1226="",0,H1226)+G1227/Resumen!$B$9)</f>
        <v>1.26064740926812</v>
      </c>
      <c r="I1227" s="26" t="n">
        <f aca="false">IF(H1227="","",H1227-AVERAGE(H1179:H1275))</f>
        <v>0.0196441108537893</v>
      </c>
      <c r="J1227" s="27" t="n">
        <f aca="false">IF(I1227="","",Resumen!$B$10-(MAX(I1179:I1275)-I1227))</f>
        <v>1.80287659230882</v>
      </c>
    </row>
    <row r="1228" customFormat="false" ht="15" hidden="false" customHeight="false" outlineLevel="0" collapsed="false">
      <c r="A1228" s="24" t="n">
        <v>46274.1666666667</v>
      </c>
      <c r="B1228" s="10" t="n">
        <v>2.9222</v>
      </c>
      <c r="C1228" s="10" t="n">
        <v>1.671</v>
      </c>
      <c r="D1228" s="10" t="n">
        <f aca="false">IF(OR(B1228="",C1228="",B1228&lt;=0.05,C1228&lt;=0.05),0,1)</f>
        <v>1</v>
      </c>
      <c r="E1228" s="25" t="n">
        <f aca="false">IF(OR(A1228&lt;Resumen!$B$6,A1228&gt;=Resumen!$B$7),0,MAX(0,AVERAGEIFS(B1180:B1276,D1180:D1276,1)-Resumen!$B$5*AVERAGEIFS(C1180:C1276,D1180:D1276,1)))</f>
        <v>0.574814755670103</v>
      </c>
      <c r="F1228" s="10" t="n">
        <f aca="false">IF(B1228="","",(B1228-E1228)/Resumen!$B$5)</f>
        <v>1.86448391130254</v>
      </c>
      <c r="G1228" s="10" t="n">
        <f aca="false">IF(OR(F1228="",C1228=""),0,(F1228-C1228)*0.9)</f>
        <v>0.174135520172286</v>
      </c>
      <c r="H1228" s="26" t="n">
        <f aca="false">IF(A1228&lt;Resumen!$B$11,"",IF(H1227="",0,H1227)+G1228/Resumen!$B$9)</f>
        <v>1.26887860199559</v>
      </c>
      <c r="I1228" s="26" t="n">
        <f aca="false">IF(H1228="","",H1228-AVERAGE(H1180:H1276))</f>
        <v>0.027249880072405</v>
      </c>
      <c r="J1228" s="27" t="n">
        <f aca="false">IF(I1228="","",Resumen!$B$10-(MAX(I1180:I1276)-I1228))</f>
        <v>1.81048236152743</v>
      </c>
    </row>
    <row r="1229" customFormat="false" ht="15" hidden="false" customHeight="false" outlineLevel="0" collapsed="false">
      <c r="A1229" s="24" t="n">
        <v>46274.1770833333</v>
      </c>
      <c r="B1229" s="10" t="n">
        <v>2.8134</v>
      </c>
      <c r="C1229" s="10" t="n">
        <v>1.678</v>
      </c>
      <c r="D1229" s="10" t="n">
        <f aca="false">IF(OR(B1229="",C1229="",B1229&lt;=0.05,C1229&lt;=0.05),0,1)</f>
        <v>1</v>
      </c>
      <c r="E1229" s="25" t="n">
        <f aca="false">IF(OR(A1229&lt;Resumen!$B$6,A1229&gt;=Resumen!$B$7),0,MAX(0,AVERAGEIFS(B1181:B1277,D1181:D1277,1)-Resumen!$B$5*AVERAGEIFS(C1181:C1277,D1181:D1277,1)))</f>
        <v>0.579285992783505</v>
      </c>
      <c r="F1229" s="10" t="n">
        <f aca="false">IF(B1229="","",(B1229-E1229)/Resumen!$B$5)</f>
        <v>1.77451469993367</v>
      </c>
      <c r="G1229" s="10" t="n">
        <f aca="false">IF(OR(F1229="",C1229=""),0,(F1229-C1229)*0.9)</f>
        <v>0.0868632299403063</v>
      </c>
      <c r="H1229" s="26" t="n">
        <f aca="false">IF(A1229&lt;Resumen!$B$11,"",IF(H1228="",0,H1228)+G1229/Resumen!$B$9)</f>
        <v>1.27298453044638</v>
      </c>
      <c r="I1229" s="26" t="n">
        <f aca="false">IF(H1229="","",H1229-AVERAGE(H1181:H1277))</f>
        <v>0.0305906451487274</v>
      </c>
      <c r="J1229" s="27" t="n">
        <f aca="false">IF(I1229="","",Resumen!$B$10-(MAX(I1181:I1277)-I1229))</f>
        <v>1.81382312660376</v>
      </c>
    </row>
    <row r="1230" customFormat="false" ht="15" hidden="false" customHeight="false" outlineLevel="0" collapsed="false">
      <c r="A1230" s="24" t="n">
        <v>46274.1875</v>
      </c>
      <c r="B1230" s="10" t="n">
        <v>3.2639</v>
      </c>
      <c r="C1230" s="10" t="n">
        <v>2.3069</v>
      </c>
      <c r="D1230" s="10" t="n">
        <f aca="false">IF(OR(B1230="",C1230="",B1230&lt;=0.05,C1230&lt;=0.05),0,1)</f>
        <v>1</v>
      </c>
      <c r="E1230" s="25" t="n">
        <f aca="false">IF(OR(A1230&lt;Resumen!$B$6,A1230&gt;=Resumen!$B$7),0,MAX(0,AVERAGEIFS(B1182:B1278,D1182:D1278,1)-Resumen!$B$5*AVERAGEIFS(C1182:C1278,D1182:D1278,1)))</f>
        <v>0.577574545360826</v>
      </c>
      <c r="F1230" s="10" t="n">
        <f aca="false">IF(B1230="","",(B1230-E1230)/Resumen!$B$5)</f>
        <v>2.13369773998346</v>
      </c>
      <c r="G1230" s="10" t="n">
        <f aca="false">IF(OR(F1230="",C1230=""),0,(F1230-C1230)*0.9)</f>
        <v>-0.155882034014887</v>
      </c>
      <c r="H1230" s="26" t="n">
        <f aca="false">IF(A1230&lt;Resumen!$B$11,"",IF(H1229="",0,H1229)+G1230/Resumen!$B$9)</f>
        <v>1.26561615974604</v>
      </c>
      <c r="I1230" s="26" t="n">
        <f aca="false">IF(H1230="","",H1230-AVERAGE(H1182:H1278))</f>
        <v>0.0225256221469297</v>
      </c>
      <c r="J1230" s="27" t="n">
        <f aca="false">IF(I1230="","",Resumen!$B$10-(MAX(I1182:I1278)-I1230))</f>
        <v>1.80575810360196</v>
      </c>
    </row>
    <row r="1231" customFormat="false" ht="15" hidden="false" customHeight="false" outlineLevel="0" collapsed="false">
      <c r="A1231" s="24" t="n">
        <v>46274.1979166667</v>
      </c>
      <c r="B1231" s="10" t="n">
        <v>2.5888</v>
      </c>
      <c r="C1231" s="10" t="n">
        <v>1.4636</v>
      </c>
      <c r="D1231" s="10" t="n">
        <f aca="false">IF(OR(B1231="",C1231="",B1231&lt;=0.05,C1231&lt;=0.05),0,1)</f>
        <v>1</v>
      </c>
      <c r="E1231" s="25" t="n">
        <f aca="false">IF(OR(A1231&lt;Resumen!$B$6,A1231&gt;=Resumen!$B$7),0,MAX(0,AVERAGEIFS(B1183:B1279,D1183:D1279,1)-Resumen!$B$5*AVERAGEIFS(C1183:C1279,D1183:D1279,1)))</f>
        <v>0.577388192783505</v>
      </c>
      <c r="F1231" s="10" t="n">
        <f aca="false">IF(B1231="","",(B1231-E1231)/Resumen!$B$5)</f>
        <v>1.59762653472319</v>
      </c>
      <c r="G1231" s="10" t="n">
        <f aca="false">IF(OR(F1231="",C1231=""),0,(F1231-C1231)*0.9)</f>
        <v>0.12062388125087</v>
      </c>
      <c r="H1231" s="26" t="n">
        <f aca="false">IF(A1231&lt;Resumen!$B$11,"",IF(H1230="",0,H1230)+G1231/Resumen!$B$9)</f>
        <v>1.27131791670596</v>
      </c>
      <c r="I1231" s="26" t="n">
        <f aca="false">IF(H1231="","",H1231-AVERAGE(H1183:H1279))</f>
        <v>0.0275516164576395</v>
      </c>
      <c r="J1231" s="27" t="n">
        <f aca="false">IF(I1231="","",Resumen!$B$10-(MAX(I1183:I1279)-I1231))</f>
        <v>1.81078409791267</v>
      </c>
    </row>
    <row r="1232" customFormat="false" ht="15" hidden="false" customHeight="false" outlineLevel="0" collapsed="false">
      <c r="A1232" s="24" t="n">
        <v>46274.2083333333</v>
      </c>
      <c r="B1232" s="10" t="n">
        <v>3.6456</v>
      </c>
      <c r="C1232" s="10" t="n">
        <v>2.1658</v>
      </c>
      <c r="D1232" s="10" t="n">
        <f aca="false">IF(OR(B1232="",C1232="",B1232&lt;=0.05,C1232&lt;=0.05),0,1)</f>
        <v>1</v>
      </c>
      <c r="E1232" s="25" t="n">
        <f aca="false">IF(OR(A1232&lt;Resumen!$B$6,A1232&gt;=Resumen!$B$7),0,MAX(0,AVERAGEIFS(B1184:B1280,D1184:D1280,1)-Resumen!$B$5*AVERAGEIFS(C1184:C1280,D1184:D1280,1)))</f>
        <v>0.572762165979381</v>
      </c>
      <c r="F1232" s="10" t="n">
        <f aca="false">IF(B1232="","",(B1232-E1232)/Resumen!$B$5)</f>
        <v>2.44069724703782</v>
      </c>
      <c r="G1232" s="10" t="n">
        <f aca="false">IF(OR(F1232="",C1232=""),0,(F1232-C1232)*0.9)</f>
        <v>0.247407522334041</v>
      </c>
      <c r="H1232" s="26" t="n">
        <f aca="false">IF(A1232&lt;Resumen!$B$11,"",IF(H1231="",0,H1231)+G1232/Resumen!$B$9)</f>
        <v>1.283012595635</v>
      </c>
      <c r="I1232" s="26" t="n">
        <f aca="false">IF(H1232="","",H1232-AVERAGE(H1184:H1280))</f>
        <v>0.0387416120950639</v>
      </c>
      <c r="J1232" s="27" t="n">
        <f aca="false">IF(I1232="","",Resumen!$B$10-(MAX(I1184:I1280)-I1232))</f>
        <v>1.82197409355009</v>
      </c>
    </row>
    <row r="1233" customFormat="false" ht="15" hidden="false" customHeight="false" outlineLevel="0" collapsed="false">
      <c r="A1233" s="24" t="n">
        <v>46274.21875</v>
      </c>
      <c r="B1233" s="10" t="n">
        <v>4.0528</v>
      </c>
      <c r="C1233" s="10" t="n">
        <v>2.7059</v>
      </c>
      <c r="D1233" s="10" t="n">
        <f aca="false">IF(OR(B1233="",C1233="",B1233&lt;=0.05,C1233&lt;=0.05),0,1)</f>
        <v>1</v>
      </c>
      <c r="E1233" s="25" t="n">
        <f aca="false">IF(OR(A1233&lt;Resumen!$B$6,A1233&gt;=Resumen!$B$7),0,MAX(0,AVERAGEIFS(B1185:B1281,D1185:D1281,1)-Resumen!$B$5*AVERAGEIFS(C1185:C1281,D1185:D1281,1)))</f>
        <v>0.574831098969073</v>
      </c>
      <c r="F1233" s="10" t="n">
        <f aca="false">IF(B1233="","",(B1233-E1233)/Resumen!$B$5)</f>
        <v>2.76248522718898</v>
      </c>
      <c r="G1233" s="10" t="n">
        <f aca="false">IF(OR(F1233="",C1233=""),0,(F1233-C1233)*0.9)</f>
        <v>0.0509267044700834</v>
      </c>
      <c r="H1233" s="26" t="n">
        <f aca="false">IF(A1233&lt;Resumen!$B$11,"",IF(H1232="",0,H1232)+G1233/Resumen!$B$9)</f>
        <v>1.28541984442062</v>
      </c>
      <c r="I1233" s="26" t="n">
        <f aca="false">IF(H1233="","",H1233-AVERAGE(H1185:H1281))</f>
        <v>0.0405880674016177</v>
      </c>
      <c r="J1233" s="27" t="n">
        <f aca="false">IF(I1233="","",Resumen!$B$10-(MAX(I1185:I1281)-I1233))</f>
        <v>1.82382054885665</v>
      </c>
    </row>
    <row r="1234" customFormat="false" ht="15" hidden="false" customHeight="false" outlineLevel="0" collapsed="false">
      <c r="A1234" s="24" t="n">
        <v>46274.2291666667</v>
      </c>
      <c r="B1234" s="10" t="n">
        <v>4.1924</v>
      </c>
      <c r="C1234" s="10" t="n">
        <v>2.4052</v>
      </c>
      <c r="D1234" s="10" t="n">
        <f aca="false">IF(OR(B1234="",C1234="",B1234&lt;=0.05,C1234&lt;=0.05),0,1)</f>
        <v>1</v>
      </c>
      <c r="E1234" s="25" t="n">
        <f aca="false">IF(OR(A1234&lt;Resumen!$B$6,A1234&gt;=Resumen!$B$7),0,MAX(0,AVERAGEIFS(B1186:B1282,D1186:D1282,1)-Resumen!$B$5*AVERAGEIFS(C1186:C1282,D1186:D1282,1)))</f>
        <v>0.574988362886598</v>
      </c>
      <c r="F1234" s="10" t="n">
        <f aca="false">IF(B1234="","",(B1234-E1234)/Resumen!$B$5)</f>
        <v>2.87324196752455</v>
      </c>
      <c r="G1234" s="10" t="n">
        <f aca="false">IF(OR(F1234="",C1234=""),0,(F1234-C1234)*0.9)</f>
        <v>0.421237770772091</v>
      </c>
      <c r="H1234" s="26" t="n">
        <f aca="false">IF(A1234&lt;Resumen!$B$11,"",IF(H1233="",0,H1233)+G1234/Resumen!$B$9)</f>
        <v>1.30533128622115</v>
      </c>
      <c r="I1234" s="26" t="n">
        <f aca="false">IF(H1234="","",H1234-AVERAGE(H1186:H1282))</f>
        <v>0.0599457999548614</v>
      </c>
      <c r="J1234" s="27" t="n">
        <f aca="false">IF(I1234="","",Resumen!$B$10-(MAX(I1186:I1282)-I1234))</f>
        <v>1.84317828140989</v>
      </c>
    </row>
    <row r="1235" customFormat="false" ht="15" hidden="false" customHeight="false" outlineLevel="0" collapsed="false">
      <c r="A1235" s="24" t="n">
        <v>46274.2395833333</v>
      </c>
      <c r="B1235" s="10" t="n">
        <v>4.0695</v>
      </c>
      <c r="C1235" s="10" t="n">
        <v>2.5957</v>
      </c>
      <c r="D1235" s="10" t="n">
        <f aca="false">IF(OR(B1235="",C1235="",B1235&lt;=0.05,C1235&lt;=0.05),0,1)</f>
        <v>1</v>
      </c>
      <c r="E1235" s="25" t="n">
        <f aca="false">IF(OR(A1235&lt;Resumen!$B$6,A1235&gt;=Resumen!$B$7),0,MAX(0,AVERAGEIFS(B1187:B1283,D1187:D1283,1)-Resumen!$B$5*AVERAGEIFS(C1187:C1283,D1187:D1283,1)))</f>
        <v>0.579364475257732</v>
      </c>
      <c r="F1235" s="10" t="n">
        <f aca="false">IF(B1235="","",(B1235-E1235)/Resumen!$B$5)</f>
        <v>2.77214894737273</v>
      </c>
      <c r="G1235" s="10" t="n">
        <f aca="false">IF(OR(F1235="",C1235=""),0,(F1235-C1235)*0.9)</f>
        <v>0.158804052635458</v>
      </c>
      <c r="H1235" s="26" t="n">
        <f aca="false">IF(A1235&lt;Resumen!$B$11,"",IF(H1234="",0,H1234)+G1235/Resumen!$B$9)</f>
        <v>1.3128377774979</v>
      </c>
      <c r="I1235" s="26" t="n">
        <f aca="false">IF(H1235="","",H1235-AVERAGE(H1187:H1283))</f>
        <v>0.0667675185449723</v>
      </c>
      <c r="J1235" s="27" t="n">
        <f aca="false">IF(I1235="","",Resumen!$B$10-(MAX(I1187:I1283)-I1235))</f>
        <v>1.85</v>
      </c>
    </row>
    <row r="1236" customFormat="false" ht="15" hidden="false" customHeight="false" outlineLevel="0" collapsed="false">
      <c r="A1236" s="24" t="n">
        <v>46274.25</v>
      </c>
      <c r="B1236" s="10" t="n">
        <v>4.116</v>
      </c>
      <c r="C1236" s="10" t="n">
        <v>3.1564</v>
      </c>
      <c r="D1236" s="10" t="n">
        <f aca="false">IF(OR(B1236="",C1236="",B1236&lt;=0.05,C1236&lt;=0.05),0,1)</f>
        <v>1</v>
      </c>
      <c r="E1236" s="25" t="n">
        <f aca="false">IF(OR(A1236&lt;Resumen!$B$6,A1236&gt;=Resumen!$B$7),0,MAX(0,AVERAGEIFS(B1188:B1284,D1188:D1284,1)-Resumen!$B$5*AVERAGEIFS(C1188:C1284,D1188:D1284,1)))</f>
        <v>0.581614164948453</v>
      </c>
      <c r="F1236" s="10" t="n">
        <f aca="false">IF(B1236="","",(B1236-E1236)/Resumen!$B$5)</f>
        <v>2.80729613586302</v>
      </c>
      <c r="G1236" s="10" t="n">
        <f aca="false">IF(OR(F1236="",C1236=""),0,(F1236-C1236)*0.9)</f>
        <v>-0.314193477723279</v>
      </c>
      <c r="H1236" s="26" t="n">
        <f aca="false">IF(A1236&lt;Resumen!$B$11,"",IF(H1235="",0,H1235)+G1236/Resumen!$B$9)</f>
        <v>1.29798620059793</v>
      </c>
      <c r="I1236" s="26" t="n">
        <f aca="false">IF(H1236="","",H1236-AVERAGE(H1188:H1284))</f>
        <v>0.0511709015719006</v>
      </c>
      <c r="J1236" s="27" t="n">
        <f aca="false">IF(I1236="","",Resumen!$B$10-(MAX(I1188:I1284)-I1236))</f>
        <v>1.83440338302693</v>
      </c>
    </row>
    <row r="1237" customFormat="false" ht="15" hidden="false" customHeight="false" outlineLevel="0" collapsed="false">
      <c r="A1237" s="24" t="n">
        <v>46274.2604166667</v>
      </c>
      <c r="B1237" s="10" t="n">
        <v>5.0511</v>
      </c>
      <c r="C1237" s="10" t="n">
        <v>3.7808</v>
      </c>
      <c r="D1237" s="10" t="n">
        <f aca="false">IF(OR(B1237="",C1237="",B1237&lt;=0.05,C1237&lt;=0.05),0,1)</f>
        <v>1</v>
      </c>
      <c r="E1237" s="25" t="n">
        <f aca="false">IF(OR(A1237&lt;Resumen!$B$6,A1237&gt;=Resumen!$B$7),0,MAX(0,AVERAGEIFS(B1189:B1285,D1189:D1285,1)-Resumen!$B$5*AVERAGEIFS(C1189:C1285,D1189:D1285,1)))</f>
        <v>0.576787740206187</v>
      </c>
      <c r="F1237" s="10" t="n">
        <f aca="false">IF(B1237="","",(B1237-E1237)/Resumen!$B$5)</f>
        <v>3.55386200142479</v>
      </c>
      <c r="G1237" s="10" t="n">
        <f aca="false">IF(OR(F1237="",C1237=""),0,(F1237-C1237)*0.9)</f>
        <v>-0.204244198717687</v>
      </c>
      <c r="H1237" s="26" t="n">
        <f aca="false">IF(A1237&lt;Resumen!$B$11,"",IF(H1236="",0,H1236)+G1237/Resumen!$B$9)</f>
        <v>1.28833180405983</v>
      </c>
      <c r="I1237" s="26" t="n">
        <f aca="false">IF(H1237="","",H1237-AVERAGE(H1189:H1285))</f>
        <v>0.0409530598431436</v>
      </c>
      <c r="J1237" s="27" t="n">
        <f aca="false">IF(I1237="","",Resumen!$B$10-(MAX(I1189:I1285)-I1237))</f>
        <v>1.82418554129817</v>
      </c>
    </row>
    <row r="1238" customFormat="false" ht="15" hidden="false" customHeight="false" outlineLevel="0" collapsed="false">
      <c r="A1238" s="24" t="n">
        <v>46274.2708333333</v>
      </c>
      <c r="B1238" s="10" t="n">
        <v>5.1083</v>
      </c>
      <c r="C1238" s="10" t="n">
        <v>3.3497</v>
      </c>
      <c r="D1238" s="10" t="n">
        <f aca="false">IF(OR(B1238="",C1238="",B1238&lt;=0.05,C1238&lt;=0.05),0,1)</f>
        <v>1</v>
      </c>
      <c r="E1238" s="25" t="n">
        <f aca="false">IF(OR(A1238&lt;Resumen!$B$6,A1238&gt;=Resumen!$B$7),0,MAX(0,AVERAGEIFS(B1190:B1286,D1190:D1286,1)-Resumen!$B$5*AVERAGEIFS(C1190:C1286,D1190:D1286,1)))</f>
        <v>0.570405708247423</v>
      </c>
      <c r="F1238" s="10" t="n">
        <f aca="false">IF(B1238="","",(B1238-E1238)/Resumen!$B$5)</f>
        <v>3.60436401251198</v>
      </c>
      <c r="G1238" s="10" t="n">
        <f aca="false">IF(OR(F1238="",C1238=""),0,(F1238-C1238)*0.9)</f>
        <v>0.229197611260778</v>
      </c>
      <c r="H1238" s="26" t="n">
        <f aca="false">IF(A1238&lt;Resumen!$B$11,"",IF(H1237="",0,H1237)+G1238/Resumen!$B$9)</f>
        <v>1.2991657207076</v>
      </c>
      <c r="I1238" s="26" t="n">
        <f aca="false">IF(H1238="","",H1238-AVERAGE(H1190:H1286))</f>
        <v>0.0514598401415385</v>
      </c>
      <c r="J1238" s="27" t="n">
        <f aca="false">IF(I1238="","",Resumen!$B$10-(MAX(I1190:I1286)-I1238))</f>
        <v>1.83469232159657</v>
      </c>
    </row>
    <row r="1239" customFormat="false" ht="15" hidden="false" customHeight="false" outlineLevel="0" collapsed="false">
      <c r="A1239" s="24" t="n">
        <v>46274.28125</v>
      </c>
      <c r="B1239" s="10" t="n">
        <v>4.4668</v>
      </c>
      <c r="C1239" s="10" t="n">
        <v>2.9382</v>
      </c>
      <c r="D1239" s="10" t="n">
        <f aca="false">IF(OR(B1239="",C1239="",B1239&lt;=0.05,C1239&lt;=0.05),0,1)</f>
        <v>1</v>
      </c>
      <c r="E1239" s="25" t="n">
        <f aca="false">IF(OR(A1239&lt;Resumen!$B$6,A1239&gt;=Resumen!$B$7),0,MAX(0,AVERAGEIFS(B1191:B1287,D1191:D1287,1)-Resumen!$B$5*AVERAGEIFS(C1191:C1287,D1191:D1287,1)))</f>
        <v>0.570421840206186</v>
      </c>
      <c r="F1239" s="10" t="n">
        <f aca="false">IF(B1239="","",(B1239-E1239)/Resumen!$B$5)</f>
        <v>3.09481982509437</v>
      </c>
      <c r="G1239" s="10" t="n">
        <f aca="false">IF(OR(F1239="",C1239=""),0,(F1239-C1239)*0.9)</f>
        <v>0.140957842584935</v>
      </c>
      <c r="H1239" s="26" t="n">
        <f aca="false">IF(A1239&lt;Resumen!$B$11,"",IF(H1238="",0,H1238)+G1239/Resumen!$B$9)</f>
        <v>1.30582864144667</v>
      </c>
      <c r="I1239" s="26" t="n">
        <f aca="false">IF(H1239="","",H1239-AVERAGE(H1191:H1287))</f>
        <v>0.0578114223837578</v>
      </c>
      <c r="J1239" s="27" t="n">
        <f aca="false">IF(I1239="","",Resumen!$B$10-(MAX(I1191:I1287)-I1239))</f>
        <v>1.84104390383879</v>
      </c>
    </row>
    <row r="1240" customFormat="false" ht="15" hidden="false" customHeight="false" outlineLevel="0" collapsed="false">
      <c r="A1240" s="24" t="n">
        <v>46274.2916666667</v>
      </c>
      <c r="B1240" s="10" t="n">
        <v>4.4586</v>
      </c>
      <c r="C1240" s="10" t="n">
        <v>3.4824</v>
      </c>
      <c r="D1240" s="10" t="n">
        <f aca="false">IF(OR(B1240="",C1240="",B1240&lt;=0.05,C1240&lt;=0.05),0,1)</f>
        <v>1</v>
      </c>
      <c r="E1240" s="25" t="n">
        <f aca="false">IF(OR(A1240&lt;Resumen!$B$6,A1240&gt;=Resumen!$B$7),0,MAX(0,AVERAGEIFS(B1192:B1288,D1192:D1288,1)-Resumen!$B$5*AVERAGEIFS(C1192:C1288,D1192:D1288,1)))</f>
        <v>0.56588133814433</v>
      </c>
      <c r="F1240" s="10" t="n">
        <f aca="false">IF(B1240="","",(B1240-E1240)/Resumen!$B$5)</f>
        <v>3.09191315477019</v>
      </c>
      <c r="G1240" s="10" t="n">
        <f aca="false">IF(OR(F1240="",C1240=""),0,(F1240-C1240)*0.9)</f>
        <v>-0.351438160706828</v>
      </c>
      <c r="H1240" s="26" t="n">
        <f aca="false">IF(A1240&lt;Resumen!$B$11,"",IF(H1239="",0,H1239)+G1240/Resumen!$B$9)</f>
        <v>1.28921654972809</v>
      </c>
      <c r="I1240" s="26" t="n">
        <f aca="false">IF(H1240="","",H1240-AVERAGE(H1192:H1288))</f>
        <v>0.0410566699096702</v>
      </c>
      <c r="J1240" s="27" t="n">
        <f aca="false">IF(I1240="","",Resumen!$B$10-(MAX(I1192:I1288)-I1240))</f>
        <v>1.8242891513647</v>
      </c>
    </row>
    <row r="1241" customFormat="false" ht="15" hidden="false" customHeight="false" outlineLevel="0" collapsed="false">
      <c r="A1241" s="24" t="n">
        <v>46274.3020833333</v>
      </c>
      <c r="B1241" s="10" t="n">
        <v>5.1083</v>
      </c>
      <c r="C1241" s="10" t="n">
        <v>3.4851</v>
      </c>
      <c r="D1241" s="10" t="n">
        <f aca="false">IF(OR(B1241="",C1241="",B1241&lt;=0.05,C1241&lt;=0.05),0,1)</f>
        <v>1</v>
      </c>
      <c r="E1241" s="25" t="n">
        <f aca="false">IF(OR(A1241&lt;Resumen!$B$6,A1241&gt;=Resumen!$B$7),0,MAX(0,AVERAGEIFS(B1193:B1289,D1193:D1289,1)-Resumen!$B$5*AVERAGEIFS(C1193:C1289,D1193:D1289,1)))</f>
        <v>0.563172538144331</v>
      </c>
      <c r="F1241" s="10" t="n">
        <f aca="false">IF(B1241="","",(B1241-E1241)/Resumen!$B$5)</f>
        <v>3.61010918336431</v>
      </c>
      <c r="G1241" s="10" t="n">
        <f aca="false">IF(OR(F1241="",C1241=""),0,(F1241-C1241)*0.9)</f>
        <v>0.112508265027881</v>
      </c>
      <c r="H1241" s="26" t="n">
        <f aca="false">IF(A1241&lt;Resumen!$B$11,"",IF(H1240="",0,H1240)+G1241/Resumen!$B$9)</f>
        <v>1.29453469051844</v>
      </c>
      <c r="I1241" s="26" t="n">
        <f aca="false">IF(H1241="","",H1241-AVERAGE(H1193:H1289))</f>
        <v>0.0463434006046561</v>
      </c>
      <c r="J1241" s="27" t="n">
        <f aca="false">IF(I1241="","",Resumen!$B$10-(MAX(I1193:I1289)-I1241))</f>
        <v>1.82957588205968</v>
      </c>
    </row>
    <row r="1242" customFormat="false" ht="15" hidden="false" customHeight="false" outlineLevel="0" collapsed="false">
      <c r="A1242" s="24" t="n">
        <v>46274.3125</v>
      </c>
      <c r="B1242" s="10" t="n">
        <v>5.1286</v>
      </c>
      <c r="C1242" s="10" t="n">
        <v>3.5211</v>
      </c>
      <c r="D1242" s="10" t="n">
        <f aca="false">IF(OR(B1242="",C1242="",B1242&lt;=0.05,C1242&lt;=0.05),0,1)</f>
        <v>1</v>
      </c>
      <c r="E1242" s="25" t="n">
        <f aca="false">IF(OR(A1242&lt;Resumen!$B$6,A1242&gt;=Resumen!$B$7),0,MAX(0,AVERAGEIFS(B1194:B1290,D1194:D1290,1)-Resumen!$B$5*AVERAGEIFS(C1194:C1290,D1194:D1290,1)))</f>
        <v>0.558325100000001</v>
      </c>
      <c r="F1242" s="10" t="n">
        <f aca="false">IF(B1242="","",(B1242-E1242)/Resumen!$B$5)</f>
        <v>3.63008332009531</v>
      </c>
      <c r="G1242" s="10" t="n">
        <f aca="false">IF(OR(F1242="",C1242=""),0,(F1242-C1242)*0.9)</f>
        <v>0.0980849880857815</v>
      </c>
      <c r="H1242" s="26" t="n">
        <f aca="false">IF(A1242&lt;Resumen!$B$11,"",IF(H1241="",0,H1241)+G1242/Resumen!$B$9)</f>
        <v>1.29917105901929</v>
      </c>
      <c r="I1242" s="26" t="n">
        <f aca="false">IF(H1242="","",H1242-AVERAGE(H1194:H1290))</f>
        <v>0.0511296489688895</v>
      </c>
      <c r="J1242" s="27" t="n">
        <f aca="false">IF(I1242="","",Resumen!$B$10-(MAX(I1194:I1290)-I1242))</f>
        <v>1.83436213042392</v>
      </c>
    </row>
    <row r="1243" customFormat="false" ht="15" hidden="false" customHeight="false" outlineLevel="0" collapsed="false">
      <c r="A1243" s="24" t="n">
        <v>46274.3229166667</v>
      </c>
      <c r="B1243" s="10" t="n">
        <v>5.011</v>
      </c>
      <c r="C1243" s="10" t="n">
        <v>3.7273</v>
      </c>
      <c r="D1243" s="10" t="n">
        <f aca="false">IF(OR(B1243="",C1243="",B1243&lt;=0.05,C1243&lt;=0.05),0,1)</f>
        <v>1</v>
      </c>
      <c r="E1243" s="25" t="n">
        <f aca="false">IF(OR(A1243&lt;Resumen!$B$6,A1243&gt;=Resumen!$B$7),0,MAX(0,AVERAGEIFS(B1195:B1291,D1195:D1291,1)-Resumen!$B$5*AVERAGEIFS(C1195:C1291,D1195:D1291,1)))</f>
        <v>0.559080141237113</v>
      </c>
      <c r="F1243" s="10" t="n">
        <f aca="false">IF(B1243="","",(B1243-E1243)/Resumen!$B$5)</f>
        <v>3.53607613881087</v>
      </c>
      <c r="G1243" s="10" t="n">
        <f aca="false">IF(OR(F1243="",C1243=""),0,(F1243-C1243)*0.9)</f>
        <v>-0.172101475070216</v>
      </c>
      <c r="H1243" s="26" t="n">
        <f aca="false">IF(A1243&lt;Resumen!$B$11,"",IF(H1242="",0,H1242)+G1243/Resumen!$B$9)</f>
        <v>1.29103601334576</v>
      </c>
      <c r="I1243" s="26" t="n">
        <f aca="false">IF(H1243="","",H1243-AVERAGE(H1195:H1291))</f>
        <v>0.0431374725312304</v>
      </c>
      <c r="J1243" s="27" t="n">
        <f aca="false">IF(I1243="","",Resumen!$B$10-(MAX(I1195:I1291)-I1243))</f>
        <v>1.82636995398626</v>
      </c>
    </row>
    <row r="1244" customFormat="false" ht="15" hidden="false" customHeight="false" outlineLevel="0" collapsed="false">
      <c r="A1244" s="24" t="n">
        <v>46274.3333333333</v>
      </c>
      <c r="B1244" s="10" t="n">
        <v>4.3577</v>
      </c>
      <c r="C1244" s="10" t="n">
        <v>2.9055</v>
      </c>
      <c r="D1244" s="10" t="n">
        <f aca="false">IF(OR(B1244="",C1244="",B1244&lt;=0.05,C1244&lt;=0.05),0,1)</f>
        <v>1</v>
      </c>
      <c r="E1244" s="25" t="n">
        <f aca="false">IF(OR(A1244&lt;Resumen!$B$6,A1244&gt;=Resumen!$B$7),0,MAX(0,AVERAGEIFS(B1196:B1292,D1196:D1292,1)-Resumen!$B$5*AVERAGEIFS(C1196:C1292,D1196:D1292,1)))</f>
        <v>0.553064711340207</v>
      </c>
      <c r="F1244" s="10" t="n">
        <f aca="false">IF(B1244="","",(B1244-E1244)/Resumen!$B$5)</f>
        <v>3.02195018956298</v>
      </c>
      <c r="G1244" s="10" t="n">
        <f aca="false">IF(OR(F1244="",C1244=""),0,(F1244-C1244)*0.9)</f>
        <v>0.104805170606684</v>
      </c>
      <c r="H1244" s="26" t="n">
        <f aca="false">IF(A1244&lt;Resumen!$B$11,"",IF(H1243="",0,H1243)+G1244/Resumen!$B$9)</f>
        <v>1.29599003741417</v>
      </c>
      <c r="I1244" s="26" t="n">
        <f aca="false">IF(H1244="","",H1244-AVERAGE(H1196:H1292))</f>
        <v>0.0484608562472029</v>
      </c>
      <c r="J1244" s="27" t="n">
        <f aca="false">IF(I1244="","",Resumen!$B$10-(MAX(I1196:I1292)-I1244))</f>
        <v>1.83169333770223</v>
      </c>
    </row>
    <row r="1245" customFormat="false" ht="15" hidden="false" customHeight="false" outlineLevel="0" collapsed="false">
      <c r="A1245" s="24" t="n">
        <v>46274.34375</v>
      </c>
      <c r="B1245" s="10" t="n">
        <v>5.2741</v>
      </c>
      <c r="C1245" s="10" t="n">
        <v>3.9933</v>
      </c>
      <c r="D1245" s="10" t="n">
        <f aca="false">IF(OR(B1245="",C1245="",B1245&lt;=0.05,C1245&lt;=0.05),0,1)</f>
        <v>1</v>
      </c>
      <c r="E1245" s="25" t="n">
        <f aca="false">IF(OR(A1245&lt;Resumen!$B$6,A1245&gt;=Resumen!$B$7),0,MAX(0,AVERAGEIFS(B1197:B1293,D1197:D1293,1)-Resumen!$B$5*AVERAGEIFS(C1197:C1293,D1197:D1293,1)))</f>
        <v>0.547512723711341</v>
      </c>
      <c r="F1245" s="10" t="n">
        <f aca="false">IF(B1245="","",(B1245-E1245)/Resumen!$B$5)</f>
        <v>3.75423929808472</v>
      </c>
      <c r="G1245" s="10" t="n">
        <f aca="false">IF(OR(F1245="",C1245=""),0,(F1245-C1245)*0.9)</f>
        <v>-0.215154631723754</v>
      </c>
      <c r="H1245" s="26" t="n">
        <f aca="false">IF(A1245&lt;Resumen!$B$11,"",IF(H1244="",0,H1244)+G1245/Resumen!$B$9)</f>
        <v>1.28581991681975</v>
      </c>
      <c r="I1245" s="26" t="n">
        <f aca="false">IF(H1245="","",H1245-AVERAGE(H1197:H1293))</f>
        <v>0.0388720331726828</v>
      </c>
      <c r="J1245" s="27" t="n">
        <f aca="false">IF(I1245="","",Resumen!$B$10-(MAX(I1197:I1293)-I1245))</f>
        <v>1.82210451462771</v>
      </c>
    </row>
    <row r="1246" customFormat="false" ht="15" hidden="false" customHeight="false" outlineLevel="0" collapsed="false">
      <c r="A1246" s="24" t="n">
        <v>46274.3541666667</v>
      </c>
      <c r="B1246" s="10" t="n">
        <v>5.8567</v>
      </c>
      <c r="C1246" s="10" t="n">
        <v>4.6895</v>
      </c>
      <c r="D1246" s="10" t="n">
        <f aca="false">IF(OR(B1246="",C1246="",B1246&lt;=0.05,C1246&lt;=0.05),0,1)</f>
        <v>1</v>
      </c>
      <c r="E1246" s="25" t="n">
        <f aca="false">IF(OR(A1246&lt;Resumen!$B$6,A1246&gt;=Resumen!$B$7),0,MAX(0,AVERAGEIFS(B1198:B1294,D1198:D1294,1)-Resumen!$B$5*AVERAGEIFS(C1198:C1294,D1198:D1294,1)))</f>
        <v>0.551975486597938</v>
      </c>
      <c r="F1246" s="10" t="n">
        <f aca="false">IF(B1246="","",(B1246-E1246)/Resumen!$B$5)</f>
        <v>4.21344282240037</v>
      </c>
      <c r="G1246" s="10" t="n">
        <f aca="false">IF(OR(F1246="",C1246=""),0,(F1246-C1246)*0.9)</f>
        <v>-0.428451459839669</v>
      </c>
      <c r="H1246" s="26" t="n">
        <f aca="false">IF(A1246&lt;Resumen!$B$11,"",IF(H1245="",0,H1245)+G1246/Resumen!$B$9)</f>
        <v>1.26556749194505</v>
      </c>
      <c r="I1246" s="26" t="n">
        <f aca="false">IF(H1246="","",H1246-AVERAGE(H1198:H1294))</f>
        <v>0.0190767662512543</v>
      </c>
      <c r="J1246" s="27" t="n">
        <f aca="false">IF(I1246="","",Resumen!$B$10-(MAX(I1198:I1294)-I1246))</f>
        <v>1.80230924770628</v>
      </c>
    </row>
    <row r="1247" customFormat="false" ht="15" hidden="false" customHeight="false" outlineLevel="0" collapsed="false">
      <c r="A1247" s="24" t="n">
        <v>46274.3645833333</v>
      </c>
      <c r="B1247" s="10" t="n">
        <v>6.85</v>
      </c>
      <c r="C1247" s="10" t="n">
        <v>4.5654</v>
      </c>
      <c r="D1247" s="10" t="n">
        <f aca="false">IF(OR(B1247="",C1247="",B1247&lt;=0.05,C1247&lt;=0.05),0,1)</f>
        <v>1</v>
      </c>
      <c r="E1247" s="25" t="n">
        <f aca="false">IF(OR(A1247&lt;Resumen!$B$6,A1247&gt;=Resumen!$B$7),0,MAX(0,AVERAGEIFS(B1199:B1295,D1199:D1295,1)-Resumen!$B$5*AVERAGEIFS(C1199:C1295,D1199:D1295,1)))</f>
        <v>0.549136449484537</v>
      </c>
      <c r="F1247" s="10" t="n">
        <f aca="false">IF(B1247="","",(B1247-E1247)/Resumen!$B$5)</f>
        <v>5.00465730779624</v>
      </c>
      <c r="G1247" s="10" t="n">
        <f aca="false">IF(OR(F1247="",C1247=""),0,(F1247-C1247)*0.9)</f>
        <v>0.395331577016614</v>
      </c>
      <c r="H1247" s="26" t="n">
        <f aca="false">IF(A1247&lt;Resumen!$B$11,"",IF(H1246="",0,H1246)+G1247/Resumen!$B$9)</f>
        <v>1.2842543767257</v>
      </c>
      <c r="I1247" s="26" t="n">
        <f aca="false">IF(H1247="","",H1247-AVERAGE(H1199:H1295))</f>
        <v>0.0383498127734891</v>
      </c>
      <c r="J1247" s="27" t="n">
        <f aca="false">IF(I1247="","",Resumen!$B$10-(MAX(I1199:I1295)-I1247))</f>
        <v>1.82158229422852</v>
      </c>
    </row>
    <row r="1248" customFormat="false" ht="15" hidden="false" customHeight="false" outlineLevel="0" collapsed="false">
      <c r="A1248" s="24" t="n">
        <v>46274.375</v>
      </c>
      <c r="B1248" s="10" t="n">
        <v>5.4995</v>
      </c>
      <c r="C1248" s="10" t="n">
        <v>3.3641</v>
      </c>
      <c r="D1248" s="10" t="n">
        <f aca="false">IF(OR(B1248="",C1248="",B1248&lt;=0.05,C1248&lt;=0.05),0,1)</f>
        <v>1</v>
      </c>
      <c r="E1248" s="25" t="n">
        <f aca="false">IF(OR(A1248&lt;Resumen!$B$6,A1248&gt;=Resumen!$B$7),0,MAX(0,AVERAGEIFS(B1200:B1296,D1200:D1296,1)-Resumen!$B$5*AVERAGEIFS(C1200:C1296,D1200:D1296,1)))</f>
        <v>0.545907743298969</v>
      </c>
      <c r="F1248" s="10" t="n">
        <f aca="false">IF(B1248="","",(B1248-E1248)/Resumen!$B$5)</f>
        <v>3.93454508077921</v>
      </c>
      <c r="G1248" s="10" t="n">
        <f aca="false">IF(OR(F1248="",C1248=""),0,(F1248-C1248)*0.9)</f>
        <v>0.513400572701293</v>
      </c>
      <c r="H1248" s="26" t="n">
        <f aca="false">IF(A1248&lt;Resumen!$B$11,"",IF(H1247="",0,H1247)+G1248/Resumen!$B$9)</f>
        <v>1.30852225186178</v>
      </c>
      <c r="I1248" s="26" t="n">
        <f aca="false">IF(H1248="","",H1248-AVERAGE(H1200:H1296))</f>
        <v>0.063345508728117</v>
      </c>
      <c r="J1248" s="27" t="n">
        <f aca="false">IF(I1248="","",Resumen!$B$10-(MAX(I1200:I1296)-I1248))</f>
        <v>1.84657799018314</v>
      </c>
    </row>
    <row r="1249" customFormat="false" ht="15" hidden="false" customHeight="false" outlineLevel="0" collapsed="false">
      <c r="A1249" s="24" t="n">
        <v>46274.3854166667</v>
      </c>
      <c r="B1249" s="10" t="n">
        <v>5.092</v>
      </c>
      <c r="C1249" s="10" t="n">
        <v>4.0842</v>
      </c>
      <c r="D1249" s="10" t="n">
        <f aca="false">IF(OR(B1249="",C1249="",B1249&lt;=0.05,C1249&lt;=0.05),0,1)</f>
        <v>1</v>
      </c>
      <c r="E1249" s="25" t="n">
        <f aca="false">IF(OR(A1249&lt;Resumen!$B$6,A1249&gt;=Resumen!$B$7),0,MAX(0,AVERAGEIFS(B1201:B1297,D1201:D1297,1)-Resumen!$B$5*AVERAGEIFS(C1201:C1297,D1201:D1297,1)))</f>
        <v>0.550126004123712</v>
      </c>
      <c r="F1249" s="10" t="n">
        <f aca="false">IF(B1249="","",(B1249-E1249)/Resumen!$B$5)</f>
        <v>3.60752501658164</v>
      </c>
      <c r="G1249" s="10" t="n">
        <f aca="false">IF(OR(F1249="",C1249=""),0,(F1249-C1249)*0.9)</f>
        <v>-0.429007485076522</v>
      </c>
      <c r="H1249" s="26" t="n">
        <f aca="false">IF(A1249&lt;Resumen!$B$11,"",IF(H1248="",0,H1248)+G1249/Resumen!$B$9)</f>
        <v>1.28824354429139</v>
      </c>
      <c r="I1249" s="26" t="n">
        <f aca="false">IF(H1249="","",H1249-AVERAGE(H1201:H1297))</f>
        <v>0.0436822932414696</v>
      </c>
      <c r="J1249" s="27" t="n">
        <f aca="false">IF(I1249="","",Resumen!$B$10-(MAX(I1201:I1297)-I1249))</f>
        <v>1.8269147746965</v>
      </c>
    </row>
    <row r="1250" customFormat="false" ht="15" hidden="false" customHeight="false" outlineLevel="0" collapsed="false">
      <c r="A1250" s="24" t="n">
        <v>46274.3958333333</v>
      </c>
      <c r="B1250" s="10" t="n">
        <v>6.0997</v>
      </c>
      <c r="C1250" s="10" t="n">
        <v>4.0906</v>
      </c>
      <c r="D1250" s="10" t="n">
        <f aca="false">IF(OR(B1250="",C1250="",B1250&lt;=0.05,C1250&lt;=0.05),0,1)</f>
        <v>1</v>
      </c>
      <c r="E1250" s="25" t="n">
        <f aca="false">IF(OR(A1250&lt;Resumen!$B$6,A1250&gt;=Resumen!$B$7),0,MAX(0,AVERAGEIFS(B1202:B1298,D1202:D1298,1)-Resumen!$B$5*AVERAGEIFS(C1202:C1298,D1202:D1298,1)))</f>
        <v>0.556808411340206</v>
      </c>
      <c r="F1250" s="10" t="n">
        <f aca="false">IF(B1250="","",(B1250-E1250)/Resumen!$B$5)</f>
        <v>4.40261444691008</v>
      </c>
      <c r="G1250" s="10" t="n">
        <f aca="false">IF(OR(F1250="",C1250=""),0,(F1250-C1250)*0.9)</f>
        <v>0.280813002219074</v>
      </c>
      <c r="H1250" s="26" t="n">
        <f aca="false">IF(A1250&lt;Resumen!$B$11,"",IF(H1249="",0,H1249)+G1250/Resumen!$B$9)</f>
        <v>1.30151726317055</v>
      </c>
      <c r="I1250" s="26" t="n">
        <f aca="false">IF(H1250="","",H1250-AVERAGE(H1202:H1298))</f>
        <v>0.0573799845992116</v>
      </c>
      <c r="J1250" s="27" t="n">
        <f aca="false">IF(I1250="","",Resumen!$B$10-(MAX(I1202:I1298)-I1250))</f>
        <v>1.84061246605424</v>
      </c>
    </row>
    <row r="1251" customFormat="false" ht="15" hidden="false" customHeight="false" outlineLevel="0" collapsed="false">
      <c r="A1251" s="24" t="n">
        <v>46274.40625</v>
      </c>
      <c r="B1251" s="10" t="n">
        <v>5.1404</v>
      </c>
      <c r="C1251" s="10" t="n">
        <v>3.5129</v>
      </c>
      <c r="D1251" s="10" t="n">
        <f aca="false">IF(OR(B1251="",C1251="",B1251&lt;=0.05,C1251&lt;=0.05),0,1)</f>
        <v>1</v>
      </c>
      <c r="E1251" s="25" t="n">
        <f aca="false">IF(OR(A1251&lt;Resumen!$B$6,A1251&gt;=Resumen!$B$7),0,MAX(0,AVERAGEIFS(B1203:B1299,D1203:D1299,1)-Resumen!$B$5*AVERAGEIFS(C1203:C1299,D1203:D1299,1)))</f>
        <v>0.557434345360825</v>
      </c>
      <c r="F1251" s="10" t="n">
        <f aca="false">IF(B1251="","",(B1251-E1251)/Resumen!$B$5)</f>
        <v>3.64016334760856</v>
      </c>
      <c r="G1251" s="10" t="n">
        <f aca="false">IF(OR(F1251="",C1251=""),0,(F1251-C1251)*0.9)</f>
        <v>0.114537012847702</v>
      </c>
      <c r="H1251" s="26" t="n">
        <f aca="false">IF(A1251&lt;Resumen!$B$11,"",IF(H1250="",0,H1250)+G1251/Resumen!$B$9)</f>
        <v>1.3069313006182</v>
      </c>
      <c r="I1251" s="26" t="n">
        <f aca="false">IF(H1251="","",H1251-AVERAGE(H1203:H1299))</f>
        <v>0.0632254768723646</v>
      </c>
      <c r="J1251" s="27" t="n">
        <f aca="false">IF(I1251="","",Resumen!$B$10-(MAX(I1203:I1299)-I1251))</f>
        <v>1.84645795832739</v>
      </c>
    </row>
    <row r="1252" customFormat="false" ht="15" hidden="false" customHeight="false" outlineLevel="0" collapsed="false">
      <c r="A1252" s="24" t="n">
        <v>46274.4166666667</v>
      </c>
      <c r="B1252" s="10" t="n">
        <v>5.2397</v>
      </c>
      <c r="C1252" s="10" t="n">
        <v>3.7924</v>
      </c>
      <c r="D1252" s="10" t="n">
        <f aca="false">IF(OR(B1252="",C1252="",B1252&lt;=0.05,C1252&lt;=0.05),0,1)</f>
        <v>1</v>
      </c>
      <c r="E1252" s="25" t="n">
        <f aca="false">IF(OR(A1252&lt;Resumen!$B$6,A1252&gt;=Resumen!$B$7),0,MAX(0,AVERAGEIFS(B1204:B1300,D1204:D1300,1)-Resumen!$B$5*AVERAGEIFS(C1204:C1300,D1204:D1300,1)))</f>
        <v>0.563101129896908</v>
      </c>
      <c r="F1252" s="10" t="n">
        <f aca="false">IF(B1252="","",(B1252-E1252)/Resumen!$B$5)</f>
        <v>3.71453444805647</v>
      </c>
      <c r="G1252" s="10" t="n">
        <f aca="false">IF(OR(F1252="",C1252=""),0,(F1252-C1252)*0.9)</f>
        <v>-0.0700789967491795</v>
      </c>
      <c r="H1252" s="26" t="n">
        <f aca="false">IF(A1252&lt;Resumen!$B$11,"",IF(H1251="",0,H1251)+G1252/Resumen!$B$9)</f>
        <v>1.30361874423786</v>
      </c>
      <c r="I1252" s="26" t="n">
        <f aca="false">IF(H1252="","",H1252-AVERAGE(H1204:H1300))</f>
        <v>0.0601783003081606</v>
      </c>
      <c r="J1252" s="27" t="n">
        <f aca="false">IF(I1252="","",Resumen!$B$10-(MAX(I1204:I1300)-I1252))</f>
        <v>1.84341078176319</v>
      </c>
    </row>
    <row r="1253" customFormat="false" ht="15" hidden="false" customHeight="false" outlineLevel="0" collapsed="false">
      <c r="A1253" s="24" t="n">
        <v>46274.4270833333</v>
      </c>
      <c r="B1253" s="10" t="n">
        <v>5.0979</v>
      </c>
      <c r="C1253" s="10" t="n">
        <v>3.8475</v>
      </c>
      <c r="D1253" s="10" t="n">
        <f aca="false">IF(OR(B1253="",C1253="",B1253&lt;=0.05,C1253&lt;=0.05),0,1)</f>
        <v>1</v>
      </c>
      <c r="E1253" s="25" t="n">
        <f aca="false">IF(OR(A1253&lt;Resumen!$B$6,A1253&gt;=Resumen!$B$7),0,MAX(0,AVERAGEIFS(B1205:B1301,D1205:D1301,1)-Resumen!$B$5*AVERAGEIFS(C1205:C1301,D1205:D1301,1)))</f>
        <v>0.570487551546392</v>
      </c>
      <c r="F1253" s="10" t="n">
        <f aca="false">IF(B1253="","",(B1253-E1253)/Resumen!$B$5)</f>
        <v>3.59603848169469</v>
      </c>
      <c r="G1253" s="10" t="n">
        <f aca="false">IF(OR(F1253="",C1253=""),0,(F1253-C1253)*0.9)</f>
        <v>-0.226315366474783</v>
      </c>
      <c r="H1253" s="26" t="n">
        <f aca="false">IF(A1253&lt;Resumen!$B$11,"",IF(H1252="",0,H1252)+G1253/Resumen!$B$9)</f>
        <v>1.29292106810149</v>
      </c>
      <c r="I1253" s="26" t="n">
        <f aca="false">IF(H1253="","",H1253-AVERAGE(H1205:H1301))</f>
        <v>0.0495261021786064</v>
      </c>
      <c r="J1253" s="27" t="n">
        <f aca="false">IF(I1253="","",Resumen!$B$10-(MAX(I1205:I1301)-I1253))</f>
        <v>1.83275858363363</v>
      </c>
    </row>
    <row r="1254" customFormat="false" ht="15" hidden="false" customHeight="false" outlineLevel="0" collapsed="false">
      <c r="A1254" s="24" t="n">
        <v>46274.4375</v>
      </c>
      <c r="B1254" s="10" t="n">
        <v>5.9207</v>
      </c>
      <c r="C1254" s="10" t="n">
        <v>4.1249</v>
      </c>
      <c r="D1254" s="10" t="n">
        <f aca="false">IF(OR(B1254="",C1254="",B1254&lt;=0.05,C1254&lt;=0.05),0,1)</f>
        <v>1</v>
      </c>
      <c r="E1254" s="25" t="n">
        <f aca="false">IF(OR(A1254&lt;Resumen!$B$6,A1254&gt;=Resumen!$B$7),0,MAX(0,AVERAGEIFS(B1206:B1302,D1206:D1302,1)-Resumen!$B$5*AVERAGEIFS(C1206:C1302,D1206:D1302,1)))</f>
        <v>0.570013337113403</v>
      </c>
      <c r="F1254" s="10" t="n">
        <f aca="false">IF(B1254="","",(B1254-E1254)/Resumen!$B$5)</f>
        <v>4.24994969252311</v>
      </c>
      <c r="G1254" s="10" t="n">
        <f aca="false">IF(OR(F1254="",C1254=""),0,(F1254-C1254)*0.9)</f>
        <v>0.1125447232708</v>
      </c>
      <c r="H1254" s="26" t="n">
        <f aca="false">IF(A1254&lt;Resumen!$B$11,"",IF(H1253="",0,H1253)+G1254/Resumen!$B$9)</f>
        <v>1.29824093223251</v>
      </c>
      <c r="I1254" s="26" t="n">
        <f aca="false">IF(H1254="","",H1254-AVERAGE(H1206:H1302))</f>
        <v>0.0549383036775506</v>
      </c>
      <c r="J1254" s="27" t="n">
        <f aca="false">IF(I1254="","",Resumen!$B$10-(MAX(I1206:I1302)-I1254))</f>
        <v>1.83817078513258</v>
      </c>
    </row>
    <row r="1255" customFormat="false" ht="15" hidden="false" customHeight="false" outlineLevel="0" collapsed="false">
      <c r="A1255" s="24" t="n">
        <v>46274.4479166667</v>
      </c>
      <c r="B1255" s="10" t="n">
        <v>5.2104</v>
      </c>
      <c r="C1255" s="10" t="n">
        <v>4.0429</v>
      </c>
      <c r="D1255" s="10" t="n">
        <f aca="false">IF(OR(B1255="",C1255="",B1255&lt;=0.05,C1255&lt;=0.05),0,1)</f>
        <v>1</v>
      </c>
      <c r="E1255" s="25" t="n">
        <f aca="false">IF(OR(A1255&lt;Resumen!$B$6,A1255&gt;=Resumen!$B$7),0,MAX(0,AVERAGEIFS(B1207:B1303,D1207:D1303,1)-Resumen!$B$5*AVERAGEIFS(C1207:C1303,D1207:D1303,1)))</f>
        <v>0.577574015463918</v>
      </c>
      <c r="F1255" s="10" t="n">
        <f aca="false">IF(B1255="","",(B1255-E1255)/Resumen!$B$5)</f>
        <v>3.67976646905169</v>
      </c>
      <c r="G1255" s="10" t="n">
        <f aca="false">IF(OR(F1255="",C1255=""),0,(F1255-C1255)*0.9)</f>
        <v>-0.326820177853476</v>
      </c>
      <c r="H1255" s="26" t="n">
        <f aca="false">IF(A1255&lt;Resumen!$B$11,"",IF(H1254="",0,H1254)+G1255/Resumen!$B$9)</f>
        <v>1.28279250523453</v>
      </c>
      <c r="I1255" s="26" t="n">
        <f aca="false">IF(H1255="","",H1255-AVERAGE(H1207:H1303))</f>
        <v>0.0393538586670703</v>
      </c>
      <c r="J1255" s="27" t="n">
        <f aca="false">IF(I1255="","",Resumen!$B$10-(MAX(I1207:I1303)-I1255))</f>
        <v>1.8225863401221</v>
      </c>
    </row>
    <row r="1256" customFormat="false" ht="15" hidden="false" customHeight="false" outlineLevel="0" collapsed="false">
      <c r="A1256" s="24" t="n">
        <v>46274.4583333333</v>
      </c>
      <c r="B1256" s="10" t="n">
        <v>5.6348</v>
      </c>
      <c r="C1256" s="10" t="n">
        <v>4.8247</v>
      </c>
      <c r="D1256" s="10" t="n">
        <f aca="false">IF(OR(B1256="",C1256="",B1256&lt;=0.05,C1256&lt;=0.05),0,1)</f>
        <v>1</v>
      </c>
      <c r="E1256" s="25" t="n">
        <f aca="false">IF(OR(A1256&lt;Resumen!$B$6,A1256&gt;=Resumen!$B$7),0,MAX(0,AVERAGEIFS(B1208:B1304,D1208:D1304,1)-Resumen!$B$5*AVERAGEIFS(C1208:C1304,D1208:D1304,1)))</f>
        <v>0.586104632989691</v>
      </c>
      <c r="F1256" s="10" t="n">
        <f aca="false">IF(B1256="","",(B1256-E1256)/Resumen!$B$5)</f>
        <v>4.01008369103281</v>
      </c>
      <c r="G1256" s="10" t="n">
        <f aca="false">IF(OR(F1256="",C1256=""),0,(F1256-C1256)*0.9)</f>
        <v>-0.73315467807047</v>
      </c>
      <c r="H1256" s="26" t="n">
        <f aca="false">IF(A1256&lt;Resumen!$B$11,"",IF(H1255="",0,H1255)+G1256/Resumen!$B$9)</f>
        <v>1.24813709749076</v>
      </c>
      <c r="I1256" s="26" t="n">
        <f aca="false">IF(H1256="","",H1256-AVERAGE(H1208:H1304))</f>
        <v>0.0043045513714266</v>
      </c>
      <c r="J1256" s="27" t="n">
        <f aca="false">IF(I1256="","",Resumen!$B$10-(MAX(I1208:I1304)-I1256))</f>
        <v>1.78753703282645</v>
      </c>
    </row>
    <row r="1257" customFormat="false" ht="15" hidden="false" customHeight="false" outlineLevel="0" collapsed="false">
      <c r="A1257" s="24" t="n">
        <v>46274.46875</v>
      </c>
      <c r="B1257" s="10" t="n">
        <v>5.8826</v>
      </c>
      <c r="C1257" s="10" t="n">
        <v>4.8133</v>
      </c>
      <c r="D1257" s="10" t="n">
        <f aca="false">IF(OR(B1257="",C1257="",B1257&lt;=0.05,C1257&lt;=0.05),0,1)</f>
        <v>1</v>
      </c>
      <c r="E1257" s="25" t="n">
        <f aca="false">IF(OR(A1257&lt;Resumen!$B$6,A1257&gt;=Resumen!$B$7),0,MAX(0,AVERAGEIFS(B1209:B1305,D1209:D1305,1)-Resumen!$B$5*AVERAGEIFS(C1209:C1305,D1209:D1305,1)))</f>
        <v>0.585738911340207</v>
      </c>
      <c r="F1257" s="10" t="n">
        <f aca="false">IF(B1257="","",(B1257-E1257)/Resumen!$B$5)</f>
        <v>4.20719705215234</v>
      </c>
      <c r="G1257" s="10" t="n">
        <f aca="false">IF(OR(F1257="",C1257=""),0,(F1257-C1257)*0.9)</f>
        <v>-0.545492653062896</v>
      </c>
      <c r="H1257" s="26" t="n">
        <f aca="false">IF(A1257&lt;Resumen!$B$11,"",IF(H1256="",0,H1256)+G1257/Resumen!$B$9)</f>
        <v>1.222352265342</v>
      </c>
      <c r="I1257" s="26" t="n">
        <f aca="false">IF(H1257="","",H1257-AVERAGE(H1209:H1305))</f>
        <v>-0.0218251909057972</v>
      </c>
      <c r="J1257" s="27" t="n">
        <f aca="false">IF(I1257="","",Resumen!$B$10-(MAX(I1209:I1305)-I1257))</f>
        <v>1.76140729054923</v>
      </c>
    </row>
    <row r="1258" customFormat="false" ht="15" hidden="false" customHeight="false" outlineLevel="0" collapsed="false">
      <c r="A1258" s="24" t="n">
        <v>46274.4791666667</v>
      </c>
      <c r="B1258" s="10" t="n">
        <v>5.808</v>
      </c>
      <c r="C1258" s="10" t="n">
        <v>4.4925</v>
      </c>
      <c r="D1258" s="10" t="n">
        <f aca="false">IF(OR(B1258="",C1258="",B1258&lt;=0.05,C1258&lt;=0.05),0,1)</f>
        <v>1</v>
      </c>
      <c r="E1258" s="25" t="n">
        <f aca="false">IF(OR(A1258&lt;Resumen!$B$6,A1258&gt;=Resumen!$B$7),0,MAX(0,AVERAGEIFS(B1210:B1306,D1210:D1306,1)-Resumen!$B$5*AVERAGEIFS(C1210:C1306,D1210:D1306,1)))</f>
        <v>0.588291874226805</v>
      </c>
      <c r="F1258" s="10" t="n">
        <f aca="false">IF(B1258="","",(B1258-E1258)/Resumen!$B$5)</f>
        <v>4.14591590609467</v>
      </c>
      <c r="G1258" s="10" t="n">
        <f aca="false">IF(OR(F1258="",C1258=""),0,(F1258-C1258)*0.9)</f>
        <v>-0.311925684514793</v>
      </c>
      <c r="H1258" s="26" t="n">
        <f aca="false">IF(A1258&lt;Resumen!$B$11,"",IF(H1257="",0,H1257)+G1258/Resumen!$B$9)</f>
        <v>1.20760788450948</v>
      </c>
      <c r="I1258" s="26" t="n">
        <f aca="false">IF(H1258="","",H1258-AVERAGE(H1210:H1306))</f>
        <v>-0.0369573173894389</v>
      </c>
      <c r="J1258" s="27" t="n">
        <f aca="false">IF(I1258="","",Resumen!$B$10-(MAX(I1210:I1306)-I1258))</f>
        <v>1.74627516406559</v>
      </c>
    </row>
    <row r="1259" customFormat="false" ht="15" hidden="false" customHeight="false" outlineLevel="0" collapsed="false">
      <c r="A1259" s="24" t="n">
        <v>46274.4895833333</v>
      </c>
      <c r="B1259" s="10" t="n">
        <v>5.3113</v>
      </c>
      <c r="C1259" s="10" t="n">
        <v>4.2145</v>
      </c>
      <c r="D1259" s="10" t="n">
        <f aca="false">IF(OR(B1259="",C1259="",B1259&lt;=0.05,C1259&lt;=0.05),0,1)</f>
        <v>1</v>
      </c>
      <c r="E1259" s="25" t="n">
        <f aca="false">IF(OR(A1259&lt;Resumen!$B$6,A1259&gt;=Resumen!$B$7),0,MAX(0,AVERAGEIFS(B1211:B1307,D1211:D1307,1)-Resumen!$B$5*AVERAGEIFS(C1211:C1307,D1211:D1307,1)))</f>
        <v>0.589161292783505</v>
      </c>
      <c r="F1259" s="10" t="n">
        <f aca="false">IF(B1259="","",(B1259-E1259)/Resumen!$B$5)</f>
        <v>3.75070588341263</v>
      </c>
      <c r="G1259" s="10" t="n">
        <f aca="false">IF(OR(F1259="",C1259=""),0,(F1259-C1259)*0.9)</f>
        <v>-0.417414704928638</v>
      </c>
      <c r="H1259" s="26" t="n">
        <f aca="false">IF(A1259&lt;Resumen!$B$11,"",IF(H1258="",0,H1258)+G1259/Resumen!$B$9)</f>
        <v>1.18787715478732</v>
      </c>
      <c r="I1259" s="26" t="n">
        <f aca="false">IF(H1259="","",H1259-AVERAGE(H1211:H1307))</f>
        <v>-0.0570598349799283</v>
      </c>
      <c r="J1259" s="27" t="n">
        <f aca="false">IF(I1259="","",Resumen!$B$10-(MAX(I1211:I1307)-I1259))</f>
        <v>1.7261726464751</v>
      </c>
    </row>
    <row r="1260" customFormat="false" ht="15" hidden="false" customHeight="false" outlineLevel="0" collapsed="false">
      <c r="A1260" s="24" t="n">
        <v>46274.5</v>
      </c>
      <c r="B1260" s="10" t="n">
        <v>5.0981</v>
      </c>
      <c r="C1260" s="10" t="n">
        <v>3.4575</v>
      </c>
      <c r="D1260" s="10" t="n">
        <f aca="false">IF(OR(B1260="",C1260="",B1260&lt;=0.05,C1260&lt;=0.05),0,1)</f>
        <v>1</v>
      </c>
      <c r="E1260" s="25" t="n">
        <f aca="false">IF(OR(A1260&lt;Resumen!$B$6,A1260&gt;=Resumen!$B$7),0,MAX(0,AVERAGEIFS(B1212:B1308,D1212:D1308,1)-Resumen!$B$5*AVERAGEIFS(C1212:C1308,D1212:D1308,1)))</f>
        <v>0.586702443298969</v>
      </c>
      <c r="F1260" s="10" t="n">
        <f aca="false">IF(B1260="","",(B1260-E1260)/Resumen!$B$5)</f>
        <v>3.58331815464736</v>
      </c>
      <c r="G1260" s="10" t="n">
        <f aca="false">IF(OR(F1260="",C1260=""),0,(F1260-C1260)*0.9)</f>
        <v>0.113236339182628</v>
      </c>
      <c r="H1260" s="26" t="n">
        <f aca="false">IF(A1260&lt;Resumen!$B$11,"",IF(H1259="",0,H1259)+G1260/Resumen!$B$9)</f>
        <v>1.19322971083472</v>
      </c>
      <c r="I1260" s="26" t="n">
        <f aca="false">IF(H1260="","",H1260-AVERAGE(H1212:H1308))</f>
        <v>-0.051947102437985</v>
      </c>
      <c r="J1260" s="27" t="n">
        <f aca="false">IF(I1260="","",Resumen!$B$10-(MAX(I1212:I1308)-I1260))</f>
        <v>1.73128537901704</v>
      </c>
    </row>
    <row r="1261" customFormat="false" ht="15" hidden="false" customHeight="false" outlineLevel="0" collapsed="false">
      <c r="A1261" s="24" t="n">
        <v>46274.5104166667</v>
      </c>
      <c r="B1261" s="10" t="n">
        <v>5.1113</v>
      </c>
      <c r="C1261" s="10" t="n">
        <v>3.3719</v>
      </c>
      <c r="D1261" s="10" t="n">
        <f aca="false">IF(OR(B1261="",C1261="",B1261&lt;=0.05,C1261&lt;=0.05),0,1)</f>
        <v>1</v>
      </c>
      <c r="E1261" s="25" t="n">
        <f aca="false">IF(OR(A1261&lt;Resumen!$B$6,A1261&gt;=Resumen!$B$7),0,MAX(0,AVERAGEIFS(B1213:B1309,D1213:D1309,1)-Resumen!$B$5*AVERAGEIFS(C1213:C1309,D1213:D1309,1)))</f>
        <v>0.591841507216495</v>
      </c>
      <c r="F1261" s="10" t="n">
        <f aca="false">IF(B1261="","",(B1261-E1261)/Resumen!$B$5)</f>
        <v>3.58972080443487</v>
      </c>
      <c r="G1261" s="10" t="n">
        <f aca="false">IF(OR(F1261="",C1261=""),0,(F1261-C1261)*0.9)</f>
        <v>0.196038723991386</v>
      </c>
      <c r="H1261" s="26" t="n">
        <f aca="false">IF(A1261&lt;Resumen!$B$11,"",IF(H1260="",0,H1260)+G1261/Resumen!$B$9)</f>
        <v>1.20249624369156</v>
      </c>
      <c r="I1261" s="26" t="n">
        <f aca="false">IF(H1261="","",H1261-AVERAGE(H1213:H1309))</f>
        <v>-0.0430505281126641</v>
      </c>
      <c r="J1261" s="27" t="n">
        <f aca="false">IF(I1261="","",Resumen!$B$10-(MAX(I1213:I1309)-I1261))</f>
        <v>1.74018195334236</v>
      </c>
    </row>
    <row r="1262" customFormat="false" ht="15" hidden="false" customHeight="false" outlineLevel="0" collapsed="false">
      <c r="A1262" s="24" t="n">
        <v>46274.5208333333</v>
      </c>
      <c r="B1262" s="10" t="n">
        <v>5.179</v>
      </c>
      <c r="C1262" s="10" t="n">
        <v>4.3548</v>
      </c>
      <c r="D1262" s="10" t="n">
        <f aca="false">IF(OR(B1262="",C1262="",B1262&lt;=0.05,C1262&lt;=0.05),0,1)</f>
        <v>1</v>
      </c>
      <c r="E1262" s="25" t="n">
        <f aca="false">IF(OR(A1262&lt;Resumen!$B$6,A1262&gt;=Resumen!$B$7),0,MAX(0,AVERAGEIFS(B1214:B1310,D1214:D1310,1)-Resumen!$B$5*AVERAGEIFS(C1214:C1310,D1214:D1310,1)))</f>
        <v>0.5887511</v>
      </c>
      <c r="F1262" s="10" t="n">
        <f aca="false">IF(B1262="","",(B1262-E1262)/Resumen!$B$5)</f>
        <v>3.64594829229547</v>
      </c>
      <c r="G1262" s="10" t="n">
        <f aca="false">IF(OR(F1262="",C1262=""),0,(F1262-C1262)*0.9)</f>
        <v>-0.637966536934074</v>
      </c>
      <c r="H1262" s="26" t="n">
        <f aca="false">IF(A1262&lt;Resumen!$B$11,"",IF(H1261="",0,H1261)+G1262/Resumen!$B$9)</f>
        <v>1.17234027370919</v>
      </c>
      <c r="I1262" s="26" t="n">
        <f aca="false">IF(H1262="","",H1262-AVERAGE(H1214:H1310))</f>
        <v>-0.0734348417147441</v>
      </c>
      <c r="J1262" s="27" t="n">
        <f aca="false">IF(I1262="","",Resumen!$B$10-(MAX(I1214:I1310)-I1262))</f>
        <v>1.70979763974028</v>
      </c>
    </row>
    <row r="1263" customFormat="false" ht="15" hidden="false" customHeight="false" outlineLevel="0" collapsed="false">
      <c r="A1263" s="24" t="n">
        <v>46274.53125</v>
      </c>
      <c r="B1263" s="10" t="n">
        <v>5.1704</v>
      </c>
      <c r="C1263" s="10" t="n">
        <v>3.2374</v>
      </c>
      <c r="D1263" s="10" t="n">
        <f aca="false">IF(OR(B1263="",C1263="",B1263&lt;=0.05,C1263&lt;=0.05),0,1)</f>
        <v>1</v>
      </c>
      <c r="E1263" s="25" t="n">
        <f aca="false">IF(OR(A1263&lt;Resumen!$B$6,A1263&gt;=Resumen!$B$7),0,MAX(0,AVERAGEIFS(B1215:B1311,D1215:D1311,1)-Resumen!$B$5*AVERAGEIFS(C1215:C1311,D1215:D1311,1)))</f>
        <v>0.588289641237114</v>
      </c>
      <c r="F1263" s="10" t="n">
        <f aca="false">IF(B1263="","",(B1263-E1263)/Resumen!$B$5)</f>
        <v>3.63948400219451</v>
      </c>
      <c r="G1263" s="10" t="n">
        <f aca="false">IF(OR(F1263="",C1263=""),0,(F1263-C1263)*0.9)</f>
        <v>0.361875601975058</v>
      </c>
      <c r="H1263" s="26" t="n">
        <f aca="false">IF(A1263&lt;Resumen!$B$11,"",IF(H1262="",0,H1262)+G1263/Resumen!$B$9)</f>
        <v>1.18944573168973</v>
      </c>
      <c r="I1263" s="26" t="n">
        <f aca="false">IF(H1263="","",H1263-AVERAGE(H1215:H1311))</f>
        <v>-0.056499843630903</v>
      </c>
      <c r="J1263" s="27" t="n">
        <f aca="false">IF(I1263="","",Resumen!$B$10-(MAX(I1215:I1311)-I1263))</f>
        <v>1.72673263782412</v>
      </c>
    </row>
    <row r="1264" customFormat="false" ht="15" hidden="false" customHeight="false" outlineLevel="0" collapsed="false">
      <c r="A1264" s="24" t="n">
        <v>46274.5416666667</v>
      </c>
      <c r="B1264" s="10" t="n">
        <v>4.9693</v>
      </c>
      <c r="C1264" s="10" t="n">
        <v>3.4619</v>
      </c>
      <c r="D1264" s="10" t="n">
        <f aca="false">IF(OR(B1264="",C1264="",B1264&lt;=0.05,C1264&lt;=0.05),0,1)</f>
        <v>1</v>
      </c>
      <c r="E1264" s="25" t="n">
        <f aca="false">IF(OR(A1264&lt;Resumen!$B$6,A1264&gt;=Resumen!$B$7),0,MAX(0,AVERAGEIFS(B1216:B1312,D1216:D1312,1)-Resumen!$B$5*AVERAGEIFS(C1216:C1312,D1216:D1312,1)))</f>
        <v>0.591260306185567</v>
      </c>
      <c r="F1264" s="10" t="n">
        <f aca="false">IF(B1264="","",(B1264-E1264)/Resumen!$B$5)</f>
        <v>3.47739451454681</v>
      </c>
      <c r="G1264" s="10" t="n">
        <f aca="false">IF(OR(F1264="",C1264=""),0,(F1264-C1264)*0.9)</f>
        <v>0.0139450630921286</v>
      </c>
      <c r="H1264" s="26" t="n">
        <f aca="false">IF(A1264&lt;Resumen!$B$11,"",IF(H1263="",0,H1263)+G1264/Resumen!$B$9)</f>
        <v>1.19010489934142</v>
      </c>
      <c r="I1264" s="26" t="n">
        <f aca="false">IF(H1264="","",H1264-AVERAGE(H1216:H1312))</f>
        <v>-0.0560749111778314</v>
      </c>
      <c r="J1264" s="27" t="n">
        <f aca="false">IF(I1264="","",Resumen!$B$10-(MAX(I1216:I1312)-I1264))</f>
        <v>1.7271575702772</v>
      </c>
    </row>
    <row r="1265" customFormat="false" ht="15" hidden="false" customHeight="false" outlineLevel="0" collapsed="false">
      <c r="A1265" s="24" t="n">
        <v>46274.5520833333</v>
      </c>
      <c r="B1265" s="10" t="n">
        <v>4.7849</v>
      </c>
      <c r="C1265" s="10" t="n">
        <v>2.9583</v>
      </c>
      <c r="D1265" s="10" t="n">
        <f aca="false">IF(OR(B1265="",C1265="",B1265&lt;=0.05,C1265&lt;=0.05),0,1)</f>
        <v>1</v>
      </c>
      <c r="E1265" s="25" t="n">
        <f aca="false">IF(OR(A1265&lt;Resumen!$B$6,A1265&gt;=Resumen!$B$7),0,MAX(0,AVERAGEIFS(B1217:B1313,D1217:D1313,1)-Resumen!$B$5*AVERAGEIFS(C1217:C1313,D1217:D1313,1)))</f>
        <v>0.590727383505155</v>
      </c>
      <c r="F1265" s="10" t="n">
        <f aca="false">IF(B1265="","",(B1265-E1265)/Resumen!$B$5)</f>
        <v>3.33135235623101</v>
      </c>
      <c r="G1265" s="10" t="n">
        <f aca="false">IF(OR(F1265="",C1265=""),0,(F1265-C1265)*0.9)</f>
        <v>0.335747120607911</v>
      </c>
      <c r="H1265" s="26" t="n">
        <f aca="false">IF(A1265&lt;Resumen!$B$11,"",IF(H1264="",0,H1264)+G1265/Resumen!$B$9)</f>
        <v>1.20597529301344</v>
      </c>
      <c r="I1265" s="26" t="n">
        <f aca="false">IF(H1265="","",H1265-AVERAGE(H1217:H1313))</f>
        <v>-0.0403869937533345</v>
      </c>
      <c r="J1265" s="27" t="n">
        <f aca="false">IF(I1265="","",Resumen!$B$10-(MAX(I1217:I1313)-I1265))</f>
        <v>1.74284548770169</v>
      </c>
    </row>
    <row r="1266" customFormat="false" ht="15" hidden="false" customHeight="false" outlineLevel="0" collapsed="false">
      <c r="A1266" s="24" t="n">
        <v>46274.5625</v>
      </c>
      <c r="B1266" s="10" t="n">
        <v>5.165</v>
      </c>
      <c r="C1266" s="10" t="n">
        <v>3.7227</v>
      </c>
      <c r="D1266" s="10" t="n">
        <f aca="false">IF(OR(B1266="",C1266="",B1266&lt;=0.05,C1266&lt;=0.05),0,1)</f>
        <v>1</v>
      </c>
      <c r="E1266" s="25" t="n">
        <f aca="false">IF(OR(A1266&lt;Resumen!$B$6,A1266&gt;=Resumen!$B$7),0,MAX(0,AVERAGEIFS(B1218:B1314,D1218:D1314,1)-Resumen!$B$5*AVERAGEIFS(C1218:C1314,D1218:D1314,1)))</f>
        <v>0.591033835051547</v>
      </c>
      <c r="F1266" s="10" t="n">
        <f aca="false">IF(B1266="","",(B1266-E1266)/Resumen!$B$5)</f>
        <v>3.63301522235779</v>
      </c>
      <c r="G1266" s="10" t="n">
        <f aca="false">IF(OR(F1266="",C1266=""),0,(F1266-C1266)*0.9)</f>
        <v>-0.0807162998779917</v>
      </c>
      <c r="H1266" s="26" t="n">
        <f aca="false">IF(A1266&lt;Resumen!$B$11,"",IF(H1265="",0,H1265)+G1266/Resumen!$B$9)</f>
        <v>1.20215992312287</v>
      </c>
      <c r="I1266" s="26" t="n">
        <f aca="false">IF(H1266="","",H1266-AVERAGE(H1218:H1314))</f>
        <v>-0.0443648996265995</v>
      </c>
      <c r="J1266" s="27" t="n">
        <f aca="false">IF(I1266="","",Resumen!$B$10-(MAX(I1218:I1314)-I1266))</f>
        <v>1.73886758182843</v>
      </c>
    </row>
    <row r="1267" customFormat="false" ht="15" hidden="false" customHeight="false" outlineLevel="0" collapsed="false">
      <c r="A1267" s="24" t="n">
        <v>46274.5729166667</v>
      </c>
      <c r="B1267" s="10" t="n">
        <v>4.9983</v>
      </c>
      <c r="C1267" s="10" t="n">
        <v>3.8326</v>
      </c>
      <c r="D1267" s="10" t="n">
        <f aca="false">IF(OR(B1267="",C1267="",B1267&lt;=0.05,C1267&lt;=0.05),0,1)</f>
        <v>1</v>
      </c>
      <c r="E1267" s="25" t="n">
        <f aca="false">IF(OR(A1267&lt;Resumen!$B$6,A1267&gt;=Resumen!$B$7),0,MAX(0,AVERAGEIFS(B1219:B1315,D1219:D1315,1)-Resumen!$B$5*AVERAGEIFS(C1219:C1315,D1219:D1315,1)))</f>
        <v>0.591796810309279</v>
      </c>
      <c r="F1267" s="10" t="n">
        <f aca="false">IF(B1267="","",(B1267-E1267)/Resumen!$B$5)</f>
        <v>3.5000025335113</v>
      </c>
      <c r="G1267" s="10" t="n">
        <f aca="false">IF(OR(F1267="",C1267=""),0,(F1267-C1267)*0.9)</f>
        <v>-0.299337719839833</v>
      </c>
      <c r="H1267" s="26" t="n">
        <f aca="false">IF(A1267&lt;Resumen!$B$11,"",IF(H1266="",0,H1266)+G1267/Resumen!$B$9)</f>
        <v>1.1880105614064</v>
      </c>
      <c r="I1267" s="26" t="n">
        <f aca="false">IF(H1267="","",H1267-AVERAGE(H1219:H1315))</f>
        <v>-0.0586731585797808</v>
      </c>
      <c r="J1267" s="27" t="n">
        <f aca="false">IF(I1267="","",Resumen!$B$10-(MAX(I1219:I1315)-I1267))</f>
        <v>1.72455932287525</v>
      </c>
    </row>
    <row r="1268" customFormat="false" ht="15" hidden="false" customHeight="false" outlineLevel="0" collapsed="false">
      <c r="A1268" s="24" t="n">
        <v>46274.5833333333</v>
      </c>
      <c r="B1268" s="10" t="n">
        <v>5.0187</v>
      </c>
      <c r="C1268" s="10" t="n">
        <v>3.6016</v>
      </c>
      <c r="D1268" s="10" t="n">
        <f aca="false">IF(OR(B1268="",C1268="",B1268&lt;=0.05,C1268&lt;=0.05),0,1)</f>
        <v>1</v>
      </c>
      <c r="E1268" s="25" t="n">
        <f aca="false">IF(OR(A1268&lt;Resumen!$B$6,A1268&gt;=Resumen!$B$7),0,MAX(0,AVERAGEIFS(B1220:B1316,D1220:D1316,1)-Resumen!$B$5*AVERAGEIFS(C1220:C1316,D1220:D1316,1)))</f>
        <v>0.593483251546392</v>
      </c>
      <c r="F1268" s="10" t="n">
        <f aca="false">IF(B1268="","",(B1268-E1268)/Resumen!$B$5)</f>
        <v>3.51486636096395</v>
      </c>
      <c r="G1268" s="10" t="n">
        <f aca="false">IF(OR(F1268="",C1268=""),0,(F1268-C1268)*0.9)</f>
        <v>-0.0780602751324486</v>
      </c>
      <c r="H1268" s="26" t="n">
        <f aca="false">IF(A1268&lt;Resumen!$B$11,"",IF(H1267="",0,H1267)+G1268/Resumen!$B$9)</f>
        <v>1.18432073885705</v>
      </c>
      <c r="I1268" s="26" t="n">
        <f aca="false">IF(H1268="","",H1268-AVERAGE(H1220:H1316))</f>
        <v>-0.0625437126607149</v>
      </c>
      <c r="J1268" s="27" t="n">
        <f aca="false">IF(I1268="","",Resumen!$B$10-(MAX(I1220:I1316)-I1268))</f>
        <v>1.72068876879431</v>
      </c>
    </row>
    <row r="1269" customFormat="false" ht="15" hidden="false" customHeight="false" outlineLevel="0" collapsed="false">
      <c r="A1269" s="24" t="n">
        <v>46274.59375</v>
      </c>
      <c r="B1269" s="10" t="n">
        <v>5.214</v>
      </c>
      <c r="C1269" s="10" t="n">
        <v>3.3783</v>
      </c>
      <c r="D1269" s="10" t="n">
        <f aca="false">IF(OR(B1269="",C1269="",B1269&lt;=0.05,C1269&lt;=0.05),0,1)</f>
        <v>1</v>
      </c>
      <c r="E1269" s="25" t="n">
        <f aca="false">IF(OR(A1269&lt;Resumen!$B$6,A1269&gt;=Resumen!$B$7),0,MAX(0,AVERAGEIFS(B1221:B1317,D1221:D1317,1)-Resumen!$B$5*AVERAGEIFS(C1221:C1317,D1221:D1317,1)))</f>
        <v>0.594477803092784</v>
      </c>
      <c r="F1269" s="10" t="n">
        <f aca="false">IF(B1269="","",(B1269-E1269)/Resumen!$B$5)</f>
        <v>3.66919952097476</v>
      </c>
      <c r="G1269" s="10" t="n">
        <f aca="false">IF(OR(F1269="",C1269=""),0,(F1269-C1269)*0.9)</f>
        <v>0.26180956887728</v>
      </c>
      <c r="H1269" s="26" t="n">
        <f aca="false">IF(A1269&lt;Resumen!$B$11,"",IF(H1268="",0,H1268)+G1269/Resumen!$B$9)</f>
        <v>1.19669618653822</v>
      </c>
      <c r="I1269" s="26" t="n">
        <f aca="false">IF(H1269="","",H1269-AVERAGE(H1221:H1317))</f>
        <v>-0.0503450243446784</v>
      </c>
      <c r="J1269" s="27" t="n">
        <f aca="false">IF(I1269="","",Resumen!$B$10-(MAX(I1221:I1317)-I1269))</f>
        <v>1.73288745711035</v>
      </c>
    </row>
    <row r="1270" customFormat="false" ht="15" hidden="false" customHeight="false" outlineLevel="0" collapsed="false">
      <c r="A1270" s="24" t="n">
        <v>46274.6041666667</v>
      </c>
      <c r="B1270" s="10" t="n">
        <v>4.6058</v>
      </c>
      <c r="C1270" s="10" t="n">
        <v>2.7817</v>
      </c>
      <c r="D1270" s="10" t="n">
        <f aca="false">IF(OR(B1270="",C1270="",B1270&lt;=0.05,C1270&lt;=0.05),0,1)</f>
        <v>1</v>
      </c>
      <c r="E1270" s="25" t="n">
        <f aca="false">IF(OR(A1270&lt;Resumen!$B$6,A1270&gt;=Resumen!$B$7),0,MAX(0,AVERAGEIFS(B1222:B1318,D1222:D1318,1)-Resumen!$B$5*AVERAGEIFS(C1222:C1318,D1222:D1318,1)))</f>
        <v>0.586673597938145</v>
      </c>
      <c r="F1270" s="10" t="n">
        <f aca="false">IF(B1270="","",(B1270-E1270)/Resumen!$B$5)</f>
        <v>3.19231644325803</v>
      </c>
      <c r="G1270" s="10" t="n">
        <f aca="false">IF(OR(F1270="",C1270=""),0,(F1270-C1270)*0.9)</f>
        <v>0.369554798932225</v>
      </c>
      <c r="H1270" s="26" t="n">
        <f aca="false">IF(A1270&lt;Resumen!$B$11,"",IF(H1269="",0,H1269)+G1270/Resumen!$B$9)</f>
        <v>1.2141646316341</v>
      </c>
      <c r="I1270" s="26" t="n">
        <f aca="false">IF(H1270="","",H1270-AVERAGE(H1222:H1318))</f>
        <v>-0.0327562562361359</v>
      </c>
      <c r="J1270" s="27" t="n">
        <f aca="false">IF(I1270="","",Resumen!$B$10-(MAX(I1222:I1318)-I1270))</f>
        <v>1.75047622521889</v>
      </c>
    </row>
    <row r="1271" customFormat="false" ht="15" hidden="false" customHeight="false" outlineLevel="0" collapsed="false">
      <c r="A1271" s="24" t="n">
        <v>46274.6145833333</v>
      </c>
      <c r="B1271" s="10" t="n">
        <v>4.3091</v>
      </c>
      <c r="C1271" s="10" t="n">
        <v>2.7008</v>
      </c>
      <c r="D1271" s="10" t="n">
        <f aca="false">IF(OR(B1271="",C1271="",B1271&lt;=0.05,C1271&lt;=0.05),0,1)</f>
        <v>1</v>
      </c>
      <c r="E1271" s="25" t="n">
        <f aca="false">IF(OR(A1271&lt;Resumen!$B$6,A1271&gt;=Resumen!$B$7),0,MAX(0,AVERAGEIFS(B1223:B1319,D1223:D1319,1)-Resumen!$B$5*AVERAGEIFS(C1223:C1319,D1223:D1319,1)))</f>
        <v>0.58833437628866</v>
      </c>
      <c r="F1271" s="10" t="n">
        <f aca="false">IF(B1271="","",(B1271-E1271)/Resumen!$B$5)</f>
        <v>2.9553340934959</v>
      </c>
      <c r="G1271" s="10" t="n">
        <f aca="false">IF(OR(F1271="",C1271=""),0,(F1271-C1271)*0.9)</f>
        <v>0.229080684146312</v>
      </c>
      <c r="H1271" s="26" t="n">
        <f aca="false">IF(A1271&lt;Resumen!$B$11,"",IF(H1270="",0,H1270)+G1271/Resumen!$B$9)</f>
        <v>1.22499302126697</v>
      </c>
      <c r="I1271" s="26" t="n">
        <f aca="false">IF(H1271="","",H1271-AVERAGE(H1223:H1319))</f>
        <v>-0.0218333321012958</v>
      </c>
      <c r="J1271" s="27" t="n">
        <f aca="false">IF(I1271="","",Resumen!$B$10-(MAX(I1223:I1319)-I1271))</f>
        <v>1.76139914935373</v>
      </c>
    </row>
    <row r="1272" customFormat="false" ht="15" hidden="false" customHeight="false" outlineLevel="0" collapsed="false">
      <c r="A1272" s="24" t="n">
        <v>46274.625</v>
      </c>
      <c r="B1272" s="10" t="n">
        <v>4.5433</v>
      </c>
      <c r="C1272" s="10" t="n">
        <v>2.8976</v>
      </c>
      <c r="D1272" s="10" t="n">
        <f aca="false">IF(OR(B1272="",C1272="",B1272&lt;=0.05,C1272&lt;=0.05),0,1)</f>
        <v>1</v>
      </c>
      <c r="E1272" s="25" t="n">
        <f aca="false">IF(OR(A1272&lt;Resumen!$B$6,A1272&gt;=Resumen!$B$7),0,MAX(0,AVERAGEIFS(B1224:B1320,D1224:D1320,1)-Resumen!$B$5*AVERAGEIFS(C1224:C1320,D1224:D1320,1)))</f>
        <v>0.590535980412372</v>
      </c>
      <c r="F1272" s="10" t="n">
        <f aca="false">IF(B1272="","",(B1272-E1272)/Resumen!$B$5)</f>
        <v>3.13960605209502</v>
      </c>
      <c r="G1272" s="10" t="n">
        <f aca="false">IF(OR(F1272="",C1272=""),0,(F1272-C1272)*0.9)</f>
        <v>0.217805446885517</v>
      </c>
      <c r="H1272" s="26" t="n">
        <f aca="false">IF(A1272&lt;Resumen!$B$11,"",IF(H1271="",0,H1271)+G1272/Resumen!$B$9)</f>
        <v>1.23528844295138</v>
      </c>
      <c r="I1272" s="26" t="n">
        <f aca="false">IF(H1272="","",H1272-AVERAGE(H1224:H1320))</f>
        <v>-0.0114937376135151</v>
      </c>
      <c r="J1272" s="27" t="n">
        <f aca="false">IF(I1272="","",Resumen!$B$10-(MAX(I1224:I1320)-I1272))</f>
        <v>1.77173874384151</v>
      </c>
    </row>
    <row r="1273" customFormat="false" ht="15" hidden="false" customHeight="false" outlineLevel="0" collapsed="false">
      <c r="A1273" s="24" t="n">
        <v>46274.6354166667</v>
      </c>
      <c r="B1273" s="10" t="n">
        <v>4.0959</v>
      </c>
      <c r="C1273" s="10" t="n">
        <v>2.3277</v>
      </c>
      <c r="D1273" s="10" t="n">
        <f aca="false">IF(OR(B1273="",C1273="",B1273&lt;=0.05,C1273&lt;=0.05),0,1)</f>
        <v>1</v>
      </c>
      <c r="E1273" s="25" t="n">
        <f aca="false">IF(OR(A1273&lt;Resumen!$B$6,A1273&gt;=Resumen!$B$7),0,MAX(0,AVERAGEIFS(B1225:B1321,D1225:D1321,1)-Resumen!$B$5*AVERAGEIFS(C1225:C1321,D1225:D1321,1)))</f>
        <v>0.594619270103094</v>
      </c>
      <c r="F1273" s="10" t="n">
        <f aca="false">IF(B1273="","",(B1273-E1273)/Resumen!$B$5)</f>
        <v>2.78100137402455</v>
      </c>
      <c r="G1273" s="10" t="n">
        <f aca="false">IF(OR(F1273="",C1273=""),0,(F1273-C1273)*0.9)</f>
        <v>0.407971236622094</v>
      </c>
      <c r="H1273" s="26" t="n">
        <f aca="false">IF(A1273&lt;Resumen!$B$11,"",IF(H1272="",0,H1272)+G1273/Resumen!$B$9)</f>
        <v>1.25457279041006</v>
      </c>
      <c r="I1273" s="26" t="n">
        <f aca="false">IF(H1273="","",H1273-AVERAGE(H1225:H1321))</f>
        <v>0.00771810711332654</v>
      </c>
      <c r="J1273" s="27" t="n">
        <f aca="false">IF(I1273="","",Resumen!$B$10-(MAX(I1225:I1321)-I1273))</f>
        <v>1.79095058856835</v>
      </c>
    </row>
    <row r="1274" customFormat="false" ht="15" hidden="false" customHeight="false" outlineLevel="0" collapsed="false">
      <c r="A1274" s="24" t="n">
        <v>46274.6458333333</v>
      </c>
      <c r="B1274" s="10" t="n">
        <v>4.7674</v>
      </c>
      <c r="C1274" s="10" t="n">
        <v>3.1199</v>
      </c>
      <c r="D1274" s="10" t="n">
        <f aca="false">IF(OR(B1274="",C1274="",B1274&lt;=0.05,C1274&lt;=0.05),0,1)</f>
        <v>1</v>
      </c>
      <c r="E1274" s="25" t="n">
        <f aca="false">IF(OR(A1274&lt;Resumen!$B$6,A1274&gt;=Resumen!$B$7),0,MAX(0,AVERAGEIFS(B1226:B1322,D1226:D1322,1)-Resumen!$B$5*AVERAGEIFS(C1226:C1322,D1226:D1322,1)))</f>
        <v>0.593752612371134</v>
      </c>
      <c r="F1274" s="10" t="n">
        <f aca="false">IF(B1274="","",(B1274-E1274)/Resumen!$B$5)</f>
        <v>3.3150495533192</v>
      </c>
      <c r="G1274" s="10" t="n">
        <f aca="false">IF(OR(F1274="",C1274=""),0,(F1274-C1274)*0.9)</f>
        <v>0.175634597987276</v>
      </c>
      <c r="H1274" s="26" t="n">
        <f aca="false">IF(A1274&lt;Resumen!$B$11,"",IF(H1273="",0,H1273)+G1274/Resumen!$B$9)</f>
        <v>1.26287484288169</v>
      </c>
      <c r="I1274" s="26" t="n">
        <f aca="false">IF(H1274="","",H1274-AVERAGE(H1226:H1322))</f>
        <v>0.0159929267703045</v>
      </c>
      <c r="J1274" s="27" t="n">
        <f aca="false">IF(I1274="","",Resumen!$B$10-(MAX(I1226:I1322)-I1274))</f>
        <v>1.79922540822533</v>
      </c>
    </row>
    <row r="1275" customFormat="false" ht="15" hidden="false" customHeight="false" outlineLevel="0" collapsed="false">
      <c r="A1275" s="24" t="n">
        <v>46274.65625</v>
      </c>
      <c r="B1275" s="10" t="n">
        <v>4.0414</v>
      </c>
      <c r="C1275" s="10" t="n">
        <v>2.6033</v>
      </c>
      <c r="D1275" s="10" t="n">
        <f aca="false">IF(OR(B1275="",C1275="",B1275&lt;=0.05,C1275&lt;=0.05),0,1)</f>
        <v>1</v>
      </c>
      <c r="E1275" s="25" t="n">
        <f aca="false">IF(OR(A1275&lt;Resumen!$B$6,A1275&gt;=Resumen!$B$7),0,MAX(0,AVERAGEIFS(B1227:B1323,D1227:D1323,1)-Resumen!$B$5*AVERAGEIFS(C1227:C1323,D1227:D1323,1)))</f>
        <v>0.594433544329897</v>
      </c>
      <c r="F1275" s="10" t="n">
        <f aca="false">IF(B1275="","",(B1275-E1275)/Resumen!$B$5)</f>
        <v>2.73786056844329</v>
      </c>
      <c r="G1275" s="10" t="n">
        <f aca="false">IF(OR(F1275="",C1275=""),0,(F1275-C1275)*0.9)</f>
        <v>0.121104511598962</v>
      </c>
      <c r="H1275" s="26" t="n">
        <f aca="false">IF(A1275&lt;Resumen!$B$11,"",IF(H1274="",0,H1274)+G1275/Resumen!$B$9)</f>
        <v>1.26859931870461</v>
      </c>
      <c r="I1275" s="26" t="n">
        <f aca="false">IF(H1275="","",H1275-AVERAGE(H1227:H1323))</f>
        <v>0.0216798697593144</v>
      </c>
      <c r="J1275" s="27" t="n">
        <f aca="false">IF(I1275="","",Resumen!$B$10-(MAX(I1227:I1323)-I1275))</f>
        <v>1.80491235121434</v>
      </c>
    </row>
    <row r="1276" customFormat="false" ht="15" hidden="false" customHeight="false" outlineLevel="0" collapsed="false">
      <c r="A1276" s="24" t="n">
        <v>46274.6666666667</v>
      </c>
      <c r="B1276" s="10" t="n">
        <v>3.985</v>
      </c>
      <c r="C1276" s="10" t="n">
        <v>2.8352</v>
      </c>
      <c r="D1276" s="10" t="n">
        <f aca="false">IF(OR(B1276="",C1276="",B1276&lt;=0.05,C1276&lt;=0.05),0,1)</f>
        <v>1</v>
      </c>
      <c r="E1276" s="25" t="n">
        <f aca="false">IF(OR(A1276&lt;Resumen!$B$6,A1276&gt;=Resumen!$B$7),0,MAX(0,AVERAGEIFS(B1228:B1324,D1228:D1324,1)-Resumen!$B$5*AVERAGEIFS(C1228:C1324,D1228:D1324,1)))</f>
        <v>0.593456409278351</v>
      </c>
      <c r="F1276" s="10" t="n">
        <f aca="false">IF(B1276="","",(B1276-E1276)/Resumen!$B$5)</f>
        <v>2.69383923012045</v>
      </c>
      <c r="G1276" s="10" t="n">
        <f aca="false">IF(OR(F1276="",C1276=""),0,(F1276-C1276)*0.9)</f>
        <v>-0.127224692891593</v>
      </c>
      <c r="H1276" s="26" t="n">
        <f aca="false">IF(A1276&lt;Resumen!$B$11,"",IF(H1275="",0,H1275)+G1276/Resumen!$B$9)</f>
        <v>1.26258554870611</v>
      </c>
      <c r="I1276" s="26" t="n">
        <f aca="false">IF(H1276="","",H1276-AVERAGE(H1228:H1324))</f>
        <v>0.0156733625447174</v>
      </c>
      <c r="J1276" s="27" t="n">
        <f aca="false">IF(I1276="","",Resumen!$B$10-(MAX(I1228:I1324)-I1276))</f>
        <v>1.79890584399975</v>
      </c>
    </row>
    <row r="1277" customFormat="false" ht="15" hidden="false" customHeight="false" outlineLevel="0" collapsed="false">
      <c r="A1277" s="24" t="n">
        <v>46274.6770833333</v>
      </c>
      <c r="B1277" s="10" t="n">
        <v>3.6273</v>
      </c>
      <c r="C1277" s="10" t="n">
        <v>2.3555</v>
      </c>
      <c r="D1277" s="10" t="n">
        <f aca="false">IF(OR(B1277="",C1277="",B1277&lt;=0.05,C1277&lt;=0.05),0,1)</f>
        <v>1</v>
      </c>
      <c r="E1277" s="25" t="n">
        <f aca="false">IF(OR(A1277&lt;Resumen!$B$6,A1277&gt;=Resumen!$B$7),0,MAX(0,AVERAGEIFS(B1229:B1325,D1229:D1325,1)-Resumen!$B$5*AVERAGEIFS(C1229:C1325,D1229:D1325,1)))</f>
        <v>0.595142330927835</v>
      </c>
      <c r="F1277" s="10" t="n">
        <f aca="false">IF(B1277="","",(B1277-E1277)/Resumen!$B$5)</f>
        <v>2.40838575780156</v>
      </c>
      <c r="G1277" s="10" t="n">
        <f aca="false">IF(OR(F1277="",C1277=""),0,(F1277-C1277)*0.9)</f>
        <v>0.0475971820214044</v>
      </c>
      <c r="H1277" s="26" t="n">
        <f aca="false">IF(A1277&lt;Resumen!$B$11,"",IF(H1276="",0,H1276)+G1277/Resumen!$B$9)</f>
        <v>1.26483541466175</v>
      </c>
      <c r="I1277" s="26" t="n">
        <f aca="false">IF(H1277="","",H1277-AVERAGE(H1229:H1325))</f>
        <v>0.0178835234881751</v>
      </c>
      <c r="J1277" s="27" t="n">
        <f aca="false">IF(I1277="","",Resumen!$B$10-(MAX(I1229:I1325)-I1277))</f>
        <v>1.8011160049432</v>
      </c>
    </row>
    <row r="1278" customFormat="false" ht="15" hidden="false" customHeight="false" outlineLevel="0" collapsed="false">
      <c r="A1278" s="24" t="n">
        <v>46274.6875</v>
      </c>
      <c r="B1278" s="10" t="n">
        <v>4.1612</v>
      </c>
      <c r="C1278" s="10" t="n">
        <v>2.7366</v>
      </c>
      <c r="D1278" s="10" t="n">
        <f aca="false">IF(OR(B1278="",C1278="",B1278&lt;=0.05,C1278&lt;=0.05),0,1)</f>
        <v>1</v>
      </c>
      <c r="E1278" s="25" t="n">
        <f aca="false">IF(OR(A1278&lt;Resumen!$B$6,A1278&gt;=Resumen!$B$7),0,MAX(0,AVERAGEIFS(B1230:B1326,D1230:D1326,1)-Resumen!$B$5*AVERAGEIFS(C1230:C1326,D1230:D1326,1)))</f>
        <v>0.591273341237113</v>
      </c>
      <c r="F1278" s="10" t="n">
        <f aca="false">IF(B1278="","",(B1278-E1278)/Resumen!$B$5)</f>
        <v>2.83552554309999</v>
      </c>
      <c r="G1278" s="10" t="n">
        <f aca="false">IF(OR(F1278="",C1278=""),0,(F1278-C1278)*0.9)</f>
        <v>0.0890329887899904</v>
      </c>
      <c r="H1278" s="26" t="n">
        <f aca="false">IF(A1278&lt;Resumen!$B$11,"",IF(H1277="",0,H1277)+G1278/Resumen!$B$9)</f>
        <v>1.26904390520468</v>
      </c>
      <c r="I1278" s="26" t="n">
        <f aca="false">IF(H1278="","",H1278-AVERAGE(H1230:H1326))</f>
        <v>0.0221904670074444</v>
      </c>
      <c r="J1278" s="27" t="n">
        <f aca="false">IF(I1278="","",Resumen!$B$10-(MAX(I1230:I1326)-I1278))</f>
        <v>1.80542294846247</v>
      </c>
    </row>
    <row r="1279" customFormat="false" ht="15" hidden="false" customHeight="false" outlineLevel="0" collapsed="false">
      <c r="A1279" s="24" t="n">
        <v>46274.6979166667</v>
      </c>
      <c r="B1279" s="10" t="n">
        <v>3.8542</v>
      </c>
      <c r="C1279" s="10" t="n">
        <v>3.0867</v>
      </c>
      <c r="D1279" s="10" t="n">
        <f aca="false">IF(OR(B1279="",C1279="",B1279&lt;=0.05,C1279&lt;=0.05),0,1)</f>
        <v>1</v>
      </c>
      <c r="E1279" s="25" t="n">
        <f aca="false">IF(OR(A1279&lt;Resumen!$B$6,A1279&gt;=Resumen!$B$7),0,MAX(0,AVERAGEIFS(B1231:B1327,D1231:D1327,1)-Resumen!$B$5*AVERAGEIFS(C1231:C1327,D1231:D1327,1)))</f>
        <v>0.596711674226805</v>
      </c>
      <c r="F1279" s="10" t="n">
        <f aca="false">IF(B1279="","",(B1279-E1279)/Resumen!$B$5)</f>
        <v>2.58736165669039</v>
      </c>
      <c r="G1279" s="10" t="n">
        <f aca="false">IF(OR(F1279="",C1279=""),0,(F1279-C1279)*0.9)</f>
        <v>-0.449404508978653</v>
      </c>
      <c r="H1279" s="26" t="n">
        <f aca="false">IF(A1279&lt;Resumen!$B$11,"",IF(H1278="",0,H1278)+G1279/Resumen!$B$9)</f>
        <v>1.24780105295755</v>
      </c>
      <c r="I1279" s="26" t="n">
        <f aca="false">IF(H1279="","",H1279-AVERAGE(H1231:H1327))</f>
        <v>0.000871357296149844</v>
      </c>
      <c r="J1279" s="27" t="n">
        <f aca="false">IF(I1279="","",Resumen!$B$10-(MAX(I1231:I1327)-I1279))</f>
        <v>1.78410383875118</v>
      </c>
    </row>
    <row r="1280" customFormat="false" ht="15" hidden="false" customHeight="false" outlineLevel="0" collapsed="false">
      <c r="A1280" s="24" t="n">
        <v>46274.7083333333</v>
      </c>
      <c r="B1280" s="10" t="n">
        <v>4.0345</v>
      </c>
      <c r="C1280" s="10" t="n">
        <v>3.2103</v>
      </c>
      <c r="D1280" s="10" t="n">
        <f aca="false">IF(OR(B1280="",C1280="",B1280&lt;=0.05,C1280&lt;=0.05),0,1)</f>
        <v>1</v>
      </c>
      <c r="E1280" s="25" t="n">
        <f aca="false">IF(OR(A1280&lt;Resumen!$B$6,A1280&gt;=Resumen!$B$7),0,MAX(0,AVERAGEIFS(B1232:B1328,D1232:D1328,1)-Resumen!$B$5*AVERAGEIFS(C1232:C1328,D1232:D1328,1)))</f>
        <v>0.59408271443299</v>
      </c>
      <c r="F1280" s="10" t="n">
        <f aca="false">IF(B1280="","",(B1280-E1280)/Resumen!$B$5)</f>
        <v>2.73265868591502</v>
      </c>
      <c r="G1280" s="10" t="n">
        <f aca="false">IF(OR(F1280="",C1280=""),0,(F1280-C1280)*0.9)</f>
        <v>-0.429877182676482</v>
      </c>
      <c r="H1280" s="26" t="n">
        <f aca="false">IF(A1280&lt;Resumen!$B$11,"",IF(H1279="",0,H1279)+G1280/Resumen!$B$9)</f>
        <v>1.22748123574708</v>
      </c>
      <c r="I1280" s="26" t="n">
        <f aca="false">IF(H1280="","",H1280-AVERAGE(H1232:H1328))</f>
        <v>-0.01942638759726</v>
      </c>
      <c r="J1280" s="27" t="n">
        <f aca="false">IF(I1280="","",Resumen!$B$10-(MAX(I1232:I1328)-I1280))</f>
        <v>1.76380609385777</v>
      </c>
    </row>
    <row r="1281" customFormat="false" ht="15" hidden="false" customHeight="false" outlineLevel="0" collapsed="false">
      <c r="A1281" s="24" t="n">
        <v>46274.71875</v>
      </c>
      <c r="B1281" s="10" t="n">
        <v>3.5296</v>
      </c>
      <c r="C1281" s="10" t="n">
        <v>2.4272</v>
      </c>
      <c r="D1281" s="10" t="n">
        <f aca="false">IF(OR(B1281="",C1281="",B1281&lt;=0.05,C1281&lt;=0.05),0,1)</f>
        <v>1</v>
      </c>
      <c r="E1281" s="25" t="n">
        <f aca="false">IF(OR(A1281&lt;Resumen!$B$6,A1281&gt;=Resumen!$B$7),0,MAX(0,AVERAGEIFS(B1233:B1329,D1233:D1329,1)-Resumen!$B$5*AVERAGEIFS(C1233:C1329,D1233:D1329,1)))</f>
        <v>0.587873596907216</v>
      </c>
      <c r="F1281" s="10" t="n">
        <f aca="false">IF(B1281="","",(B1281-E1281)/Resumen!$B$5)</f>
        <v>2.33655790555424</v>
      </c>
      <c r="G1281" s="10" t="n">
        <f aca="false">IF(OR(F1281="",C1281=""),0,(F1281-C1281)*0.9)</f>
        <v>-0.0815778850011872</v>
      </c>
      <c r="H1281" s="26" t="n">
        <f aca="false">IF(A1281&lt;Resumen!$B$11,"",IF(H1280="",0,H1280)+G1281/Resumen!$B$9)</f>
        <v>1.22362513968419</v>
      </c>
      <c r="I1281" s="26" t="n">
        <f aca="false">IF(H1281="","",H1281-AVERAGE(H1233:H1329))</f>
        <v>-0.0230369474317025</v>
      </c>
      <c r="J1281" s="27" t="n">
        <f aca="false">IF(I1281="","",Resumen!$B$10-(MAX(I1233:I1329)-I1281))</f>
        <v>1.76019553402333</v>
      </c>
    </row>
    <row r="1282" customFormat="false" ht="15" hidden="false" customHeight="false" outlineLevel="0" collapsed="false">
      <c r="A1282" s="24" t="n">
        <v>46274.7291666667</v>
      </c>
      <c r="B1282" s="10" t="n">
        <v>3.838</v>
      </c>
      <c r="C1282" s="10" t="n">
        <v>2.6067</v>
      </c>
      <c r="D1282" s="10" t="n">
        <f aca="false">IF(OR(B1282="",C1282="",B1282&lt;=0.05,C1282&lt;=0.05),0,1)</f>
        <v>1</v>
      </c>
      <c r="E1282" s="25" t="n">
        <f aca="false">IF(OR(A1282&lt;Resumen!$B$6,A1282&gt;=Resumen!$B$7),0,MAX(0,AVERAGEIFS(B1234:B1330,D1234:D1330,1)-Resumen!$B$5*AVERAGEIFS(C1234:C1330,D1234:D1330,1)))</f>
        <v>0.587074805154639</v>
      </c>
      <c r="F1282" s="10" t="n">
        <f aca="false">IF(B1282="","",(B1282-E1282)/Resumen!$B$5)</f>
        <v>2.58214868534183</v>
      </c>
      <c r="G1282" s="10" t="n">
        <f aca="false">IF(OR(F1282="",C1282=""),0,(F1282-C1282)*0.9)</f>
        <v>-0.022096183192355</v>
      </c>
      <c r="H1282" s="26" t="n">
        <f aca="false">IF(A1282&lt;Resumen!$B$11,"",IF(H1281="",0,H1281)+G1282/Resumen!$B$9)</f>
        <v>1.22258067763408</v>
      </c>
      <c r="I1282" s="26" t="n">
        <f aca="false">IF(H1282="","",H1282-AVERAGE(H1234:H1330))</f>
        <v>-0.0237940900017193</v>
      </c>
      <c r="J1282" s="27" t="n">
        <f aca="false">IF(I1282="","",Resumen!$B$10-(MAX(I1234:I1330)-I1282))</f>
        <v>1.75943839145331</v>
      </c>
    </row>
    <row r="1283" customFormat="false" ht="15" hidden="false" customHeight="false" outlineLevel="0" collapsed="false">
      <c r="A1283" s="24" t="n">
        <v>46274.7395833333</v>
      </c>
      <c r="B1283" s="10" t="n">
        <v>4.181</v>
      </c>
      <c r="C1283" s="10" t="n">
        <v>2.791</v>
      </c>
      <c r="D1283" s="10" t="n">
        <f aca="false">IF(OR(B1283="",C1283="",B1283&lt;=0.05,C1283&lt;=0.05),0,1)</f>
        <v>1</v>
      </c>
      <c r="E1283" s="25" t="n">
        <f aca="false">IF(OR(A1283&lt;Resumen!$B$6,A1283&gt;=Resumen!$B$7),0,MAX(0,AVERAGEIFS(B1235:B1331,D1235:D1331,1)-Resumen!$B$5*AVERAGEIFS(C1235:C1331,D1235:D1331,1)))</f>
        <v>0.58343829072165</v>
      </c>
      <c r="F1283" s="10" t="n">
        <f aca="false">IF(B1283="","",(B1283-E1283)/Resumen!$B$5)</f>
        <v>2.85747554350941</v>
      </c>
      <c r="G1283" s="10" t="n">
        <f aca="false">IF(OR(F1283="",C1283=""),0,(F1283-C1283)*0.9)</f>
        <v>0.0598279891584714</v>
      </c>
      <c r="H1283" s="26" t="n">
        <f aca="false">IF(A1283&lt;Resumen!$B$11,"",IF(H1282="",0,H1282)+G1283/Resumen!$B$9)</f>
        <v>1.22540868026543</v>
      </c>
      <c r="I1283" s="26" t="n">
        <f aca="false">IF(H1283="","",H1283-AVERAGE(H1235:H1331))</f>
        <v>-0.0205423435148928</v>
      </c>
      <c r="J1283" s="27" t="n">
        <f aca="false">IF(I1283="","",Resumen!$B$10-(MAX(I1235:I1331)-I1283))</f>
        <v>1.76269013794014</v>
      </c>
    </row>
    <row r="1284" customFormat="false" ht="15" hidden="false" customHeight="false" outlineLevel="0" collapsed="false">
      <c r="A1284" s="24" t="n">
        <v>46274.75</v>
      </c>
      <c r="B1284" s="10" t="n">
        <v>4.5285</v>
      </c>
      <c r="C1284" s="10" t="n">
        <v>2.9676</v>
      </c>
      <c r="D1284" s="10" t="n">
        <f aca="false">IF(OR(B1284="",C1284="",B1284&lt;=0.05,C1284&lt;=0.05),0,1)</f>
        <v>1</v>
      </c>
      <c r="E1284" s="25" t="n">
        <f aca="false">IF(OR(A1284&lt;Resumen!$B$6,A1284&gt;=Resumen!$B$7),0,MAX(0,AVERAGEIFS(B1236:B1332,D1236:D1332,1)-Resumen!$B$5*AVERAGEIFS(C1236:C1332,D1236:D1332,1)))</f>
        <v>0.583559099999999</v>
      </c>
      <c r="F1284" s="10" t="n">
        <f aca="false">IF(B1284="","",(B1284-E1284)/Resumen!$B$5)</f>
        <v>3.1333922954726</v>
      </c>
      <c r="G1284" s="10" t="n">
        <f aca="false">IF(OR(F1284="",C1284=""),0,(F1284-C1284)*0.9)</f>
        <v>0.149213065925339</v>
      </c>
      <c r="H1284" s="26" t="n">
        <f aca="false">IF(A1284&lt;Resumen!$B$11,"",IF(H1283="",0,H1283)+G1284/Resumen!$B$9)</f>
        <v>1.23246181624753</v>
      </c>
      <c r="I1284" s="26" t="n">
        <f aca="false">IF(H1284="","",H1284-AVERAGE(H1236:H1332))</f>
        <v>-0.0130573740108879</v>
      </c>
      <c r="J1284" s="27" t="n">
        <f aca="false">IF(I1284="","",Resumen!$B$10-(MAX(I1236:I1332)-I1284))</f>
        <v>1.773597117261</v>
      </c>
    </row>
    <row r="1285" customFormat="false" ht="15" hidden="false" customHeight="false" outlineLevel="0" collapsed="false">
      <c r="A1285" s="24" t="n">
        <v>46274.7604166667</v>
      </c>
      <c r="B1285" s="10" t="n">
        <v>4.1679</v>
      </c>
      <c r="C1285" s="10" t="n">
        <v>2.9376</v>
      </c>
      <c r="D1285" s="10" t="n">
        <f aca="false">IF(OR(B1285="",C1285="",B1285&lt;=0.05,C1285&lt;=0.05),0,1)</f>
        <v>1</v>
      </c>
      <c r="E1285" s="25" t="n">
        <f aca="false">IF(OR(A1285&lt;Resumen!$B$6,A1285&gt;=Resumen!$B$7),0,MAX(0,AVERAGEIFS(B1237:B1333,D1237:D1333,1)-Resumen!$B$5*AVERAGEIFS(C1237:C1333,D1237:D1333,1)))</f>
        <v>0.584325661855671</v>
      </c>
      <c r="F1285" s="10" t="n">
        <f aca="false">IF(B1285="","",(B1285-E1285)/Resumen!$B$5)</f>
        <v>2.84636563792242</v>
      </c>
      <c r="G1285" s="10" t="n">
        <f aca="false">IF(OR(F1285="",C1285=""),0,(F1285-C1285)*0.9)</f>
        <v>-0.0821109258698196</v>
      </c>
      <c r="H1285" s="26" t="n">
        <f aca="false">IF(A1285&lt;Resumen!$B$11,"",IF(H1284="",0,H1284)+G1285/Resumen!$B$9)</f>
        <v>1.22858052393453</v>
      </c>
      <c r="I1285" s="26" t="n">
        <f aca="false">IF(H1285="","",H1285-AVERAGE(H1237:H1333))</f>
        <v>-0.0165241048446974</v>
      </c>
      <c r="J1285" s="27" t="n">
        <f aca="false">IF(I1285="","",Resumen!$B$10-(MAX(I1237:I1333)-I1285))</f>
        <v>1.77013038642719</v>
      </c>
    </row>
    <row r="1286" customFormat="false" ht="15" hidden="false" customHeight="false" outlineLevel="0" collapsed="false">
      <c r="A1286" s="24" t="n">
        <v>46274.7708333333</v>
      </c>
      <c r="B1286" s="10" t="n">
        <v>4.0443</v>
      </c>
      <c r="C1286" s="10" t="n">
        <v>2.7517</v>
      </c>
      <c r="D1286" s="10" t="n">
        <f aca="false">IF(OR(B1286="",C1286="",B1286&lt;=0.05,C1286&lt;=0.05),0,1)</f>
        <v>1</v>
      </c>
      <c r="E1286" s="25" t="n">
        <f aca="false">IF(OR(A1286&lt;Resumen!$B$6,A1286&gt;=Resumen!$B$7),0,MAX(0,AVERAGEIFS(B1238:B1334,D1238:D1334,1)-Resumen!$B$5*AVERAGEIFS(C1238:C1334,D1238:D1334,1)))</f>
        <v>0.58556982886598</v>
      </c>
      <c r="F1286" s="10" t="n">
        <f aca="false">IF(B1286="","",(B1286-E1286)/Resumen!$B$5)</f>
        <v>2.74720426619064</v>
      </c>
      <c r="G1286" s="10" t="n">
        <f aca="false">IF(OR(F1286="",C1286=""),0,(F1286-C1286)*0.9)</f>
        <v>-0.00404616042842108</v>
      </c>
      <c r="H1286" s="26" t="n">
        <f aca="false">IF(A1286&lt;Resumen!$B$11,"",IF(H1285="",0,H1285)+G1286/Resumen!$B$9)</f>
        <v>1.22838926642279</v>
      </c>
      <c r="I1286" s="26" t="n">
        <f aca="false">IF(H1286="","",H1286-AVERAGE(H1238:H1334))</f>
        <v>-0.0163315184533179</v>
      </c>
      <c r="J1286" s="27" t="n">
        <f aca="false">IF(I1286="","",Resumen!$B$10-(MAX(I1238:I1334)-I1286))</f>
        <v>1.77032297281857</v>
      </c>
    </row>
    <row r="1287" customFormat="false" ht="15" hidden="false" customHeight="false" outlineLevel="0" collapsed="false">
      <c r="A1287" s="24" t="n">
        <v>46274.78125</v>
      </c>
      <c r="B1287" s="10" t="n">
        <v>4.6295</v>
      </c>
      <c r="C1287" s="10" t="n">
        <v>3.2205</v>
      </c>
      <c r="D1287" s="10" t="n">
        <f aca="false">IF(OR(B1287="",C1287="",B1287&lt;=0.05,C1287&lt;=0.05),0,1)</f>
        <v>1</v>
      </c>
      <c r="E1287" s="25" t="n">
        <f aca="false">IF(OR(A1287&lt;Resumen!$B$6,A1287&gt;=Resumen!$B$7),0,MAX(0,AVERAGEIFS(B1239:B1335,D1239:D1335,1)-Resumen!$B$5*AVERAGEIFS(C1239:C1335,D1239:D1335,1)))</f>
        <v>0.584027518556701</v>
      </c>
      <c r="F1287" s="10" t="n">
        <f aca="false">IF(B1287="","",(B1287-E1287)/Resumen!$B$5)</f>
        <v>3.21324263815989</v>
      </c>
      <c r="G1287" s="10" t="n">
        <f aca="false">IF(OR(F1287="",C1287=""),0,(F1287-C1287)*0.9)</f>
        <v>-0.00653162565610055</v>
      </c>
      <c r="H1287" s="26" t="n">
        <f aca="false">IF(A1287&lt;Resumen!$B$11,"",IF(H1286="",0,H1286)+G1287/Resumen!$B$9)</f>
        <v>1.22808052372891</v>
      </c>
      <c r="I1287" s="26" t="n">
        <f aca="false">IF(H1287="","",H1287-AVERAGE(H1239:H1335))</f>
        <v>-0.0161903486025186</v>
      </c>
      <c r="J1287" s="27" t="n">
        <f aca="false">IF(I1287="","",Resumen!$B$10-(MAX(I1239:I1335)-I1287))</f>
        <v>1.77046414266936</v>
      </c>
    </row>
    <row r="1288" customFormat="false" ht="15" hidden="false" customHeight="false" outlineLevel="0" collapsed="false">
      <c r="A1288" s="24" t="n">
        <v>46274.7916666667</v>
      </c>
      <c r="B1288" s="10" t="n">
        <v>3.8124</v>
      </c>
      <c r="C1288" s="10" t="n">
        <v>2.5696</v>
      </c>
      <c r="D1288" s="10" t="n">
        <f aca="false">IF(OR(B1288="",C1288="",B1288&lt;=0.05,C1288&lt;=0.05),0,1)</f>
        <v>1</v>
      </c>
      <c r="E1288" s="25" t="n">
        <f aca="false">IF(OR(A1288&lt;Resumen!$B$6,A1288&gt;=Resumen!$B$7),0,MAX(0,AVERAGEIFS(B1240:B1336,D1240:D1336,1)-Resumen!$B$5*AVERAGEIFS(C1240:C1336,D1240:D1336,1)))</f>
        <v>0.580142523711341</v>
      </c>
      <c r="F1288" s="10" t="n">
        <f aca="false">IF(B1288="","",(B1288-E1288)/Resumen!$B$5)</f>
        <v>2.56732126790203</v>
      </c>
      <c r="G1288" s="10" t="n">
        <f aca="false">IF(OR(F1288="",C1288=""),0,(F1288-C1288)*0.9)</f>
        <v>-0.00205085888817003</v>
      </c>
      <c r="H1288" s="26" t="n">
        <f aca="false">IF(A1288&lt;Resumen!$B$11,"",IF(H1287="",0,H1287)+G1288/Resumen!$B$9)</f>
        <v>1.22798358190596</v>
      </c>
      <c r="I1288" s="26" t="n">
        <f aca="false">IF(H1288="","",H1288-AVERAGE(H1240:H1336))</f>
        <v>-0.0156912020024873</v>
      </c>
      <c r="J1288" s="27" t="n">
        <f aca="false">IF(I1288="","",Resumen!$B$10-(MAX(I1240:I1336)-I1288))</f>
        <v>1.7709632892694</v>
      </c>
    </row>
    <row r="1289" customFormat="false" ht="15" hidden="false" customHeight="false" outlineLevel="0" collapsed="false">
      <c r="A1289" s="24" t="n">
        <v>46274.8020833333</v>
      </c>
      <c r="B1289" s="10" t="n">
        <v>4.4543</v>
      </c>
      <c r="C1289" s="10" t="n">
        <v>3.156</v>
      </c>
      <c r="D1289" s="10" t="n">
        <f aca="false">IF(OR(B1289="",C1289="",B1289&lt;=0.05,C1289&lt;=0.05),0,1)</f>
        <v>1</v>
      </c>
      <c r="E1289" s="25" t="n">
        <f aca="false">IF(OR(A1289&lt;Resumen!$B$6,A1289&gt;=Resumen!$B$7),0,MAX(0,AVERAGEIFS(B1241:B1337,D1241:D1337,1)-Resumen!$B$5*AVERAGEIFS(C1241:C1337,D1241:D1337,1)))</f>
        <v>0.586241047422681</v>
      </c>
      <c r="F1289" s="10" t="n">
        <f aca="false">IF(B1289="","",(B1289-E1289)/Resumen!$B$5)</f>
        <v>3.0723264118962</v>
      </c>
      <c r="G1289" s="10" t="n">
        <f aca="false">IF(OR(F1289="",C1289=""),0,(F1289-C1289)*0.9)</f>
        <v>-0.0753062292934176</v>
      </c>
      <c r="H1289" s="26" t="n">
        <f aca="false">IF(A1289&lt;Resumen!$B$11,"",IF(H1288="",0,H1288)+G1289/Resumen!$B$9)</f>
        <v>1.22442394004611</v>
      </c>
      <c r="I1289" s="26" t="n">
        <f aca="false">IF(H1289="","",H1289-AVERAGE(H1241:H1337))</f>
        <v>-0.0188452937360655</v>
      </c>
      <c r="J1289" s="27" t="n">
        <f aca="false">IF(I1289="","",Resumen!$B$10-(MAX(I1241:I1337)-I1289))</f>
        <v>1.76780919753582</v>
      </c>
    </row>
    <row r="1290" customFormat="false" ht="15" hidden="false" customHeight="false" outlineLevel="0" collapsed="false">
      <c r="A1290" s="24" t="n">
        <v>46274.8125</v>
      </c>
      <c r="B1290" s="10" t="n">
        <v>4.0248</v>
      </c>
      <c r="C1290" s="10" t="n">
        <v>3.0358</v>
      </c>
      <c r="D1290" s="10" t="n">
        <f aca="false">IF(OR(B1290="",C1290="",B1290&lt;=0.05,C1290&lt;=0.05),0,1)</f>
        <v>1</v>
      </c>
      <c r="E1290" s="25" t="n">
        <f aca="false">IF(OR(A1290&lt;Resumen!$B$6,A1290&gt;=Resumen!$B$7),0,MAX(0,AVERAGEIFS(B1242:B1338,D1242:D1338,1)-Resumen!$B$5*AVERAGEIFS(C1242:C1338,D1242:D1338,1)))</f>
        <v>0.584385526804124</v>
      </c>
      <c r="F1290" s="10" t="n">
        <f aca="false">IF(B1290="","",(B1290-E1290)/Resumen!$B$5)</f>
        <v>2.73265645210157</v>
      </c>
      <c r="G1290" s="10" t="n">
        <f aca="false">IF(OR(F1290="",C1290=""),0,(F1290-C1290)*0.9)</f>
        <v>-0.272829193108587</v>
      </c>
      <c r="H1290" s="26" t="n">
        <f aca="false">IF(A1290&lt;Resumen!$B$11,"",IF(H1289="",0,H1289)+G1290/Resumen!$B$9)</f>
        <v>1.21152760696062</v>
      </c>
      <c r="I1290" s="26" t="n">
        <f aca="false">IF(H1290="","",H1290-AVERAGE(H1242:H1338))</f>
        <v>-0.0312564147454628</v>
      </c>
      <c r="J1290" s="27" t="n">
        <f aca="false">IF(I1290="","",Resumen!$B$10-(MAX(I1242:I1338)-I1290))</f>
        <v>1.75539807652642</v>
      </c>
    </row>
    <row r="1291" customFormat="false" ht="15" hidden="false" customHeight="false" outlineLevel="0" collapsed="false">
      <c r="A1291" s="24" t="n">
        <v>46274.8229166667</v>
      </c>
      <c r="B1291" s="10" t="n">
        <v>3.8964</v>
      </c>
      <c r="C1291" s="10" t="n">
        <v>2.7511</v>
      </c>
      <c r="D1291" s="10" t="n">
        <f aca="false">IF(OR(B1291="",C1291="",B1291&lt;=0.05,C1291&lt;=0.05),0,1)</f>
        <v>1</v>
      </c>
      <c r="E1291" s="25" t="n">
        <f aca="false">IF(OR(A1291&lt;Resumen!$B$6,A1291&gt;=Resumen!$B$7),0,MAX(0,AVERAGEIFS(B1243:B1339,D1243:D1339,1)-Resumen!$B$5*AVERAGEIFS(C1243:C1339,D1243:D1339,1)))</f>
        <v>0.583936906185568</v>
      </c>
      <c r="F1291" s="10" t="n">
        <f aca="false">IF(B1291="","",(B1291-E1291)/Resumen!$B$5)</f>
        <v>2.63102708007501</v>
      </c>
      <c r="G1291" s="10" t="n">
        <f aca="false">IF(OR(F1291="",C1291=""),0,(F1291-C1291)*0.9)</f>
        <v>-0.108065627932495</v>
      </c>
      <c r="H1291" s="26" t="n">
        <f aca="false">IF(A1291&lt;Resumen!$B$11,"",IF(H1290="",0,H1290)+G1291/Resumen!$B$9)</f>
        <v>1.20641946469391</v>
      </c>
      <c r="I1291" s="26" t="n">
        <f aca="false">IF(H1291="","",H1291-AVERAGE(H1243:H1339))</f>
        <v>-0.0358428856450097</v>
      </c>
      <c r="J1291" s="27" t="n">
        <f aca="false">IF(I1291="","",Resumen!$B$10-(MAX(I1243:I1339)-I1291))</f>
        <v>1.75081160562687</v>
      </c>
    </row>
    <row r="1292" customFormat="false" ht="15" hidden="false" customHeight="false" outlineLevel="0" collapsed="false">
      <c r="A1292" s="24" t="n">
        <v>46274.8333333333</v>
      </c>
      <c r="B1292" s="10" t="n">
        <v>3.7468</v>
      </c>
      <c r="C1292" s="10" t="n">
        <v>2.8506</v>
      </c>
      <c r="D1292" s="10" t="n">
        <f aca="false">IF(OR(B1292="",C1292="",B1292&lt;=0.05,C1292&lt;=0.05),0,1)</f>
        <v>1</v>
      </c>
      <c r="E1292" s="25" t="n">
        <f aca="false">IF(OR(A1292&lt;Resumen!$B$6,A1292&gt;=Resumen!$B$7),0,MAX(0,AVERAGEIFS(B1244:B1340,D1244:D1340,1)-Resumen!$B$5*AVERAGEIFS(C1244:C1340,D1244:D1340,1)))</f>
        <v>0.591823957731958</v>
      </c>
      <c r="F1292" s="10" t="n">
        <f aca="false">IF(B1292="","",(B1292-E1292)/Resumen!$B$5)</f>
        <v>2.50593807964102</v>
      </c>
      <c r="G1292" s="10" t="n">
        <f aca="false">IF(OR(F1292="",C1292=""),0,(F1292-C1292)*0.9)</f>
        <v>-0.310195728323084</v>
      </c>
      <c r="H1292" s="26" t="n">
        <f aca="false">IF(A1292&lt;Resumen!$B$11,"",IF(H1291="",0,H1291)+G1292/Resumen!$B$9)</f>
        <v>1.19175685697011</v>
      </c>
      <c r="I1292" s="26" t="n">
        <f aca="false">IF(H1292="","",H1292-AVERAGE(H1244:H1340))</f>
        <v>-0.0502296842905949</v>
      </c>
      <c r="J1292" s="27" t="n">
        <f aca="false">IF(I1292="","",Resumen!$B$10-(MAX(I1244:I1340)-I1292))</f>
        <v>1.73642480698129</v>
      </c>
    </row>
    <row r="1293" customFormat="false" ht="15" hidden="false" customHeight="false" outlineLevel="0" collapsed="false">
      <c r="A1293" s="24" t="n">
        <v>46274.84375</v>
      </c>
      <c r="B1293" s="10" t="n">
        <v>3.2334</v>
      </c>
      <c r="C1293" s="10" t="n">
        <v>1.9851</v>
      </c>
      <c r="D1293" s="10" t="n">
        <f aca="false">IF(OR(B1293="",C1293="",B1293&lt;=0.05,C1293&lt;=0.05),0,1)</f>
        <v>1</v>
      </c>
      <c r="E1293" s="25" t="n">
        <f aca="false">IF(OR(A1293&lt;Resumen!$B$6,A1293&gt;=Resumen!$B$7),0,MAX(0,AVERAGEIFS(B1245:B1341,D1245:D1341,1)-Resumen!$B$5*AVERAGEIFS(C1245:C1341,D1245:D1341,1)))</f>
        <v>0.598363839175258</v>
      </c>
      <c r="F1293" s="10" t="n">
        <f aca="false">IF(B1293="","",(B1293-E1293)/Resumen!$B$5)</f>
        <v>2.09295961940011</v>
      </c>
      <c r="G1293" s="10" t="n">
        <f aca="false">IF(OR(F1293="",C1293=""),0,(F1293-C1293)*0.9)</f>
        <v>0.097073657460102</v>
      </c>
      <c r="H1293" s="26" t="n">
        <f aca="false">IF(A1293&lt;Resumen!$B$11,"",IF(H1292="",0,H1292)+G1293/Resumen!$B$9)</f>
        <v>1.19634542099498</v>
      </c>
      <c r="I1293" s="26" t="n">
        <f aca="false">IF(H1293="","",H1293-AVERAGE(H1245:H1341))</f>
        <v>-0.0455612604071878</v>
      </c>
      <c r="J1293" s="27" t="n">
        <f aca="false">IF(I1293="","",Resumen!$B$10-(MAX(I1245:I1341)-I1293))</f>
        <v>1.7410932308647</v>
      </c>
    </row>
    <row r="1294" customFormat="false" ht="15" hidden="false" customHeight="false" outlineLevel="0" collapsed="false">
      <c r="A1294" s="24" t="n">
        <v>46274.8541666667</v>
      </c>
      <c r="B1294" s="10" t="n">
        <v>3.4559</v>
      </c>
      <c r="C1294" s="10" t="n">
        <v>2.1909</v>
      </c>
      <c r="D1294" s="10" t="n">
        <f aca="false">IF(OR(B1294="",C1294="",B1294&lt;=0.05,C1294&lt;=0.05),0,1)</f>
        <v>1</v>
      </c>
      <c r="E1294" s="25" t="n">
        <f aca="false">IF(OR(A1294&lt;Resumen!$B$6,A1294&gt;=Resumen!$B$7),0,MAX(0,AVERAGEIFS(B1246:B1342,D1246:D1342,1)-Resumen!$B$5*AVERAGEIFS(C1246:C1342,D1246:D1342,1)))</f>
        <v>0.606461094845361</v>
      </c>
      <c r="F1294" s="10" t="n">
        <f aca="false">IF(B1294="","",(B1294-E1294)/Resumen!$B$5)</f>
        <v>2.26325568320464</v>
      </c>
      <c r="G1294" s="10" t="n">
        <f aca="false">IF(OR(F1294="",C1294=""),0,(F1294-C1294)*0.9)</f>
        <v>0.0651201148841739</v>
      </c>
      <c r="H1294" s="26" t="n">
        <f aca="false">IF(A1294&lt;Resumen!$B$11,"",IF(H1293="",0,H1293)+G1294/Resumen!$B$9)</f>
        <v>1.19942357653451</v>
      </c>
      <c r="I1294" s="26" t="n">
        <f aca="false">IF(H1294="","",H1294-AVERAGE(H1246:H1342))</f>
        <v>-0.0426483776277637</v>
      </c>
      <c r="J1294" s="27" t="n">
        <f aca="false">IF(I1294="","",Resumen!$B$10-(MAX(I1246:I1342)-I1294))</f>
        <v>1.74400611364412</v>
      </c>
    </row>
    <row r="1295" customFormat="false" ht="15" hidden="false" customHeight="false" outlineLevel="0" collapsed="false">
      <c r="A1295" s="24" t="n">
        <v>46274.8645833333</v>
      </c>
      <c r="B1295" s="10" t="n">
        <v>3.4874</v>
      </c>
      <c r="C1295" s="10" t="n">
        <v>2.2094</v>
      </c>
      <c r="D1295" s="10" t="n">
        <f aca="false">IF(OR(B1295="",C1295="",B1295&lt;=0.05,C1295&lt;=0.05),0,1)</f>
        <v>1</v>
      </c>
      <c r="E1295" s="25" t="n">
        <f aca="false">IF(OR(A1295&lt;Resumen!$B$6,A1295&gt;=Resumen!$B$7),0,MAX(0,AVERAGEIFS(B1247:B1343,D1247:D1343,1)-Resumen!$B$5*AVERAGEIFS(C1247:C1343,D1247:D1343,1)))</f>
        <v>0.620475121649485</v>
      </c>
      <c r="F1295" s="10" t="n">
        <f aca="false">IF(B1295="","",(B1295-E1295)/Resumen!$B$5)</f>
        <v>2.27714446255005</v>
      </c>
      <c r="G1295" s="10" t="n">
        <f aca="false">IF(OR(F1295="",C1295=""),0,(F1295-C1295)*0.9)</f>
        <v>0.0609700162950471</v>
      </c>
      <c r="H1295" s="26" t="n">
        <f aca="false">IF(A1295&lt;Resumen!$B$11,"",IF(H1294="",0,H1294)+G1295/Resumen!$B$9)</f>
        <v>1.20230556152083</v>
      </c>
      <c r="I1295" s="26" t="n">
        <f aca="false">IF(H1295="","",H1295-AVERAGE(H1247:H1343))</f>
        <v>-0.0403772558186033</v>
      </c>
      <c r="J1295" s="27" t="n">
        <f aca="false">IF(I1295="","",Resumen!$B$10-(MAX(I1247:I1343)-I1295))</f>
        <v>1.73988065570971</v>
      </c>
    </row>
    <row r="1296" customFormat="false" ht="15" hidden="false" customHeight="false" outlineLevel="0" collapsed="false">
      <c r="A1296" s="24" t="n">
        <v>46274.875</v>
      </c>
      <c r="B1296" s="10" t="n">
        <v>4.2257</v>
      </c>
      <c r="C1296" s="10" t="n">
        <v>2.9031</v>
      </c>
      <c r="D1296" s="10" t="n">
        <f aca="false">IF(OR(B1296="",C1296="",B1296&lt;=0.05,C1296&lt;=0.05),0,1)</f>
        <v>1</v>
      </c>
      <c r="E1296" s="25" t="n">
        <f aca="false">IF(OR(A1296&lt;Resumen!$B$6,A1296&gt;=Resumen!$B$7),0,MAX(0,AVERAGEIFS(B1248:B1344,D1248:D1344,1)-Resumen!$B$5*AVERAGEIFS(C1248:C1344,D1248:D1344,1)))</f>
        <v>0.616674863917526</v>
      </c>
      <c r="F1296" s="10" t="n">
        <f aca="false">IF(B1296="","",(B1296-E1296)/Resumen!$B$5)</f>
        <v>2.86658072762706</v>
      </c>
      <c r="G1296" s="10" t="n">
        <f aca="false">IF(OR(F1296="",C1296=""),0,(F1296-C1296)*0.9)</f>
        <v>-0.032867345135642</v>
      </c>
      <c r="H1296" s="26" t="n">
        <f aca="false">IF(A1296&lt;Resumen!$B$11,"",IF(H1295="",0,H1295)+G1296/Resumen!$B$9)</f>
        <v>1.20075195860292</v>
      </c>
      <c r="I1296" s="26" t="n">
        <f aca="false">IF(H1296="","",H1296-AVERAGE(H1248:H1344))</f>
        <v>-0.0423855318834452</v>
      </c>
      <c r="J1296" s="27" t="n">
        <f aca="false">IF(I1296="","",Resumen!$B$10-(MAX(I1248:I1344)-I1296))</f>
        <v>1.73465005366923</v>
      </c>
    </row>
    <row r="1297" customFormat="false" ht="15" hidden="false" customHeight="false" outlineLevel="0" collapsed="false">
      <c r="A1297" s="24" t="n">
        <v>46274.8854166667</v>
      </c>
      <c r="B1297" s="10" t="n">
        <v>3.7468</v>
      </c>
      <c r="C1297" s="10" t="n">
        <v>2.3288</v>
      </c>
      <c r="D1297" s="10" t="n">
        <f aca="false">IF(OR(B1297="",C1297="",B1297&lt;=0.05,C1297&lt;=0.05),0,1)</f>
        <v>1</v>
      </c>
      <c r="E1297" s="25" t="n">
        <f aca="false">IF(OR(A1297&lt;Resumen!$B$6,A1297&gt;=Resumen!$B$7),0,MAX(0,AVERAGEIFS(B1249:B1345,D1249:D1345,1)-Resumen!$B$5*AVERAGEIFS(C1249:C1345,D1249:D1345,1)))</f>
        <v>0.61890407628866</v>
      </c>
      <c r="F1297" s="10" t="n">
        <f aca="false">IF(B1297="","",(B1297-E1297)/Resumen!$B$5)</f>
        <v>2.48442885124014</v>
      </c>
      <c r="G1297" s="10" t="n">
        <f aca="false">IF(OR(F1297="",C1297=""),0,(F1297-C1297)*0.9)</f>
        <v>0.140065966116128</v>
      </c>
      <c r="H1297" s="26" t="n">
        <f aca="false">IF(A1297&lt;Resumen!$B$11,"",IF(H1296="",0,H1296)+G1297/Resumen!$B$9)</f>
        <v>1.2073727213314</v>
      </c>
      <c r="I1297" s="26" t="n">
        <f aca="false">IF(H1297="","",H1297-AVERAGE(H1249:H1345))</f>
        <v>-0.0362637783919442</v>
      </c>
      <c r="J1297" s="27" t="n">
        <f aca="false">IF(I1297="","",Resumen!$B$10-(MAX(I1249:I1345)-I1297))</f>
        <v>1.71272273159777</v>
      </c>
    </row>
    <row r="1298" customFormat="false" ht="15" hidden="false" customHeight="false" outlineLevel="0" collapsed="false">
      <c r="A1298" s="24" t="n">
        <v>46274.8958333333</v>
      </c>
      <c r="B1298" s="10" t="n">
        <v>3.1363</v>
      </c>
      <c r="C1298" s="10" t="n">
        <v>1.8163</v>
      </c>
      <c r="D1298" s="10" t="n">
        <f aca="false">IF(OR(B1298="",C1298="",B1298&lt;=0.05,C1298&lt;=0.05),0,1)</f>
        <v>1</v>
      </c>
      <c r="E1298" s="25" t="n">
        <f aca="false">IF(OR(A1298&lt;Resumen!$B$6,A1298&gt;=Resumen!$B$7),0,MAX(0,AVERAGEIFS(B1250:B1346,D1250:D1346,1)-Resumen!$B$5*AVERAGEIFS(C1250:C1346,D1250:D1346,1)))</f>
        <v>0.626099096907217</v>
      </c>
      <c r="F1298" s="10" t="n">
        <f aca="false">IF(B1298="","",(B1298-E1298)/Resumen!$B$5)</f>
        <v>1.99380532414042</v>
      </c>
      <c r="G1298" s="10" t="n">
        <f aca="false">IF(OR(F1298="",C1298=""),0,(F1298-C1298)*0.9)</f>
        <v>0.159754791726374</v>
      </c>
      <c r="H1298" s="26" t="n">
        <f aca="false">IF(A1298&lt;Resumen!$B$11,"",IF(H1297="",0,H1297)+G1298/Resumen!$B$9)</f>
        <v>1.21492415298954</v>
      </c>
      <c r="I1298" s="26" t="n">
        <f aca="false">IF(H1298="","",H1298-AVERAGE(H1250:H1346))</f>
        <v>-0.029426904272261</v>
      </c>
      <c r="J1298" s="27" t="n">
        <f aca="false">IF(I1298="","",Resumen!$B$10-(MAX(I1250:I1346)-I1298))</f>
        <v>1.71926942759217</v>
      </c>
    </row>
    <row r="1299" customFormat="false" ht="15" hidden="false" customHeight="false" outlineLevel="0" collapsed="false">
      <c r="A1299" s="24" t="n">
        <v>46274.90625</v>
      </c>
      <c r="B1299" s="10" t="n">
        <v>3.1568</v>
      </c>
      <c r="C1299" s="10" t="n">
        <v>1.9328</v>
      </c>
      <c r="D1299" s="10" t="n">
        <f aca="false">IF(OR(B1299="",C1299="",B1299&lt;=0.05,C1299&lt;=0.05),0,1)</f>
        <v>1</v>
      </c>
      <c r="E1299" s="25" t="n">
        <f aca="false">IF(OR(A1299&lt;Resumen!$B$6,A1299&gt;=Resumen!$B$7),0,MAX(0,AVERAGEIFS(B1251:B1347,D1251:D1347,1)-Resumen!$B$5*AVERAGEIFS(C1251:C1347,D1251:D1347,1)))</f>
        <v>0.614649365979382</v>
      </c>
      <c r="F1299" s="10" t="n">
        <f aca="false">IF(B1299="","",(B1299-E1299)/Resumen!$B$5)</f>
        <v>2.01918239397984</v>
      </c>
      <c r="G1299" s="10" t="n">
        <f aca="false">IF(OR(F1299="",C1299=""),0,(F1299-C1299)*0.9)</f>
        <v>0.0777441545818556</v>
      </c>
      <c r="H1299" s="26" t="n">
        <f aca="false">IF(A1299&lt;Resumen!$B$11,"",IF(H1298="",0,H1298)+G1299/Resumen!$B$9)</f>
        <v>1.2185990328714</v>
      </c>
      <c r="I1299" s="26" t="n">
        <f aca="false">IF(H1299="","",H1299-AVERAGE(H1251:H1347))</f>
        <v>-0.0260529539765828</v>
      </c>
      <c r="J1299" s="27" t="n">
        <f aca="false">IF(I1299="","",Resumen!$B$10-(MAX(I1251:I1347)-I1299))</f>
        <v>1.72264337788785</v>
      </c>
    </row>
    <row r="1300" customFormat="false" ht="15" hidden="false" customHeight="false" outlineLevel="0" collapsed="false">
      <c r="A1300" s="24" t="n">
        <v>46274.9166666667</v>
      </c>
      <c r="B1300" s="10" t="n">
        <v>3.2521</v>
      </c>
      <c r="C1300" s="10" t="n">
        <v>2.0318</v>
      </c>
      <c r="D1300" s="10" t="n">
        <f aca="false">IF(OR(B1300="",C1300="",B1300&lt;=0.05,C1300&lt;=0.05),0,1)</f>
        <v>1</v>
      </c>
      <c r="E1300" s="25" t="n">
        <f aca="false">IF(OR(A1300&lt;Resumen!$B$6,A1300&gt;=Resumen!$B$7),0,MAX(0,AVERAGEIFS(B1252:B1348,D1252:D1348,1)-Resumen!$B$5*AVERAGEIFS(C1252:C1348,D1252:D1348,1)))</f>
        <v>0.608649319587629</v>
      </c>
      <c r="F1300" s="10" t="n">
        <f aca="false">IF(B1300="","",(B1300-E1300)/Resumen!$B$5)</f>
        <v>2.09964311390975</v>
      </c>
      <c r="G1300" s="10" t="n">
        <f aca="false">IF(OR(F1300="",C1300=""),0,(F1300-C1300)*0.9)</f>
        <v>0.0610588025187722</v>
      </c>
      <c r="H1300" s="26" t="n">
        <f aca="false">IF(A1300&lt;Resumen!$B$11,"",IF(H1299="",0,H1299)+G1300/Resumen!$B$9)</f>
        <v>1.22148521468395</v>
      </c>
      <c r="I1300" s="26" t="n">
        <f aca="false">IF(H1300="","",H1300-AVERAGE(H1252:H1348))</f>
        <v>-0.0232400588544157</v>
      </c>
      <c r="J1300" s="27" t="n">
        <f aca="false">IF(I1300="","",Resumen!$B$10-(MAX(I1252:I1348)-I1300))</f>
        <v>1.72545627301002</v>
      </c>
    </row>
    <row r="1301" customFormat="false" ht="15" hidden="false" customHeight="false" outlineLevel="0" collapsed="false">
      <c r="A1301" s="24" t="n">
        <v>46274.9270833333</v>
      </c>
      <c r="B1301" s="10" t="n">
        <v>3.2303</v>
      </c>
      <c r="C1301" s="10" t="n">
        <v>1.7747</v>
      </c>
      <c r="D1301" s="10" t="n">
        <f aca="false">IF(OR(B1301="",C1301="",B1301&lt;=0.05,C1301&lt;=0.05),0,1)</f>
        <v>1</v>
      </c>
      <c r="E1301" s="25" t="n">
        <f aca="false">IF(OR(A1301&lt;Resumen!$B$6,A1301&gt;=Resumen!$B$7),0,MAX(0,AVERAGEIFS(B1253:B1349,D1253:D1349,1)-Resumen!$B$5*AVERAGEIFS(C1253:C1349,D1253:D1349,1)))</f>
        <v>0.614205502061856</v>
      </c>
      <c r="F1301" s="10" t="n">
        <f aca="false">IF(B1301="","",(B1301-E1301)/Resumen!$B$5)</f>
        <v>2.07791461313594</v>
      </c>
      <c r="G1301" s="10" t="n">
        <f aca="false">IF(OR(F1301="",C1301=""),0,(F1301-C1301)*0.9)</f>
        <v>0.272893151822343</v>
      </c>
      <c r="H1301" s="26" t="n">
        <f aca="false">IF(A1301&lt;Resumen!$B$11,"",IF(H1300="",0,H1300)+G1301/Resumen!$B$9)</f>
        <v>1.23438457102683</v>
      </c>
      <c r="I1301" s="26" t="n">
        <f aca="false">IF(H1301="","",H1301-AVERAGE(H1253:H1349))</f>
        <v>-0.0105801556372589</v>
      </c>
      <c r="J1301" s="27" t="n">
        <f aca="false">IF(I1301="","",Resumen!$B$10-(MAX(I1253:I1349)-I1301))</f>
        <v>1.73811617622717</v>
      </c>
    </row>
    <row r="1302" customFormat="false" ht="15" hidden="false" customHeight="false" outlineLevel="0" collapsed="false">
      <c r="A1302" s="24" t="n">
        <v>46274.9375</v>
      </c>
      <c r="B1302" s="10" t="n">
        <v>3.3749</v>
      </c>
      <c r="C1302" s="10" t="n">
        <v>2.1586</v>
      </c>
      <c r="D1302" s="10" t="n">
        <f aca="false">IF(OR(B1302="",C1302="",B1302&lt;=0.05,C1302&lt;=0.05),0,1)</f>
        <v>1</v>
      </c>
      <c r="E1302" s="25" t="n">
        <f aca="false">IF(OR(A1302&lt;Resumen!$B$6,A1302&gt;=Resumen!$B$7),0,MAX(0,AVERAGEIFS(B1254:B1350,D1254:D1350,1)-Resumen!$B$5*AVERAGEIFS(C1254:C1350,D1254:D1350,1)))</f>
        <v>0.614644125773196</v>
      </c>
      <c r="F1302" s="10" t="n">
        <f aca="false">IF(B1302="","",(B1302-E1302)/Resumen!$B$5)</f>
        <v>2.1924192805614</v>
      </c>
      <c r="G1302" s="10" t="n">
        <f aca="false">IF(OR(F1302="",C1302=""),0,(F1302-C1302)*0.9)</f>
        <v>0.0304373525052613</v>
      </c>
      <c r="H1302" s="26" t="n">
        <f aca="false">IF(A1302&lt;Resumen!$B$11,"",IF(H1301="",0,H1301)+G1302/Resumen!$B$9)</f>
        <v>1.23582331089069</v>
      </c>
      <c r="I1302" s="26" t="n">
        <f aca="false">IF(H1302="","",H1302-AVERAGE(H1254:H1350))</f>
        <v>-0.00937824767137463</v>
      </c>
      <c r="J1302" s="27" t="n">
        <f aca="false">IF(I1302="","",Resumen!$B$10-(MAX(I1254:I1350)-I1302))</f>
        <v>1.73931808419306</v>
      </c>
    </row>
    <row r="1303" customFormat="false" ht="15" hidden="false" customHeight="false" outlineLevel="0" collapsed="false">
      <c r="A1303" s="24" t="n">
        <v>46274.9479166667</v>
      </c>
      <c r="B1303" s="10" t="n">
        <v>3.4449</v>
      </c>
      <c r="C1303" s="10" t="n">
        <v>2.0565</v>
      </c>
      <c r="D1303" s="10" t="n">
        <f aca="false">IF(OR(B1303="",C1303="",B1303&lt;=0.05,C1303&lt;=0.05),0,1)</f>
        <v>1</v>
      </c>
      <c r="E1303" s="25" t="n">
        <f aca="false">IF(OR(A1303&lt;Resumen!$B$6,A1303&gt;=Resumen!$B$7),0,MAX(0,AVERAGEIFS(B1255:B1351,D1255:D1351,1)-Resumen!$B$5*AVERAGEIFS(C1255:C1351,D1255:D1351,1)))</f>
        <v>0.60470695257732</v>
      </c>
      <c r="F1303" s="10" t="n">
        <f aca="false">IF(B1303="","",(B1303-E1303)/Resumen!$B$5)</f>
        <v>2.25591187245646</v>
      </c>
      <c r="G1303" s="10" t="n">
        <f aca="false">IF(OR(F1303="",C1303=""),0,(F1303-C1303)*0.9)</f>
        <v>0.179470685210812</v>
      </c>
      <c r="H1303" s="26" t="n">
        <f aca="false">IF(A1303&lt;Resumen!$B$11,"",IF(H1302="",0,H1302)+G1303/Resumen!$B$9)</f>
        <v>1.24430669094686</v>
      </c>
      <c r="I1303" s="26" t="n">
        <f aca="false">IF(H1303="","",H1303-AVERAGE(H1255:H1351))</f>
        <v>-0.000778603149942825</v>
      </c>
      <c r="J1303" s="27" t="n">
        <f aca="false">IF(I1303="","",Resumen!$B$10-(MAX(I1255:I1351)-I1303))</f>
        <v>1.74791772871449</v>
      </c>
    </row>
    <row r="1304" customFormat="false" ht="15" hidden="false" customHeight="false" outlineLevel="0" collapsed="false">
      <c r="A1304" s="24" t="n">
        <v>46274.9583333333</v>
      </c>
      <c r="B1304" s="10" t="n">
        <v>3.0466</v>
      </c>
      <c r="C1304" s="10" t="n">
        <v>1.8584</v>
      </c>
      <c r="D1304" s="10" t="n">
        <f aca="false">IF(OR(B1304="",C1304="",B1304&lt;=0.05,C1304&lt;=0.05),0,1)</f>
        <v>1</v>
      </c>
      <c r="E1304" s="25" t="n">
        <f aca="false">IF(OR(A1304&lt;Resumen!$B$6,A1304&gt;=Resumen!$B$7),0,MAX(0,AVERAGEIFS(B1256:B1352,D1256:D1352,1)-Resumen!$B$5*AVERAGEIFS(C1256:C1352,D1256:D1352,1)))</f>
        <v>0.611407141237113</v>
      </c>
      <c r="F1304" s="10" t="n">
        <f aca="false">IF(B1304="","",(B1304-E1304)/Resumen!$B$5)</f>
        <v>1.9342278465154</v>
      </c>
      <c r="G1304" s="10" t="n">
        <f aca="false">IF(OR(F1304="",C1304=""),0,(F1304-C1304)*0.9)</f>
        <v>0.0682450618638591</v>
      </c>
      <c r="H1304" s="26" t="n">
        <f aca="false">IF(A1304&lt;Resumen!$B$11,"",IF(H1303="",0,H1303)+G1304/Resumen!$B$9)</f>
        <v>1.24753255926106</v>
      </c>
      <c r="I1304" s="26" t="n">
        <f aca="false">IF(H1304="","",H1304-AVERAGE(H1256:H1352))</f>
        <v>0.0023507136942682</v>
      </c>
      <c r="J1304" s="27" t="n">
        <f aca="false">IF(I1304="","",Resumen!$B$10-(MAX(I1256:I1352)-I1304))</f>
        <v>1.7510470455587</v>
      </c>
    </row>
    <row r="1305" customFormat="false" ht="15" hidden="false" customHeight="false" outlineLevel="0" collapsed="false">
      <c r="A1305" s="24" t="n">
        <v>46274.96875</v>
      </c>
      <c r="B1305" s="10" t="n">
        <v>3.1501</v>
      </c>
      <c r="C1305" s="10" t="n">
        <v>2.049</v>
      </c>
      <c r="D1305" s="10" t="n">
        <f aca="false">IF(OR(B1305="",C1305="",B1305&lt;=0.05,C1305&lt;=0.05),0,1)</f>
        <v>1</v>
      </c>
      <c r="E1305" s="25" t="n">
        <f aca="false">IF(OR(A1305&lt;Resumen!$B$6,A1305&gt;=Resumen!$B$7),0,MAX(0,AVERAGEIFS(B1257:B1353,D1257:D1353,1)-Resumen!$B$5*AVERAGEIFS(C1257:C1353,D1257:D1353,1)))</f>
        <v>0.619782973195877</v>
      </c>
      <c r="F1305" s="10" t="n">
        <f aca="false">IF(B1305="","",(B1305-E1305)/Resumen!$B$5)</f>
        <v>2.00978318252909</v>
      </c>
      <c r="G1305" s="10" t="n">
        <f aca="false">IF(OR(F1305="",C1305=""),0,(F1305-C1305)*0.9)</f>
        <v>-0.0352951357238192</v>
      </c>
      <c r="H1305" s="26" t="n">
        <f aca="false">IF(A1305&lt;Resumen!$B$11,"",IF(H1304="",0,H1304)+G1305/Resumen!$B$9)</f>
        <v>1.24586419737718</v>
      </c>
      <c r="I1305" s="26" t="n">
        <f aca="false">IF(H1305="","",H1305-AVERAGE(H1257:H1353))</f>
        <v>0.000311460566458477</v>
      </c>
      <c r="J1305" s="27" t="n">
        <f aca="false">IF(I1305="","",Resumen!$B$10-(MAX(I1257:I1353)-I1305))</f>
        <v>1.74900779243089</v>
      </c>
    </row>
    <row r="1306" customFormat="false" ht="15" hidden="false" customHeight="false" outlineLevel="0" collapsed="false">
      <c r="A1306" s="24" t="n">
        <v>46274.9791666667</v>
      </c>
      <c r="B1306" s="10" t="n">
        <v>2.7335</v>
      </c>
      <c r="C1306" s="10" t="n">
        <v>1.569</v>
      </c>
      <c r="D1306" s="10" t="n">
        <f aca="false">IF(OR(B1306="",C1306="",B1306&lt;=0.05,C1306&lt;=0.05),0,1)</f>
        <v>1</v>
      </c>
      <c r="E1306" s="25" t="n">
        <f aca="false">IF(OR(A1306&lt;Resumen!$B$6,A1306&gt;=Resumen!$B$7),0,MAX(0,AVERAGEIFS(B1258:B1354,D1258:D1354,1)-Resumen!$B$5*AVERAGEIFS(C1258:C1354,D1258:D1354,1)))</f>
        <v>0.629785918556701</v>
      </c>
      <c r="F1306" s="10" t="n">
        <f aca="false">IF(B1306="","",(B1306-E1306)/Resumen!$B$5)</f>
        <v>1.67094049360071</v>
      </c>
      <c r="G1306" s="10" t="n">
        <f aca="false">IF(OR(F1306="",C1306=""),0,(F1306-C1306)*0.9)</f>
        <v>0.0917464442406424</v>
      </c>
      <c r="H1306" s="26" t="n">
        <f aca="false">IF(A1306&lt;Resumen!$B$11,"",IF(H1305="",0,H1305)+G1306/Resumen!$B$9)</f>
        <v>1.250200949947</v>
      </c>
      <c r="I1306" s="26" t="n">
        <f aca="false">IF(H1306="","",H1306-AVERAGE(H1258:H1354))</f>
        <v>0.00394877637282498</v>
      </c>
      <c r="J1306" s="27" t="n">
        <f aca="false">IF(I1306="","",Resumen!$B$10-(MAX(I1258:I1354)-I1306))</f>
        <v>1.75264510823726</v>
      </c>
    </row>
    <row r="1307" customFormat="false" ht="15" hidden="false" customHeight="false" outlineLevel="0" collapsed="false">
      <c r="A1307" s="24" t="n">
        <v>46274.9895833333</v>
      </c>
      <c r="B1307" s="10" t="n">
        <v>2.6395</v>
      </c>
      <c r="C1307" s="10" t="n">
        <v>1.6154</v>
      </c>
      <c r="D1307" s="10" t="n">
        <f aca="false">IF(OR(B1307="",C1307="",B1307&lt;=0.05,C1307&lt;=0.05),0,1)</f>
        <v>1</v>
      </c>
      <c r="E1307" s="25" t="n">
        <f aca="false">IF(OR(A1307&lt;Resumen!$B$6,A1307&gt;=Resumen!$B$7),0,MAX(0,AVERAGEIFS(B1259:B1355,D1259:D1355,1)-Resumen!$B$5*AVERAGEIFS(C1259:C1355,D1259:D1355,1)))</f>
        <v>0.637320479381444</v>
      </c>
      <c r="F1307" s="10" t="n">
        <f aca="false">IF(B1307="","",(B1307-E1307)/Resumen!$B$5)</f>
        <v>1.59029350327129</v>
      </c>
      <c r="G1307" s="10" t="n">
        <f aca="false">IF(OR(F1307="",C1307=""),0,(F1307-C1307)*0.9)</f>
        <v>-0.0225958470558376</v>
      </c>
      <c r="H1307" s="26" t="n">
        <f aca="false">IF(A1307&lt;Resumen!$B$11,"",IF(H1306="",0,H1306)+G1307/Resumen!$B$9)</f>
        <v>1.24913286934074</v>
      </c>
      <c r="I1307" s="26" t="n">
        <f aca="false">IF(H1307="","",H1307-AVERAGE(H1259:H1355))</f>
        <v>0.00193367320756765</v>
      </c>
      <c r="J1307" s="27" t="n">
        <f aca="false">IF(I1307="","",Resumen!$B$10-(MAX(I1259:I1355)-I1307))</f>
        <v>1.750630005072</v>
      </c>
    </row>
    <row r="1308" customFormat="false" ht="15" hidden="false" customHeight="false" outlineLevel="0" collapsed="false">
      <c r="A1308" s="24" t="n">
        <v>46275</v>
      </c>
      <c r="B1308" s="10" t="n">
        <v>2.6812</v>
      </c>
      <c r="C1308" s="10" t="n">
        <v>1.7755</v>
      </c>
      <c r="D1308" s="10" t="n">
        <f aca="false">IF(OR(B1308="",C1308="",B1308&lt;=0.05,C1308&lt;=0.05),0,1)</f>
        <v>1</v>
      </c>
      <c r="E1308" s="25" t="n">
        <f aca="false">IF(OR(A1308&lt;Resumen!$B$6,A1308&gt;=Resumen!$B$7),0,MAX(0,AVERAGEIFS(B1260:B1356,D1260:D1356,1)-Resumen!$B$5*AVERAGEIFS(C1260:C1356,D1260:D1356,1)))</f>
        <v>0.637915513402062</v>
      </c>
      <c r="F1308" s="10" t="n">
        <f aca="false">IF(B1308="","",(B1308-E1308)/Resumen!$B$5)</f>
        <v>1.62294240396977</v>
      </c>
      <c r="G1308" s="10" t="n">
        <f aca="false">IF(OR(F1308="",C1308=""),0,(F1308-C1308)*0.9)</f>
        <v>-0.137301836427209</v>
      </c>
      <c r="H1308" s="26" t="n">
        <f aca="false">IF(A1308&lt;Resumen!$B$11,"",IF(H1307="",0,H1307)+G1308/Resumen!$B$9)</f>
        <v>1.24264276395414</v>
      </c>
      <c r="I1308" s="26" t="n">
        <f aca="false">IF(H1308="","",H1308-AVERAGE(H1260:H1356))</f>
        <v>-0.00551648357606083</v>
      </c>
      <c r="J1308" s="27" t="n">
        <f aca="false">IF(I1308="","",Resumen!$B$10-(MAX(I1260:I1356)-I1308))</f>
        <v>1.74317984828837</v>
      </c>
    </row>
    <row r="1309" customFormat="false" ht="15" hidden="false" customHeight="false" outlineLevel="0" collapsed="false">
      <c r="A1309" s="24" t="n">
        <v>46275.0104166667</v>
      </c>
      <c r="B1309" s="10" t="n">
        <v>2.6268</v>
      </c>
      <c r="C1309" s="10" t="n">
        <v>1.4585</v>
      </c>
      <c r="D1309" s="10" t="n">
        <f aca="false">IF(OR(B1309="",C1309="",B1309&lt;=0.05,C1309&lt;=0.05),0,1)</f>
        <v>1</v>
      </c>
      <c r="E1309" s="25" t="n">
        <f aca="false">IF(OR(A1309&lt;Resumen!$B$6,A1309&gt;=Resumen!$B$7),0,MAX(0,AVERAGEIFS(B1261:B1357,D1261:D1357,1)-Resumen!$B$5*AVERAGEIFS(C1261:C1357,D1261:D1357,1)))</f>
        <v>0.635988147422681</v>
      </c>
      <c r="F1309" s="10" t="n">
        <f aca="false">IF(B1309="","",(B1309-E1309)/Resumen!$B$5)</f>
        <v>1.58126437853639</v>
      </c>
      <c r="G1309" s="10" t="n">
        <f aca="false">IF(OR(F1309="",C1309=""),0,(F1309-C1309)*0.9)</f>
        <v>0.110487940682754</v>
      </c>
      <c r="H1309" s="26" t="n">
        <f aca="false">IF(A1309&lt;Resumen!$B$11,"",IF(H1308="",0,H1308)+G1309/Resumen!$B$9)</f>
        <v>1.2478654062555</v>
      </c>
      <c r="I1309" s="26" t="n">
        <f aca="false">IF(H1309="","",H1309-AVERAGE(H1261:H1357))</f>
        <v>-0.00117994040093761</v>
      </c>
      <c r="J1309" s="27" t="n">
        <f aca="false">IF(I1309="","",Resumen!$B$10-(MAX(I1261:I1357)-I1309))</f>
        <v>1.74751639146349</v>
      </c>
    </row>
    <row r="1310" customFormat="false" ht="15" hidden="false" customHeight="false" outlineLevel="0" collapsed="false">
      <c r="A1310" s="24" t="n">
        <v>46275.0208333333</v>
      </c>
      <c r="B1310" s="10" t="n">
        <v>2.5749</v>
      </c>
      <c r="C1310" s="10" t="n">
        <v>1.55</v>
      </c>
      <c r="D1310" s="10" t="n">
        <f aca="false">IF(OR(B1310="",C1310="",B1310&lt;=0.05,C1310&lt;=0.05),0,1)</f>
        <v>1</v>
      </c>
      <c r="E1310" s="25" t="n">
        <f aca="false">IF(OR(A1310&lt;Resumen!$B$6,A1310&gt;=Resumen!$B$7),0,MAX(0,AVERAGEIFS(B1262:B1358,D1262:D1358,1)-Resumen!$B$5*AVERAGEIFS(C1262:C1358,D1262:D1358,1)))</f>
        <v>0.633306358762887</v>
      </c>
      <c r="F1310" s="10" t="n">
        <f aca="false">IF(B1310="","",(B1310-E1310)/Resumen!$B$5)</f>
        <v>1.54217127977531</v>
      </c>
      <c r="G1310" s="10" t="n">
        <f aca="false">IF(OR(F1310="",C1310=""),0,(F1310-C1310)*0.9)</f>
        <v>-0.00704584820222225</v>
      </c>
      <c r="H1310" s="26" t="n">
        <f aca="false">IF(A1310&lt;Resumen!$B$11,"",IF(H1309="",0,H1309)+G1310/Resumen!$B$9)</f>
        <v>1.24753235683271</v>
      </c>
      <c r="I1310" s="26" t="n">
        <f aca="false">IF(H1310="","",H1310-AVERAGE(H1262:H1358))</f>
        <v>-0.00230263284271026</v>
      </c>
      <c r="J1310" s="27" t="n">
        <f aca="false">IF(I1310="","",Resumen!$B$10-(MAX(I1262:I1358)-I1310))</f>
        <v>1.74639369902172</v>
      </c>
    </row>
    <row r="1311" customFormat="false" ht="15" hidden="false" customHeight="false" outlineLevel="0" collapsed="false">
      <c r="A1311" s="24" t="n">
        <v>46275.03125</v>
      </c>
      <c r="B1311" s="10" t="n">
        <v>2.5411</v>
      </c>
      <c r="C1311" s="10" t="n">
        <v>1.5301</v>
      </c>
      <c r="D1311" s="10" t="n">
        <f aca="false">IF(OR(B1311="",C1311="",B1311&lt;=0.05,C1311&lt;=0.05),0,1)</f>
        <v>1</v>
      </c>
      <c r="E1311" s="25" t="n">
        <f aca="false">IF(OR(A1311&lt;Resumen!$B$6,A1311&gt;=Resumen!$B$7),0,MAX(0,AVERAGEIFS(B1263:B1359,D1263:D1359,1)-Resumen!$B$5*AVERAGEIFS(C1263:C1359,D1263:D1359,1)))</f>
        <v>0.640265887628867</v>
      </c>
      <c r="F1311" s="10" t="n">
        <f aca="false">IF(B1311="","",(B1311-E1311)/Resumen!$B$5)</f>
        <v>1.50979675327334</v>
      </c>
      <c r="G1311" s="10" t="n">
        <f aca="false">IF(OR(F1311="",C1311=""),0,(F1311-C1311)*0.9)</f>
        <v>-0.0182729220539952</v>
      </c>
      <c r="H1311" s="26" t="n">
        <f aca="false">IF(A1311&lt;Resumen!$B$11,"",IF(H1310="",0,H1310)+G1311/Resumen!$B$9)</f>
        <v>1.24666861609233</v>
      </c>
      <c r="I1311" s="26" t="n">
        <f aca="false">IF(H1311="","",H1311-AVERAGE(H1263:H1359))</f>
        <v>-0.00418347913683004</v>
      </c>
      <c r="J1311" s="27" t="n">
        <f aca="false">IF(I1311="","",Resumen!$B$10-(MAX(I1263:I1359)-I1311))</f>
        <v>1.7445128527276</v>
      </c>
    </row>
    <row r="1312" customFormat="false" ht="15" hidden="false" customHeight="false" outlineLevel="0" collapsed="false">
      <c r="A1312" s="24" t="n">
        <v>46275.0416666667</v>
      </c>
      <c r="B1312" s="10" t="n">
        <v>2.4657</v>
      </c>
      <c r="C1312" s="10" t="n">
        <v>1.4835</v>
      </c>
      <c r="D1312" s="10" t="n">
        <f aca="false">IF(OR(B1312="",C1312="",B1312&lt;=0.05,C1312&lt;=0.05),0,1)</f>
        <v>1</v>
      </c>
      <c r="E1312" s="25" t="n">
        <f aca="false">IF(OR(A1312&lt;Resumen!$B$6,A1312&gt;=Resumen!$B$7),0,MAX(0,AVERAGEIFS(B1264:B1360,D1264:D1360,1)-Resumen!$B$5*AVERAGEIFS(C1264:C1360,D1264:D1360,1)))</f>
        <v>0.632041135051547</v>
      </c>
      <c r="F1312" s="10" t="n">
        <f aca="false">IF(B1312="","",(B1312-E1312)/Resumen!$B$5)</f>
        <v>1.45644071878352</v>
      </c>
      <c r="G1312" s="10" t="n">
        <f aca="false">IF(OR(F1312="",C1312=""),0,(F1312-C1312)*0.9)</f>
        <v>-0.0243533530948306</v>
      </c>
      <c r="H1312" s="26" t="n">
        <f aca="false">IF(A1312&lt;Resumen!$B$11,"",IF(H1311="",0,H1311)+G1312/Resumen!$B$9)</f>
        <v>1.24551746012665</v>
      </c>
      <c r="I1312" s="26" t="n">
        <f aca="false">IF(H1312="","",H1312-AVERAGE(H1264:H1360))</f>
        <v>-0.00606552942830252</v>
      </c>
      <c r="J1312" s="27" t="n">
        <f aca="false">IF(I1312="","",Resumen!$B$10-(MAX(I1264:I1360)-I1312))</f>
        <v>1.74263080243613</v>
      </c>
    </row>
    <row r="1313" customFormat="false" ht="15" hidden="false" customHeight="false" outlineLevel="0" collapsed="false">
      <c r="A1313" s="24" t="n">
        <v>46275.0520833333</v>
      </c>
      <c r="B1313" s="10" t="n">
        <v>2.5174</v>
      </c>
      <c r="C1313" s="10" t="n">
        <v>1.4105</v>
      </c>
      <c r="D1313" s="10" t="n">
        <f aca="false">IF(OR(B1313="",C1313="",B1313&lt;=0.05,C1313&lt;=0.05),0,1)</f>
        <v>1</v>
      </c>
      <c r="E1313" s="25" t="n">
        <f aca="false">IF(OR(A1313&lt;Resumen!$B$6,A1313&gt;=Resumen!$B$7),0,MAX(0,AVERAGEIFS(B1265:B1361,D1265:D1361,1)-Resumen!$B$5*AVERAGEIFS(C1265:C1361,D1265:D1361,1)))</f>
        <v>0.6314799814433</v>
      </c>
      <c r="F1313" s="10" t="n">
        <f aca="false">IF(B1313="","",(B1313-E1313)/Resumen!$B$5)</f>
        <v>1.49795076930635</v>
      </c>
      <c r="G1313" s="10" t="n">
        <f aca="false">IF(OR(F1313="",C1313=""),0,(F1313-C1313)*0.9)</f>
        <v>0.0787056923757188</v>
      </c>
      <c r="H1313" s="26" t="n">
        <f aca="false">IF(A1313&lt;Resumen!$B$11,"",IF(H1312="",0,H1312)+G1313/Resumen!$B$9)</f>
        <v>1.2492377908326</v>
      </c>
      <c r="I1313" s="26" t="n">
        <f aca="false">IF(H1313="","",H1313-AVERAGE(H1265:H1361))</f>
        <v>-0.00304946704591247</v>
      </c>
      <c r="J1313" s="27" t="n">
        <f aca="false">IF(I1313="","",Resumen!$B$10-(MAX(I1265:I1361)-I1313))</f>
        <v>1.74564686481852</v>
      </c>
    </row>
    <row r="1314" customFormat="false" ht="15" hidden="false" customHeight="false" outlineLevel="0" collapsed="false">
      <c r="A1314" s="24" t="n">
        <v>46275.0625</v>
      </c>
      <c r="B1314" s="10" t="n">
        <v>2.529</v>
      </c>
      <c r="C1314" s="10" t="n">
        <v>1.3836</v>
      </c>
      <c r="D1314" s="10" t="n">
        <f aca="false">IF(OR(B1314="",C1314="",B1314&lt;=0.05,C1314&lt;=0.05),0,1)</f>
        <v>1</v>
      </c>
      <c r="E1314" s="25" t="n">
        <f aca="false">IF(OR(A1314&lt;Resumen!$B$6,A1314&gt;=Resumen!$B$7),0,MAX(0,AVERAGEIFS(B1266:B1362,D1266:D1362,1)-Resumen!$B$5*AVERAGEIFS(C1266:C1362,D1266:D1362,1)))</f>
        <v>0.631428322680413</v>
      </c>
      <c r="F1314" s="10" t="n">
        <f aca="false">IF(B1314="","",(B1314-E1314)/Resumen!$B$5)</f>
        <v>1.50720546252549</v>
      </c>
      <c r="G1314" s="10" t="n">
        <f aca="false">IF(OR(F1314="",C1314=""),0,(F1314-C1314)*0.9)</f>
        <v>0.111244916272938</v>
      </c>
      <c r="H1314" s="26" t="n">
        <f aca="false">IF(A1314&lt;Resumen!$B$11,"",IF(H1313="",0,H1313)+G1314/Resumen!$B$9)</f>
        <v>1.25449621452977</v>
      </c>
      <c r="I1314" s="26" t="n">
        <f aca="false">IF(H1314="","",H1314-AVERAGE(H1266:H1362))</f>
        <v>0.00151388785878126</v>
      </c>
      <c r="J1314" s="27" t="n">
        <f aca="false">IF(I1314="","",Resumen!$B$10-(MAX(I1266:I1362)-I1314))</f>
        <v>1.75021021972321</v>
      </c>
    </row>
    <row r="1315" customFormat="false" ht="15" hidden="false" customHeight="false" outlineLevel="0" collapsed="false">
      <c r="A1315" s="24" t="n">
        <v>46275.0729166667</v>
      </c>
      <c r="B1315" s="10" t="n">
        <v>2.4297</v>
      </c>
      <c r="C1315" s="10" t="n">
        <v>1.4261</v>
      </c>
      <c r="D1315" s="10" t="n">
        <f aca="false">IF(OR(B1315="",C1315="",B1315&lt;=0.05,C1315&lt;=0.05),0,1)</f>
        <v>1</v>
      </c>
      <c r="E1315" s="25" t="n">
        <f aca="false">IF(OR(A1315&lt;Resumen!$B$6,A1315&gt;=Resumen!$B$7),0,MAX(0,AVERAGEIFS(B1267:B1363,D1267:D1363,1)-Resumen!$B$5*AVERAGEIFS(C1267:C1363,D1267:D1363,1)))</f>
        <v>0.626562586597938</v>
      </c>
      <c r="F1315" s="10" t="n">
        <f aca="false">IF(B1315="","",(B1315-E1315)/Resumen!$B$5)</f>
        <v>1.43219810437018</v>
      </c>
      <c r="G1315" s="10" t="n">
        <f aca="false">IF(OR(F1315="",C1315=""),0,(F1315-C1315)*0.9)</f>
        <v>0.00548829393316599</v>
      </c>
      <c r="H1315" s="26" t="n">
        <f aca="false">IF(A1315&lt;Resumen!$B$11,"",IF(H1314="",0,H1314)+G1315/Resumen!$B$9)</f>
        <v>1.25475564009133</v>
      </c>
      <c r="I1315" s="26" t="n">
        <f aca="false">IF(H1315="","",H1315-AVERAGE(H1267:H1363))</f>
        <v>0.00124965966304336</v>
      </c>
      <c r="J1315" s="27" t="n">
        <f aca="false">IF(I1315="","",Resumen!$B$10-(MAX(I1267:I1363)-I1315))</f>
        <v>1.74994599152747</v>
      </c>
    </row>
    <row r="1316" customFormat="false" ht="15" hidden="false" customHeight="false" outlineLevel="0" collapsed="false">
      <c r="A1316" s="24" t="n">
        <v>46275.0833333333</v>
      </c>
      <c r="B1316" s="10" t="n">
        <v>2.4719</v>
      </c>
      <c r="C1316" s="10" t="n">
        <v>1.3466</v>
      </c>
      <c r="D1316" s="10" t="n">
        <f aca="false">IF(OR(B1316="",C1316="",B1316&lt;=0.05,C1316&lt;=0.05),0,1)</f>
        <v>1</v>
      </c>
      <c r="E1316" s="25" t="n">
        <f aca="false">IF(OR(A1316&lt;Resumen!$B$6,A1316&gt;=Resumen!$B$7),0,MAX(0,AVERAGEIFS(B1268:B1364,D1268:D1364,1)-Resumen!$B$5*AVERAGEIFS(C1268:C1364,D1268:D1364,1)))</f>
        <v>0.638010753608248</v>
      </c>
      <c r="F1316" s="10" t="n">
        <f aca="false">IF(B1316="","",(B1316-E1316)/Resumen!$B$5)</f>
        <v>1.45662370642713</v>
      </c>
      <c r="G1316" s="10" t="n">
        <f aca="false">IF(OR(F1316="",C1316=""),0,(F1316-C1316)*0.9)</f>
        <v>0.0990213357844141</v>
      </c>
      <c r="H1316" s="26" t="n">
        <f aca="false">IF(A1316&lt;Resumen!$B$11,"",IF(H1315="",0,H1315)+G1316/Resumen!$B$9)</f>
        <v>1.25943626870844</v>
      </c>
      <c r="I1316" s="26" t="n">
        <f aca="false">IF(H1316="","",H1316-AVERAGE(H1268:H1364))</f>
        <v>0.00502744622206475</v>
      </c>
      <c r="J1316" s="27" t="n">
        <f aca="false">IF(I1316="","",Resumen!$B$10-(MAX(I1268:I1364)-I1316))</f>
        <v>1.7537237780865</v>
      </c>
    </row>
    <row r="1317" customFormat="false" ht="15" hidden="false" customHeight="false" outlineLevel="0" collapsed="false">
      <c r="A1317" s="24" t="n">
        <v>46275.09375</v>
      </c>
      <c r="B1317" s="10" t="n">
        <v>2.465</v>
      </c>
      <c r="C1317" s="10" t="n">
        <v>1.3929</v>
      </c>
      <c r="D1317" s="10" t="n">
        <f aca="false">IF(OR(B1317="",C1317="",B1317&lt;=0.05,C1317&lt;=0.05),0,1)</f>
        <v>1</v>
      </c>
      <c r="E1317" s="25" t="n">
        <f aca="false">IF(OR(A1317&lt;Resumen!$B$6,A1317&gt;=Resumen!$B$7),0,MAX(0,AVERAGEIFS(B1269:B1365,D1269:D1365,1)-Resumen!$B$5*AVERAGEIFS(C1269:C1365,D1269:D1365,1)))</f>
        <v>0.645796560824743</v>
      </c>
      <c r="F1317" s="10" t="n">
        <f aca="false">IF(B1317="","",(B1317-E1317)/Resumen!$B$5)</f>
        <v>1.44495904620751</v>
      </c>
      <c r="G1317" s="10" t="n">
        <f aca="false">IF(OR(F1317="",C1317=""),0,(F1317-C1317)*0.9)</f>
        <v>0.0468531415867605</v>
      </c>
      <c r="H1317" s="26" t="n">
        <f aca="false">IF(A1317&lt;Resumen!$B$11,"",IF(H1316="",0,H1316)+G1317/Resumen!$B$9)</f>
        <v>1.2616509646987</v>
      </c>
      <c r="I1317" s="26" t="n">
        <f aca="false">IF(H1317="","",H1317-AVERAGE(H1269:H1365))</f>
        <v>0.00608319435260052</v>
      </c>
      <c r="J1317" s="27" t="n">
        <f aca="false">IF(I1317="","",Resumen!$B$10-(MAX(I1269:I1365)-I1317))</f>
        <v>1.75477952621703</v>
      </c>
    </row>
    <row r="1318" customFormat="false" ht="15" hidden="false" customHeight="false" outlineLevel="0" collapsed="false">
      <c r="A1318" s="24" t="n">
        <v>46275.1041666667</v>
      </c>
      <c r="B1318" s="10" t="n">
        <v>2.6357</v>
      </c>
      <c r="C1318" s="10" t="n">
        <v>2.0935</v>
      </c>
      <c r="D1318" s="10" t="n">
        <f aca="false">IF(OR(B1318="",C1318="",B1318&lt;=0.05,C1318&lt;=0.05),0,1)</f>
        <v>1</v>
      </c>
      <c r="E1318" s="25" t="n">
        <f aca="false">IF(OR(A1318&lt;Resumen!$B$6,A1318&gt;=Resumen!$B$7),0,MAX(0,AVERAGEIFS(B1270:B1366,D1270:D1366,1)-Resumen!$B$5*AVERAGEIFS(C1270:C1366,D1270:D1366,1)))</f>
        <v>0.636599986597938</v>
      </c>
      <c r="F1318" s="10" t="n">
        <f aca="false">IF(B1318="","",(B1318-E1318)/Resumen!$B$5)</f>
        <v>1.5878475086593</v>
      </c>
      <c r="G1318" s="10" t="n">
        <f aca="false">IF(OR(F1318="",C1318=""),0,(F1318-C1318)*0.9)</f>
        <v>-0.455087242206628</v>
      </c>
      <c r="H1318" s="26" t="n">
        <f aca="false">IF(A1318&lt;Resumen!$B$11,"",IF(H1317="",0,H1317)+G1318/Resumen!$B$9)</f>
        <v>1.24013949596039</v>
      </c>
      <c r="I1318" s="26" t="n">
        <f aca="false">IF(H1318="","",H1318-AVERAGE(H1270:H1366))</f>
        <v>-0.0162690799490817</v>
      </c>
      <c r="J1318" s="27" t="n">
        <f aca="false">IF(I1318="","",Resumen!$B$10-(MAX(I1270:I1366)-I1318))</f>
        <v>1.73242725191535</v>
      </c>
    </row>
    <row r="1319" customFormat="false" ht="15" hidden="false" customHeight="false" outlineLevel="0" collapsed="false">
      <c r="A1319" s="24" t="n">
        <v>46275.1145833333</v>
      </c>
      <c r="B1319" s="10" t="n">
        <v>2.6556</v>
      </c>
      <c r="C1319" s="10" t="n">
        <v>1.5482</v>
      </c>
      <c r="D1319" s="10" t="n">
        <f aca="false">IF(OR(B1319="",C1319="",B1319&lt;=0.05,C1319&lt;=0.05),0,1)</f>
        <v>1</v>
      </c>
      <c r="E1319" s="25" t="n">
        <f aca="false">IF(OR(A1319&lt;Resumen!$B$6,A1319&gt;=Resumen!$B$7),0,MAX(0,AVERAGEIFS(B1271:B1367,D1271:D1367,1)-Resumen!$B$5*AVERAGEIFS(C1271:C1367,D1271:D1367,1)))</f>
        <v>0.632398067010309</v>
      </c>
      <c r="F1319" s="10" t="n">
        <f aca="false">IF(B1319="","",(B1319-E1319)/Resumen!$B$5)</f>
        <v>1.60699120968204</v>
      </c>
      <c r="G1319" s="10" t="n">
        <f aca="false">IF(OR(F1319="",C1319=""),0,(F1319-C1319)*0.9)</f>
        <v>0.052912088713838</v>
      </c>
      <c r="H1319" s="26" t="n">
        <f aca="false">IF(A1319&lt;Resumen!$B$11,"",IF(H1318="",0,H1318)+G1319/Resumen!$B$9)</f>
        <v>1.24264059165521</v>
      </c>
      <c r="I1319" s="26" t="n">
        <f aca="false">IF(H1319="","",H1319-AVERAGE(H1271:H1367))</f>
        <v>-0.0144542914936177</v>
      </c>
      <c r="J1319" s="27" t="n">
        <f aca="false">IF(I1319="","",Resumen!$B$10-(MAX(I1271:I1367)-I1319))</f>
        <v>1.73424204037081</v>
      </c>
    </row>
    <row r="1320" customFormat="false" ht="15" hidden="false" customHeight="false" outlineLevel="0" collapsed="false">
      <c r="A1320" s="24" t="n">
        <v>46275.125</v>
      </c>
      <c r="B1320" s="10" t="n">
        <v>2.5857</v>
      </c>
      <c r="C1320" s="10" t="n">
        <v>1.3921</v>
      </c>
      <c r="D1320" s="10" t="n">
        <f aca="false">IF(OR(B1320="",C1320="",B1320&lt;=0.05,C1320&lt;=0.05),0,1)</f>
        <v>1</v>
      </c>
      <c r="E1320" s="25" t="n">
        <f aca="false">IF(OR(A1320&lt;Resumen!$B$6,A1320&gt;=Resumen!$B$7),0,MAX(0,AVERAGEIFS(B1272:B1368,D1272:D1368,1)-Resumen!$B$5*AVERAGEIFS(C1272:C1368,D1272:D1368,1)))</f>
        <v>0.62876853814433</v>
      </c>
      <c r="F1320" s="10" t="n">
        <f aca="false">IF(B1320="","",(B1320-E1320)/Resumen!$B$5)</f>
        <v>1.55435382196638</v>
      </c>
      <c r="G1320" s="10" t="n">
        <f aca="false">IF(OR(F1320="",C1320=""),0,(F1320-C1320)*0.9)</f>
        <v>0.146028439769741</v>
      </c>
      <c r="H1320" s="26" t="n">
        <f aca="false">IF(A1320&lt;Resumen!$B$11,"",IF(H1319="",0,H1319)+G1320/Resumen!$B$9)</f>
        <v>1.24954319389424</v>
      </c>
      <c r="I1320" s="26" t="n">
        <f aca="false">IF(H1320="","",H1320-AVERAGE(H1272:H1368))</f>
        <v>-0.0081029778231354</v>
      </c>
      <c r="J1320" s="27" t="n">
        <f aca="false">IF(I1320="","",Resumen!$B$10-(MAX(I1272:I1368)-I1320))</f>
        <v>1.7405933540413</v>
      </c>
    </row>
    <row r="1321" customFormat="false" ht="15" hidden="false" customHeight="false" outlineLevel="0" collapsed="false">
      <c r="A1321" s="24" t="n">
        <v>46275.1354166667</v>
      </c>
      <c r="B1321" s="10" t="n">
        <v>2.5323</v>
      </c>
      <c r="C1321" s="10" t="n">
        <v>1.4833</v>
      </c>
      <c r="D1321" s="10" t="n">
        <f aca="false">IF(OR(B1321="",C1321="",B1321&lt;=0.05,C1321&lt;=0.05),0,1)</f>
        <v>1</v>
      </c>
      <c r="E1321" s="25" t="n">
        <f aca="false">IF(OR(A1321&lt;Resumen!$B$6,A1321&gt;=Resumen!$B$7),0,MAX(0,AVERAGEIFS(B1273:B1369,D1273:D1369,1)-Resumen!$B$5*AVERAGEIFS(C1273:C1369,D1273:D1369,1)))</f>
        <v>0.624064768041238</v>
      </c>
      <c r="F1321" s="10" t="n">
        <f aca="false">IF(B1321="","",(B1321-E1321)/Resumen!$B$5)</f>
        <v>1.51567532323968</v>
      </c>
      <c r="G1321" s="10" t="n">
        <f aca="false">IF(OR(F1321="",C1321=""),0,(F1321-C1321)*0.9)</f>
        <v>0.0291377909157158</v>
      </c>
      <c r="H1321" s="26" t="n">
        <f aca="false">IF(A1321&lt;Resumen!$B$11,"",IF(H1320="",0,H1320)+G1321/Resumen!$B$9)</f>
        <v>1.25092050492442</v>
      </c>
      <c r="I1321" s="26" t="n">
        <f aca="false">IF(H1321="","",H1321-AVERAGE(H1273:H1369))</f>
        <v>-0.00710647156558952</v>
      </c>
      <c r="J1321" s="27" t="n">
        <f aca="false">IF(I1321="","",Resumen!$B$10-(MAX(I1273:I1369)-I1321))</f>
        <v>1.74158986029884</v>
      </c>
    </row>
    <row r="1322" customFormat="false" ht="15" hidden="false" customHeight="false" outlineLevel="0" collapsed="false">
      <c r="A1322" s="24" t="n">
        <v>46275.1458333333</v>
      </c>
      <c r="B1322" s="10" t="n">
        <v>2.4559</v>
      </c>
      <c r="C1322" s="10" t="n">
        <v>1.4462</v>
      </c>
      <c r="D1322" s="10" t="n">
        <f aca="false">IF(OR(B1322="",C1322="",B1322&lt;=0.05,C1322&lt;=0.05),0,1)</f>
        <v>1</v>
      </c>
      <c r="E1322" s="25" t="n">
        <f aca="false">IF(OR(A1322&lt;Resumen!$B$6,A1322&gt;=Resumen!$B$7),0,MAX(0,AVERAGEIFS(B1274:B1370,D1274:D1370,1)-Resumen!$B$5*AVERAGEIFS(C1274:C1370,D1274:D1370,1)))</f>
        <v>0.611867009278351</v>
      </c>
      <c r="F1322" s="10" t="n">
        <f aca="false">IF(B1322="","",(B1322-E1322)/Resumen!$B$5)</f>
        <v>1.46468069159782</v>
      </c>
      <c r="G1322" s="10" t="n">
        <f aca="false">IF(OR(F1322="",C1322=""),0,(F1322-C1322)*0.9)</f>
        <v>0.0166326224380336</v>
      </c>
      <c r="H1322" s="26" t="n">
        <f aca="false">IF(A1322&lt;Resumen!$B$11,"",IF(H1321="",0,H1321)+G1322/Resumen!$B$9)</f>
        <v>1.25170671052288</v>
      </c>
      <c r="I1322" s="26" t="n">
        <f aca="false">IF(H1322="","",H1322-AVERAGE(H1274:H1370))</f>
        <v>-0.0062789828023615</v>
      </c>
      <c r="J1322" s="27" t="n">
        <f aca="false">IF(I1322="","",Resumen!$B$10-(MAX(I1274:I1370)-I1322))</f>
        <v>1.74241734906207</v>
      </c>
    </row>
    <row r="1323" customFormat="false" ht="15" hidden="false" customHeight="false" outlineLevel="0" collapsed="false">
      <c r="A1323" s="24" t="n">
        <v>46275.15625</v>
      </c>
      <c r="B1323" s="10" t="n">
        <v>2.5818</v>
      </c>
      <c r="C1323" s="10" t="n">
        <v>1.4219</v>
      </c>
      <c r="D1323" s="10" t="n">
        <f aca="false">IF(OR(B1323="",C1323="",B1323&lt;=0.05,C1323&lt;=0.05),0,1)</f>
        <v>1</v>
      </c>
      <c r="E1323" s="25" t="n">
        <f aca="false">IF(OR(A1323&lt;Resumen!$B$6,A1323&gt;=Resumen!$B$7),0,MAX(0,AVERAGEIFS(B1275:B1371,D1275:D1371,1)-Resumen!$B$5*AVERAGEIFS(C1275:C1371,D1275:D1371,1)))</f>
        <v>0.605048146391753</v>
      </c>
      <c r="F1323" s="10" t="n">
        <f aca="false">IF(B1323="","",(B1323-E1323)/Resumen!$B$5)</f>
        <v>1.5700967860272</v>
      </c>
      <c r="G1323" s="10" t="n">
        <f aca="false">IF(OR(F1323="",C1323=""),0,(F1323-C1323)*0.9)</f>
        <v>0.133377107424482</v>
      </c>
      <c r="H1323" s="26" t="n">
        <f aca="false">IF(A1323&lt;Resumen!$B$11,"",IF(H1322="",0,H1322)+G1323/Resumen!$B$9)</f>
        <v>1.25801129832644</v>
      </c>
      <c r="I1323" s="26" t="n">
        <f aca="false">IF(H1323="","",H1323-AVERAGE(H1275:H1371))</f>
        <v>0.000307442530436797</v>
      </c>
      <c r="J1323" s="27" t="n">
        <f aca="false">IF(I1323="","",Resumen!$B$10-(MAX(I1275:I1371)-I1323))</f>
        <v>1.74900377439487</v>
      </c>
    </row>
    <row r="1324" customFormat="false" ht="15" hidden="false" customHeight="false" outlineLevel="0" collapsed="false">
      <c r="A1324" s="24" t="n">
        <v>46275.1666666667</v>
      </c>
      <c r="B1324" s="10" t="n">
        <v>2.5774</v>
      </c>
      <c r="C1324" s="10" t="n">
        <v>1.5224</v>
      </c>
      <c r="D1324" s="10" t="n">
        <f aca="false">IF(OR(B1324="",C1324="",B1324&lt;=0.05,C1324&lt;=0.05),0,1)</f>
        <v>1</v>
      </c>
      <c r="E1324" s="25" t="n">
        <f aca="false">IF(OR(A1324&lt;Resumen!$B$6,A1324&gt;=Resumen!$B$7),0,MAX(0,AVERAGEIFS(B1276:B1372,D1276:D1372,1)-Resumen!$B$5*AVERAGEIFS(C1276:C1372,D1276:D1372,1)))</f>
        <v>0.603533464948454</v>
      </c>
      <c r="F1324" s="10" t="n">
        <f aca="false">IF(B1324="","",(B1324-E1324)/Resumen!$B$5)</f>
        <v>1.56780503181219</v>
      </c>
      <c r="G1324" s="10" t="n">
        <f aca="false">IF(OR(F1324="",C1324=""),0,(F1324-C1324)*0.9)</f>
        <v>0.0408645286309705</v>
      </c>
      <c r="H1324" s="26" t="n">
        <f aca="false">IF(A1324&lt;Resumen!$B$11,"",IF(H1323="",0,H1323)+G1324/Resumen!$B$9)</f>
        <v>1.25994291923035</v>
      </c>
      <c r="I1324" s="26" t="n">
        <f aca="false">IF(H1324="","",H1324-AVERAGE(H1276:H1372))</f>
        <v>0.00258117605909658</v>
      </c>
      <c r="J1324" s="27" t="n">
        <f aca="false">IF(I1324="","",Resumen!$B$10-(MAX(I1276:I1372)-I1324))</f>
        <v>1.75127750792353</v>
      </c>
    </row>
    <row r="1325" customFormat="false" ht="15" hidden="false" customHeight="false" outlineLevel="0" collapsed="false">
      <c r="A1325" s="24" t="n">
        <v>46275.1770833333</v>
      </c>
      <c r="B1325" s="10" t="n">
        <v>2.983</v>
      </c>
      <c r="C1325" s="10" t="n">
        <v>1.5894</v>
      </c>
      <c r="D1325" s="10" t="n">
        <f aca="false">IF(OR(B1325="",C1325="",B1325&lt;=0.05,C1325&lt;=0.05),0,1)</f>
        <v>1</v>
      </c>
      <c r="E1325" s="25" t="n">
        <f aca="false">IF(OR(A1325&lt;Resumen!$B$6,A1325&gt;=Resumen!$B$7),0,MAX(0,AVERAGEIFS(B1277:B1373,D1277:D1373,1)-Resumen!$B$5*AVERAGEIFS(C1277:C1373,D1277:D1373,1)))</f>
        <v>0.603521267010309</v>
      </c>
      <c r="F1325" s="10" t="n">
        <f aca="false">IF(B1325="","",(B1325-E1325)/Resumen!$B$5)</f>
        <v>1.8899751652023</v>
      </c>
      <c r="G1325" s="10" t="n">
        <f aca="false">IF(OR(F1325="",C1325=""),0,(F1325-C1325)*0.9)</f>
        <v>0.270517648682067</v>
      </c>
      <c r="H1325" s="26" t="n">
        <f aca="false">IF(A1325&lt;Resumen!$B$11,"",IF(H1324="",0,H1324)+G1325/Resumen!$B$9)</f>
        <v>1.27272998817689</v>
      </c>
      <c r="I1325" s="26" t="n">
        <f aca="false">IF(H1325="","",H1325-AVERAGE(H1277:H1373))</f>
        <v>0.015721199194574</v>
      </c>
      <c r="J1325" s="27" t="n">
        <f aca="false">IF(I1325="","",Resumen!$B$10-(MAX(I1277:I1373)-I1325))</f>
        <v>1.764417531059</v>
      </c>
    </row>
    <row r="1326" customFormat="false" ht="15" hidden="false" customHeight="false" outlineLevel="0" collapsed="false">
      <c r="A1326" s="24" t="n">
        <v>46275.1875</v>
      </c>
      <c r="B1326" s="10" t="n">
        <v>3.0525</v>
      </c>
      <c r="C1326" s="10" t="n">
        <v>2.166</v>
      </c>
      <c r="D1326" s="10" t="n">
        <f aca="false">IF(OR(B1326="",C1326="",B1326&lt;=0.05,C1326&lt;=0.05),0,1)</f>
        <v>1</v>
      </c>
      <c r="E1326" s="25" t="n">
        <f aca="false">IF(OR(A1326&lt;Resumen!$B$6,A1326&gt;=Resumen!$B$7),0,MAX(0,AVERAGEIFS(B1278:B1374,D1278:D1374,1)-Resumen!$B$5*AVERAGEIFS(C1278:C1374,D1278:D1374,1)))</f>
        <v>0.600596589690723</v>
      </c>
      <c r="F1326" s="10" t="n">
        <f aca="false">IF(B1326="","",(B1326-E1326)/Resumen!$B$5)</f>
        <v>1.94750072304152</v>
      </c>
      <c r="G1326" s="10" t="n">
        <f aca="false">IF(OR(F1326="",C1326=""),0,(F1326-C1326)*0.9)</f>
        <v>-0.196649349262629</v>
      </c>
      <c r="H1326" s="26" t="n">
        <f aca="false">IF(A1326&lt;Resumen!$B$11,"",IF(H1325="",0,H1325)+G1326/Resumen!$B$9)</f>
        <v>1.26343459174134</v>
      </c>
      <c r="I1326" s="26" t="n">
        <f aca="false">IF(H1326="","",H1326-AVERAGE(H1278:H1374))</f>
        <v>0.00688656282870293</v>
      </c>
      <c r="J1326" s="27" t="n">
        <f aca="false">IF(I1326="","",Resumen!$B$10-(MAX(I1278:I1374)-I1326))</f>
        <v>1.75558289469313</v>
      </c>
    </row>
    <row r="1327" customFormat="false" ht="15" hidden="false" customHeight="false" outlineLevel="0" collapsed="false">
      <c r="A1327" s="24" t="n">
        <v>46275.1979166667</v>
      </c>
      <c r="B1327" s="10" t="n">
        <v>2.8551</v>
      </c>
      <c r="C1327" s="10" t="n">
        <v>1.5632</v>
      </c>
      <c r="D1327" s="10" t="n">
        <f aca="false">IF(OR(B1327="",C1327="",B1327&lt;=0.05,C1327&lt;=0.05),0,1)</f>
        <v>1</v>
      </c>
      <c r="E1327" s="25" t="n">
        <f aca="false">IF(OR(A1327&lt;Resumen!$B$6,A1327&gt;=Resumen!$B$7),0,MAX(0,AVERAGEIFS(B1279:B1375,D1279:D1375,1)-Resumen!$B$5*AVERAGEIFS(C1279:C1375,D1279:D1375,1)))</f>
        <v>0.603561119587629</v>
      </c>
      <c r="F1327" s="10" t="n">
        <f aca="false">IF(B1327="","",(B1327-E1327)/Resumen!$B$5)</f>
        <v>1.78835494869926</v>
      </c>
      <c r="G1327" s="10" t="n">
        <f aca="false">IF(OR(F1327="",C1327=""),0,(F1327-C1327)*0.9)</f>
        <v>0.202639453829337</v>
      </c>
      <c r="H1327" s="26" t="n">
        <f aca="false">IF(A1327&lt;Resumen!$B$11,"",IF(H1326="",0,H1326)+G1327/Resumen!$B$9)</f>
        <v>1.27301313377003</v>
      </c>
      <c r="I1327" s="26" t="n">
        <f aca="false">IF(H1327="","",H1327-AVERAGE(H1279:H1375))</f>
        <v>0.016836582930813</v>
      </c>
      <c r="J1327" s="27" t="n">
        <f aca="false">IF(I1327="","",Resumen!$B$10-(MAX(I1279:I1375)-I1327))</f>
        <v>1.76553291479524</v>
      </c>
    </row>
    <row r="1328" customFormat="false" ht="15" hidden="false" customHeight="false" outlineLevel="0" collapsed="false">
      <c r="A1328" s="24" t="n">
        <v>46275.2083333333</v>
      </c>
      <c r="B1328" s="10" t="n">
        <v>2.7932</v>
      </c>
      <c r="C1328" s="10" t="n">
        <v>1.8285</v>
      </c>
      <c r="D1328" s="10" t="n">
        <f aca="false">IF(OR(B1328="",C1328="",B1328&lt;=0.05,C1328&lt;=0.05),0,1)</f>
        <v>1</v>
      </c>
      <c r="E1328" s="25" t="n">
        <f aca="false">IF(OR(A1328&lt;Resumen!$B$6,A1328&gt;=Resumen!$B$7),0,MAX(0,AVERAGEIFS(B1280:B1376,D1280:D1376,1)-Resumen!$B$5*AVERAGEIFS(C1280:C1376,D1280:D1376,1)))</f>
        <v>0.604649028865981</v>
      </c>
      <c r="F1328" s="10" t="n">
        <f aca="false">IF(B1328="","",(B1328-E1328)/Resumen!$B$5)</f>
        <v>1.73832483807309</v>
      </c>
      <c r="G1328" s="10" t="n">
        <f aca="false">IF(OR(F1328="",C1328=""),0,(F1328-C1328)*0.9)</f>
        <v>-0.0811576457342194</v>
      </c>
      <c r="H1328" s="26" t="n">
        <f aca="false">IF(A1328&lt;Resumen!$B$11,"",IF(H1327="",0,H1327)+G1328/Resumen!$B$9)</f>
        <v>1.26917690195078</v>
      </c>
      <c r="I1328" s="26" t="n">
        <f aca="false">IF(H1328="","",H1328-AVERAGE(H1280:H1376))</f>
        <v>0.0133435302143912</v>
      </c>
      <c r="J1328" s="27" t="n">
        <f aca="false">IF(I1328="","",Resumen!$B$10-(MAX(I1280:I1376)-I1328))</f>
        <v>1.76203986207882</v>
      </c>
    </row>
    <row r="1329" customFormat="false" ht="15" hidden="false" customHeight="false" outlineLevel="0" collapsed="false">
      <c r="A1329" s="24" t="n">
        <v>46275.21875</v>
      </c>
      <c r="B1329" s="10" t="n">
        <v>3.4608</v>
      </c>
      <c r="C1329" s="10" t="n">
        <v>2.4974</v>
      </c>
      <c r="D1329" s="10" t="n">
        <f aca="false">IF(OR(B1329="",C1329="",B1329&lt;=0.05,C1329&lt;=0.05),0,1)</f>
        <v>1</v>
      </c>
      <c r="E1329" s="25" t="n">
        <f aca="false">IF(OR(A1329&lt;Resumen!$B$6,A1329&gt;=Resumen!$B$7),0,MAX(0,AVERAGEIFS(B1281:B1377,D1281:D1377,1)-Resumen!$B$5*AVERAGEIFS(C1281:C1377,D1281:D1377,1)))</f>
        <v>0.611963419587629</v>
      </c>
      <c r="F1329" s="10" t="n">
        <f aca="false">IF(B1329="","",(B1329-E1329)/Resumen!$B$5)</f>
        <v>2.26277726800029</v>
      </c>
      <c r="G1329" s="10" t="n">
        <f aca="false">IF(OR(F1329="",C1329=""),0,(F1329-C1329)*0.9)</f>
        <v>-0.211160458799735</v>
      </c>
      <c r="H1329" s="26" t="n">
        <f aca="false">IF(A1329&lt;Resumen!$B$11,"",IF(H1328="",0,H1328)+G1329/Resumen!$B$9)</f>
        <v>1.25919558147646</v>
      </c>
      <c r="I1329" s="26" t="n">
        <f aca="false">IF(H1329="","",H1329-AVERAGE(H1281:H1377))</f>
        <v>0.00346718381753952</v>
      </c>
      <c r="J1329" s="27" t="n">
        <f aca="false">IF(I1329="","",Resumen!$B$10-(MAX(I1281:I1377)-I1329))</f>
        <v>1.75216351568197</v>
      </c>
    </row>
    <row r="1330" customFormat="false" ht="15" hidden="false" customHeight="false" outlineLevel="0" collapsed="false">
      <c r="A1330" s="24" t="n">
        <v>46275.2291666667</v>
      </c>
      <c r="B1330" s="10" t="n">
        <v>3.7351</v>
      </c>
      <c r="C1330" s="10" t="n">
        <v>2.5151</v>
      </c>
      <c r="D1330" s="10" t="n">
        <f aca="false">IF(OR(B1330="",C1330="",B1330&lt;=0.05,C1330&lt;=0.05),0,1)</f>
        <v>1</v>
      </c>
      <c r="E1330" s="25" t="n">
        <f aca="false">IF(OR(A1330&lt;Resumen!$B$6,A1330&gt;=Resumen!$B$7),0,MAX(0,AVERAGEIFS(B1282:B1378,D1282:D1378,1)-Resumen!$B$5*AVERAGEIFS(C1282:C1378,D1282:D1378,1)))</f>
        <v>0.617293198969073</v>
      </c>
      <c r="F1330" s="10" t="n">
        <f aca="false">IF(B1330="","",(B1330-E1330)/Resumen!$B$5)</f>
        <v>2.47641525101742</v>
      </c>
      <c r="G1330" s="10" t="n">
        <f aca="false">IF(OR(F1330="",C1330=""),0,(F1330-C1330)*0.9)</f>
        <v>-0.0348162740843251</v>
      </c>
      <c r="H1330" s="26" t="n">
        <f aca="false">IF(A1330&lt;Resumen!$B$11,"",IF(H1329="",0,H1329)+G1330/Resumen!$B$9)</f>
        <v>1.25754985485069</v>
      </c>
      <c r="I1330" s="26" t="n">
        <f aca="false">IF(H1330="","",H1330-AVERAGE(H1282:H1378))</f>
        <v>0.00175935149712836</v>
      </c>
      <c r="J1330" s="27" t="n">
        <f aca="false">IF(I1330="","",Resumen!$B$10-(MAX(I1282:I1378)-I1330))</f>
        <v>1.75045568336156</v>
      </c>
    </row>
    <row r="1331" customFormat="false" ht="15" hidden="false" customHeight="false" outlineLevel="0" collapsed="false">
      <c r="A1331" s="24" t="n">
        <v>46275.2395833333</v>
      </c>
      <c r="B1331" s="10" t="n">
        <v>4.6254</v>
      </c>
      <c r="C1331" s="10" t="n">
        <v>3.0293</v>
      </c>
      <c r="D1331" s="10" t="n">
        <f aca="false">IF(OR(B1331="",C1331="",B1331&lt;=0.05,C1331&lt;=0.05),0,1)</f>
        <v>1</v>
      </c>
      <c r="E1331" s="25" t="n">
        <f aca="false">IF(OR(A1331&lt;Resumen!$B$6,A1331&gt;=Resumen!$B$7),0,MAX(0,AVERAGEIFS(B1283:B1379,D1283:D1379,1)-Resumen!$B$5*AVERAGEIFS(C1283:C1379,D1283:D1379,1)))</f>
        <v>0.613872471134021</v>
      </c>
      <c r="F1331" s="10" t="n">
        <f aca="false">IF(B1331="","",(B1331-E1331)/Resumen!$B$5)</f>
        <v>3.18628080132326</v>
      </c>
      <c r="G1331" s="10" t="n">
        <f aca="false">IF(OR(F1331="",C1331=""),0,(F1331-C1331)*0.9)</f>
        <v>0.14128272119093</v>
      </c>
      <c r="H1331" s="26" t="n">
        <f aca="false">IF(A1331&lt;Resumen!$B$11,"",IF(H1330="",0,H1330)+G1331/Resumen!$B$9)</f>
        <v>1.26422813224081</v>
      </c>
      <c r="I1331" s="26" t="n">
        <f aca="false">IF(H1331="","",H1331-AVERAGE(H1283:H1379))</f>
        <v>0.00850317042619553</v>
      </c>
      <c r="J1331" s="27" t="n">
        <f aca="false">IF(I1331="","",Resumen!$B$10-(MAX(I1283:I1379)-I1331))</f>
        <v>1.75719950229063</v>
      </c>
    </row>
    <row r="1332" customFormat="false" ht="15" hidden="false" customHeight="false" outlineLevel="0" collapsed="false">
      <c r="A1332" s="24" t="n">
        <v>46275.25</v>
      </c>
      <c r="B1332" s="10" t="n">
        <v>4.9984</v>
      </c>
      <c r="C1332" s="10" t="n">
        <v>3.3242</v>
      </c>
      <c r="D1332" s="10" t="n">
        <f aca="false">IF(OR(B1332="",C1332="",B1332&lt;=0.05,C1332&lt;=0.05),0,1)</f>
        <v>1</v>
      </c>
      <c r="E1332" s="25" t="n">
        <f aca="false">IF(OR(A1332&lt;Resumen!$B$6,A1332&gt;=Resumen!$B$7),0,MAX(0,AVERAGEIFS(B1284:B1380,D1284:D1380,1)-Resumen!$B$5*AVERAGEIFS(C1284:C1380,D1284:D1380,1)))</f>
        <v>0.614305539175259</v>
      </c>
      <c r="F1332" s="10" t="n">
        <f aca="false">IF(B1332="","",(B1332-E1332)/Resumen!$B$5)</f>
        <v>3.48220370200536</v>
      </c>
      <c r="G1332" s="10" t="n">
        <f aca="false">IF(OR(F1332="",C1332=""),0,(F1332-C1332)*0.9)</f>
        <v>0.14220333180482</v>
      </c>
      <c r="H1332" s="26" t="n">
        <f aca="false">IF(A1332&lt;Resumen!$B$11,"",IF(H1331="",0,H1331)+G1332/Resumen!$B$9)</f>
        <v>1.27094992587267</v>
      </c>
      <c r="I1332" s="26" t="n">
        <f aca="false">IF(H1332="","",H1332-AVERAGE(H1284:H1380))</f>
        <v>0.0152888079167057</v>
      </c>
      <c r="J1332" s="27" t="n">
        <f aca="false">IF(I1332="","",Resumen!$B$10-(MAX(I1284:I1380)-I1332))</f>
        <v>1.76398513978114</v>
      </c>
    </row>
    <row r="1333" customFormat="false" ht="15" hidden="false" customHeight="false" outlineLevel="0" collapsed="false">
      <c r="A1333" s="24" t="n">
        <v>46275.2604166667</v>
      </c>
      <c r="B1333" s="10" t="n">
        <v>4.8784</v>
      </c>
      <c r="C1333" s="10" t="n">
        <v>3.7029</v>
      </c>
      <c r="D1333" s="10" t="n">
        <f aca="false">IF(OR(B1333="",C1333="",B1333&lt;=0.05,C1333&lt;=0.05),0,1)</f>
        <v>1</v>
      </c>
      <c r="E1333" s="25" t="n">
        <f aca="false">IF(OR(A1333&lt;Resumen!$B$6,A1333&gt;=Resumen!$B$7),0,MAX(0,AVERAGEIFS(B1285:B1381,D1285:D1381,1)-Resumen!$B$5*AVERAGEIFS(C1285:C1381,D1285:D1381,1)))</f>
        <v>0.606388754639175</v>
      </c>
      <c r="F1333" s="10" t="n">
        <f aca="false">IF(B1333="","",(B1333-E1333)/Resumen!$B$5)</f>
        <v>3.39317811386881</v>
      </c>
      <c r="G1333" s="10" t="n">
        <f aca="false">IF(OR(F1333="",C1333=""),0,(F1333-C1333)*0.9)</f>
        <v>-0.278749697518076</v>
      </c>
      <c r="H1333" s="26" t="n">
        <f aca="false">IF(A1333&lt;Resumen!$B$11,"",IF(H1332="",0,H1332)+G1333/Resumen!$B$9)</f>
        <v>1.2577737371162</v>
      </c>
      <c r="I1333" s="26" t="n">
        <f aca="false">IF(H1333="","",H1333-AVERAGE(H1285:H1381))</f>
        <v>0.00245601613281865</v>
      </c>
      <c r="J1333" s="27" t="n">
        <f aca="false">IF(I1333="","",Resumen!$B$10-(MAX(I1285:I1381)-I1333))</f>
        <v>1.75115234799725</v>
      </c>
    </row>
    <row r="1334" customFormat="false" ht="15" hidden="false" customHeight="false" outlineLevel="0" collapsed="false">
      <c r="A1334" s="24" t="n">
        <v>46275.2708333333</v>
      </c>
      <c r="B1334" s="10" t="n">
        <v>5.5447</v>
      </c>
      <c r="C1334" s="10" t="n">
        <v>4.077</v>
      </c>
      <c r="D1334" s="10" t="n">
        <f aca="false">IF(OR(B1334="",C1334="",B1334&lt;=0.05,C1334&lt;=0.05),0,1)</f>
        <v>1</v>
      </c>
      <c r="E1334" s="25" t="n">
        <f aca="false">IF(OR(A1334&lt;Resumen!$B$6,A1334&gt;=Resumen!$B$7),0,MAX(0,AVERAGEIFS(B1286:B1382,D1286:D1382,1)-Resumen!$B$5*AVERAGEIFS(C1286:C1382,D1286:D1382,1)))</f>
        <v>0.60929267113402</v>
      </c>
      <c r="F1334" s="10" t="n">
        <f aca="false">IF(B1334="","",(B1334-E1334)/Resumen!$B$5)</f>
        <v>3.92010113492135</v>
      </c>
      <c r="G1334" s="10" t="n">
        <f aca="false">IF(OR(F1334="",C1334=""),0,(F1334-C1334)*0.9)</f>
        <v>-0.141208978570785</v>
      </c>
      <c r="H1334" s="26" t="n">
        <f aca="false">IF(A1334&lt;Resumen!$B$11,"",IF(H1333="",0,H1333)+G1334/Resumen!$B$9)</f>
        <v>1.25109894545787</v>
      </c>
      <c r="I1334" s="26" t="n">
        <f aca="false">IF(H1334="","",H1334-AVERAGE(H1286:H1382))</f>
        <v>-0.00395980466143575</v>
      </c>
      <c r="J1334" s="27" t="n">
        <f aca="false">IF(I1334="","",Resumen!$B$10-(MAX(I1286:I1382)-I1334))</f>
        <v>1.74473652720299</v>
      </c>
    </row>
    <row r="1335" customFormat="false" ht="15" hidden="false" customHeight="false" outlineLevel="0" collapsed="false">
      <c r="A1335" s="24" t="n">
        <v>46275.28125</v>
      </c>
      <c r="B1335" s="10" t="n">
        <v>4.9208</v>
      </c>
      <c r="C1335" s="10" t="n">
        <v>3.3196</v>
      </c>
      <c r="D1335" s="10" t="n">
        <f aca="false">IF(OR(B1335="",C1335="",B1335&lt;=0.05,C1335&lt;=0.05),0,1)</f>
        <v>1</v>
      </c>
      <c r="E1335" s="25" t="n">
        <f aca="false">IF(OR(A1335&lt;Resumen!$B$6,A1335&gt;=Resumen!$B$7),0,MAX(0,AVERAGEIFS(B1287:B1383,D1287:D1383,1)-Resumen!$B$5*AVERAGEIFS(C1287:C1383,D1287:D1383,1)))</f>
        <v>0.610461251546392</v>
      </c>
      <c r="F1335" s="10" t="n">
        <f aca="false">IF(B1335="","",(B1335-E1335)/Resumen!$B$5)</f>
        <v>3.42362092808071</v>
      </c>
      <c r="G1335" s="10" t="n">
        <f aca="false">IF(OR(F1335="",C1335=""),0,(F1335-C1335)*0.9)</f>
        <v>0.0936188352726353</v>
      </c>
      <c r="H1335" s="26" t="n">
        <f aca="false">IF(A1335&lt;Resumen!$B$11,"",IF(H1334="",0,H1334)+G1335/Resumen!$B$9)</f>
        <v>1.2555242038732</v>
      </c>
      <c r="I1335" s="26" t="n">
        <f aca="false">IF(H1335="","",H1335-AVERAGE(H1287:H1383))</f>
        <v>0.000698509607830911</v>
      </c>
      <c r="J1335" s="27" t="n">
        <f aca="false">IF(I1335="","",Resumen!$B$10-(MAX(I1287:I1383)-I1335))</f>
        <v>1.74939484147226</v>
      </c>
    </row>
    <row r="1336" customFormat="false" ht="15" hidden="false" customHeight="false" outlineLevel="0" collapsed="false">
      <c r="A1336" s="24" t="n">
        <v>46275.2916666667</v>
      </c>
      <c r="B1336" s="10" t="n">
        <v>4.0717</v>
      </c>
      <c r="C1336" s="10" t="n">
        <v>2.9237</v>
      </c>
      <c r="D1336" s="10" t="n">
        <f aca="false">IF(OR(B1336="",C1336="",B1336&lt;=0.05,C1336&lt;=0.05),0,1)</f>
        <v>1</v>
      </c>
      <c r="E1336" s="25" t="n">
        <f aca="false">IF(OR(A1336&lt;Resumen!$B$6,A1336&gt;=Resumen!$B$7),0,MAX(0,AVERAGEIFS(B1288:B1384,D1288:D1384,1)-Resumen!$B$5*AVERAGEIFS(C1288:C1384,D1288:D1384,1)))</f>
        <v>0.613196455670103</v>
      </c>
      <c r="F1336" s="10" t="n">
        <f aca="false">IF(B1336="","",(B1336-E1336)/Resumen!$B$5)</f>
        <v>2.74702426078626</v>
      </c>
      <c r="G1336" s="10" t="n">
        <f aca="false">IF(OR(F1336="",C1336=""),0,(F1336-C1336)*0.9)</f>
        <v>-0.15900816529237</v>
      </c>
      <c r="H1336" s="26" t="n">
        <f aca="false">IF(A1336&lt;Resumen!$B$11,"",IF(H1335="",0,H1335)+G1336/Resumen!$B$9)</f>
        <v>1.24800806441775</v>
      </c>
      <c r="I1336" s="26" t="n">
        <f aca="false">IF(H1336="","",H1336-AVERAGE(H1288:H1384))</f>
        <v>-0.00666248964524208</v>
      </c>
      <c r="J1336" s="27" t="n">
        <f aca="false">IF(I1336="","",Resumen!$B$10-(MAX(I1288:I1384)-I1336))</f>
        <v>1.74203384221919</v>
      </c>
    </row>
    <row r="1337" customFormat="false" ht="15" hidden="false" customHeight="false" outlineLevel="0" collapsed="false">
      <c r="A1337" s="24" t="n">
        <v>46275.3020833333</v>
      </c>
      <c r="B1337" s="10" t="n">
        <v>4.4267</v>
      </c>
      <c r="C1337" s="10" t="n">
        <v>2.9872</v>
      </c>
      <c r="D1337" s="10" t="n">
        <f aca="false">IF(OR(B1337="",C1337="",B1337&lt;=0.05,C1337&lt;=0.05),0,1)</f>
        <v>1</v>
      </c>
      <c r="E1337" s="25" t="n">
        <f aca="false">IF(OR(A1337&lt;Resumen!$B$6,A1337&gt;=Resumen!$B$7),0,MAX(0,AVERAGEIFS(B1289:B1385,D1289:D1385,1)-Resumen!$B$5*AVERAGEIFS(C1289:C1385,D1289:D1385,1)))</f>
        <v>0.610470249484536</v>
      </c>
      <c r="F1337" s="10" t="n">
        <f aca="false">IF(B1337="","",(B1337-E1337)/Resumen!$B$5)</f>
        <v>3.03115945235541</v>
      </c>
      <c r="G1337" s="10" t="n">
        <f aca="false">IF(OR(F1337="",C1337=""),0,(F1337-C1337)*0.9)</f>
        <v>0.0395635071198711</v>
      </c>
      <c r="H1337" s="26" t="n">
        <f aca="false">IF(A1337&lt;Resumen!$B$11,"",IF(H1336="",0,H1336)+G1337/Resumen!$B$9)</f>
        <v>1.24987818747912</v>
      </c>
      <c r="I1337" s="26" t="n">
        <f aca="false">IF(H1337="","",H1337-AVERAGE(H1289:H1385))</f>
        <v>-0.0045272559478351</v>
      </c>
      <c r="J1337" s="27" t="n">
        <f aca="false">IF(I1337="","",Resumen!$B$10-(MAX(I1289:I1385)-I1337))</f>
        <v>1.7441690759166</v>
      </c>
    </row>
    <row r="1338" customFormat="false" ht="15" hidden="false" customHeight="false" outlineLevel="0" collapsed="false">
      <c r="A1338" s="24" t="n">
        <v>46275.3125</v>
      </c>
      <c r="B1338" s="10" t="n">
        <v>6.1678</v>
      </c>
      <c r="C1338" s="10" t="n">
        <v>4.4696</v>
      </c>
      <c r="D1338" s="10" t="n">
        <f aca="false">IF(OR(B1338="",C1338="",B1338&lt;=0.05,C1338&lt;=0.05),0,1)</f>
        <v>1</v>
      </c>
      <c r="E1338" s="25" t="n">
        <f aca="false">IF(OR(A1338&lt;Resumen!$B$6,A1338&gt;=Resumen!$B$7),0,MAX(0,AVERAGEIFS(B1290:B1386,D1290:D1386,1)-Resumen!$B$5*AVERAGEIFS(C1290:C1386,D1290:D1386,1)))</f>
        <v>0.611868249484536</v>
      </c>
      <c r="F1338" s="10" t="n">
        <f aca="false">IF(B1338="","",(B1338-E1338)/Resumen!$B$5)</f>
        <v>4.41297200199799</v>
      </c>
      <c r="G1338" s="10" t="n">
        <f aca="false">IF(OR(F1338="",C1338=""),0,(F1338-C1338)*0.9)</f>
        <v>-0.0509651982018119</v>
      </c>
      <c r="H1338" s="26" t="n">
        <f aca="false">IF(A1338&lt;Resumen!$B$11,"",IF(H1337="",0,H1337)+G1338/Resumen!$B$9)</f>
        <v>1.24746911913753</v>
      </c>
      <c r="I1338" s="26" t="n">
        <f aca="false">IF(H1338="","",H1338-AVERAGE(H1290:H1386))</f>
        <v>-0.00670603599730435</v>
      </c>
      <c r="J1338" s="27" t="n">
        <f aca="false">IF(I1338="","",Resumen!$B$10-(MAX(I1290:I1386)-I1338))</f>
        <v>1.74199029586713</v>
      </c>
    </row>
    <row r="1339" customFormat="false" ht="15" hidden="false" customHeight="false" outlineLevel="0" collapsed="false">
      <c r="A1339" s="24" t="n">
        <v>46275.3229166667</v>
      </c>
      <c r="B1339" s="10" t="n">
        <v>5.0244</v>
      </c>
      <c r="C1339" s="10" t="n">
        <v>3.4729</v>
      </c>
      <c r="D1339" s="10" t="n">
        <f aca="false">IF(OR(B1339="",C1339="",B1339&lt;=0.05,C1339&lt;=0.05),0,1)</f>
        <v>1</v>
      </c>
      <c r="E1339" s="25" t="n">
        <f aca="false">IF(OR(A1339&lt;Resumen!$B$6,A1339&gt;=Resumen!$B$7),0,MAX(0,AVERAGEIFS(B1291:B1387,D1291:D1387,1)-Resumen!$B$5*AVERAGEIFS(C1291:C1387,D1291:D1387,1)))</f>
        <v>0.619470596907217</v>
      </c>
      <c r="F1339" s="10" t="n">
        <f aca="false">IF(B1339="","",(B1339-E1339)/Resumen!$B$5)</f>
        <v>3.49875250444224</v>
      </c>
      <c r="G1339" s="10" t="n">
        <f aca="false">IF(OR(F1339="",C1339=""),0,(F1339-C1339)*0.9)</f>
        <v>0.0232672539980184</v>
      </c>
      <c r="H1339" s="26" t="n">
        <f aca="false">IF(A1339&lt;Resumen!$B$11,"",IF(H1338="",0,H1338)+G1339/Resumen!$B$9)</f>
        <v>1.24856893640461</v>
      </c>
      <c r="I1339" s="26" t="n">
        <f aca="false">IF(H1339="","",H1339-AVERAGE(H1291:H1387))</f>
        <v>-0.00562093414145592</v>
      </c>
      <c r="J1339" s="27" t="n">
        <f aca="false">IF(I1339="","",Resumen!$B$10-(MAX(I1291:I1387)-I1339))</f>
        <v>1.74307539772297</v>
      </c>
    </row>
    <row r="1340" customFormat="false" ht="15" hidden="false" customHeight="false" outlineLevel="0" collapsed="false">
      <c r="A1340" s="24" t="n">
        <v>46275.3333333333</v>
      </c>
      <c r="B1340" s="10" t="n">
        <v>5.0005</v>
      </c>
      <c r="C1340" s="10" t="n">
        <v>3.1113</v>
      </c>
      <c r="D1340" s="10" t="n">
        <f aca="false">IF(OR(B1340="",C1340="",B1340&lt;=0.05,C1340&lt;=0.05),0,1)</f>
        <v>1</v>
      </c>
      <c r="E1340" s="25" t="n">
        <f aca="false">IF(OR(A1340&lt;Resumen!$B$6,A1340&gt;=Resumen!$B$7),0,MAX(0,AVERAGEIFS(B1292:B1388,D1292:D1388,1)-Resumen!$B$5*AVERAGEIFS(C1292:C1388,D1292:D1388,1)))</f>
        <v>0.618340687628867</v>
      </c>
      <c r="F1340" s="10" t="n">
        <f aca="false">IF(B1340="","",(B1340-E1340)/Resumen!$B$5)</f>
        <v>3.48066665001679</v>
      </c>
      <c r="G1340" s="10" t="n">
        <f aca="false">IF(OR(F1340="",C1340=""),0,(F1340-C1340)*0.9)</f>
        <v>0.332429985015107</v>
      </c>
      <c r="H1340" s="26" t="n">
        <f aca="false">IF(A1340&lt;Resumen!$B$11,"",IF(H1339="",0,H1339)+G1340/Resumen!$B$9)</f>
        <v>1.26428253275957</v>
      </c>
      <c r="I1340" s="26" t="n">
        <f aca="false">IF(H1340="","",H1340-AVERAGE(H1292:H1388))</f>
        <v>0.0101292315258146</v>
      </c>
      <c r="J1340" s="27" t="n">
        <f aca="false">IF(I1340="","",Resumen!$B$10-(MAX(I1292:I1388)-I1340))</f>
        <v>1.75882556339025</v>
      </c>
    </row>
    <row r="1341" customFormat="false" ht="15" hidden="false" customHeight="false" outlineLevel="0" collapsed="false">
      <c r="A1341" s="24" t="n">
        <v>46275.34375</v>
      </c>
      <c r="B1341" s="10" t="n">
        <v>5.2168</v>
      </c>
      <c r="C1341" s="10" t="n">
        <v>3.084</v>
      </c>
      <c r="D1341" s="10" t="n">
        <f aca="false">IF(OR(B1341="",C1341="",B1341&lt;=0.05,C1341&lt;=0.05),0,1)</f>
        <v>1</v>
      </c>
      <c r="E1341" s="25" t="n">
        <f aca="false">IF(OR(A1341&lt;Resumen!$B$6,A1341&gt;=Resumen!$B$7),0,MAX(0,AVERAGEIFS(B1293:B1389,D1293:D1389,1)-Resumen!$B$5*AVERAGEIFS(C1293:C1389,D1293:D1389,1)))</f>
        <v>0.6249324814433</v>
      </c>
      <c r="F1341" s="10" t="n">
        <f aca="false">IF(B1341="","",(B1341-E1341)/Resumen!$B$5)</f>
        <v>3.64723393054543</v>
      </c>
      <c r="G1341" s="10" t="n">
        <f aca="false">IF(OR(F1341="",C1341=""),0,(F1341-C1341)*0.9)</f>
        <v>0.50691053749089</v>
      </c>
      <c r="H1341" s="26" t="n">
        <f aca="false">IF(A1341&lt;Resumen!$B$11,"",IF(H1340="",0,H1340)+G1341/Resumen!$B$9)</f>
        <v>1.28824363113597</v>
      </c>
      <c r="I1341" s="26" t="n">
        <f aca="false">IF(H1341="","",H1341-AVERAGE(H1293:H1389))</f>
        <v>0.0339091405702743</v>
      </c>
      <c r="J1341" s="27" t="n">
        <f aca="false">IF(I1341="","",Resumen!$B$10-(MAX(I1293:I1389)-I1341))</f>
        <v>1.78260547243471</v>
      </c>
    </row>
    <row r="1342" customFormat="false" ht="15" hidden="false" customHeight="false" outlineLevel="0" collapsed="false">
      <c r="A1342" s="24" t="n">
        <v>46275.3541666667</v>
      </c>
      <c r="B1342" s="10" t="n">
        <v>5.81</v>
      </c>
      <c r="C1342" s="10" t="n">
        <v>3.7951</v>
      </c>
      <c r="D1342" s="10" t="n">
        <f aca="false">IF(OR(B1342="",C1342="",B1342&lt;=0.05,C1342&lt;=0.05),0,1)</f>
        <v>1</v>
      </c>
      <c r="E1342" s="25" t="n">
        <f aca="false">IF(OR(A1342&lt;Resumen!$B$6,A1342&gt;=Resumen!$B$7),0,MAX(0,AVERAGEIFS(B1294:B1390,D1294:D1390,1)-Resumen!$B$5*AVERAGEIFS(C1294:C1390,D1294:D1390,1)))</f>
        <v>0.62925769484536</v>
      </c>
      <c r="F1342" s="10" t="n">
        <f aca="false">IF(B1342="","",(B1342-E1342)/Resumen!$B$5)</f>
        <v>4.11496608828804</v>
      </c>
      <c r="G1342" s="10" t="n">
        <f aca="false">IF(OR(F1342="",C1342=""),0,(F1342-C1342)*0.9)</f>
        <v>0.287879479459234</v>
      </c>
      <c r="H1342" s="26" t="n">
        <f aca="false">IF(A1342&lt;Resumen!$B$11,"",IF(H1341="",0,H1341)+G1342/Resumen!$B$9)</f>
        <v>1.30185137454965</v>
      </c>
      <c r="I1342" s="26" t="n">
        <f aca="false">IF(H1342="","",H1342-AVERAGE(H1294:H1390))</f>
        <v>0.0471943849989762</v>
      </c>
      <c r="J1342" s="27" t="n">
        <f aca="false">IF(I1342="","",Resumen!$B$10-(MAX(I1294:I1390)-I1342))</f>
        <v>1.79589071686341</v>
      </c>
    </row>
    <row r="1343" customFormat="false" ht="15" hidden="false" customHeight="false" outlineLevel="0" collapsed="false">
      <c r="A1343" s="24" t="n">
        <v>46275.3645833333</v>
      </c>
      <c r="B1343" s="10" t="n">
        <v>6.683</v>
      </c>
      <c r="C1343" s="10" t="n">
        <v>4.2661</v>
      </c>
      <c r="D1343" s="10" t="n">
        <f aca="false">IF(OR(B1343="",C1343="",B1343&lt;=0.05,C1343&lt;=0.05),0,1)</f>
        <v>1</v>
      </c>
      <c r="E1343" s="25" t="n">
        <f aca="false">IF(OR(A1343&lt;Resumen!$B$6,A1343&gt;=Resumen!$B$7),0,MAX(0,AVERAGEIFS(B1295:B1391,D1295:D1391,1)-Resumen!$B$5*AVERAGEIFS(C1295:C1391,D1295:D1391,1)))</f>
        <v>0.632203996907216</v>
      </c>
      <c r="F1343" s="10" t="n">
        <f aca="false">IF(B1343="","",(B1343-E1343)/Resumen!$B$5)</f>
        <v>4.80603336226591</v>
      </c>
      <c r="G1343" s="10" t="n">
        <f aca="false">IF(OR(F1343="",C1343=""),0,(F1343-C1343)*0.9)</f>
        <v>0.485940026039322</v>
      </c>
      <c r="H1343" s="26" t="n">
        <f aca="false">IF(A1343&lt;Resumen!$B$11,"",IF(H1342="",0,H1342)+G1343/Resumen!$B$9)</f>
        <v>1.32482122012948</v>
      </c>
      <c r="I1343" s="26" t="n">
        <f aca="false">IF(H1343="","",H1343-AVERAGE(H1295:H1391))</f>
        <v>0.0697420884716842</v>
      </c>
      <c r="J1343" s="27" t="n">
        <f aca="false">IF(I1343="","",Resumen!$B$10-(MAX(I1295:I1391)-I1343))</f>
        <v>1.81843842033611</v>
      </c>
    </row>
    <row r="1344" customFormat="false" ht="15" hidden="false" customHeight="false" outlineLevel="0" collapsed="false">
      <c r="A1344" s="24" t="n">
        <v>46275.375</v>
      </c>
      <c r="B1344" s="10" t="n">
        <v>4.9391</v>
      </c>
      <c r="C1344" s="10" t="n">
        <v>3.3404</v>
      </c>
      <c r="D1344" s="10" t="n">
        <f aca="false">IF(OR(B1344="",C1344="",B1344&lt;=0.05,C1344&lt;=0.05),0,1)</f>
        <v>1</v>
      </c>
      <c r="E1344" s="25" t="n">
        <f aca="false">IF(OR(A1344&lt;Resumen!$B$6,A1344&gt;=Resumen!$B$7),0,MAX(0,AVERAGEIFS(B1296:B1392,D1296:D1392,1)-Resumen!$B$5*AVERAGEIFS(C1296:C1392,D1296:D1392,1)))</f>
        <v>0.628877644329897</v>
      </c>
      <c r="F1344" s="10" t="n">
        <f aca="false">IF(B1344="","",(B1344-E1344)/Resumen!$B$5)</f>
        <v>3.4235284794838</v>
      </c>
      <c r="G1344" s="10" t="n">
        <f aca="false">IF(OR(F1344="",C1344=""),0,(F1344-C1344)*0.9)</f>
        <v>0.0748156315354193</v>
      </c>
      <c r="H1344" s="26" t="n">
        <f aca="false">IF(A1344&lt;Resumen!$B$11,"",IF(H1343="",0,H1343)+G1344/Resumen!$B$9)</f>
        <v>1.32835767197794</v>
      </c>
      <c r="I1344" s="26" t="n">
        <f aca="false">IF(H1344="","",H1344-AVERAGE(H1296:H1392))</f>
        <v>0.0729644144473263</v>
      </c>
      <c r="J1344" s="27" t="n">
        <f aca="false">IF(I1344="","",Resumen!$B$10-(MAX(I1296:I1392)-I1344))</f>
        <v>1.82166074631176</v>
      </c>
    </row>
    <row r="1345" customFormat="false" ht="15" hidden="false" customHeight="false" outlineLevel="0" collapsed="false">
      <c r="A1345" s="24" t="n">
        <v>46275.3854166667</v>
      </c>
      <c r="B1345" s="10" t="n">
        <v>6.0048</v>
      </c>
      <c r="C1345" s="10" t="n">
        <v>3.5937</v>
      </c>
      <c r="D1345" s="10" t="n">
        <f aca="false">IF(OR(B1345="",C1345="",B1345&lt;=0.05,C1345&lt;=0.05),0,1)</f>
        <v>1</v>
      </c>
      <c r="E1345" s="25" t="n">
        <f aca="false">IF(OR(A1345&lt;Resumen!$B$6,A1345&gt;=Resumen!$B$7),0,MAX(0,AVERAGEIFS(B1297:B1393,D1297:D1393,1)-Resumen!$B$5*AVERAGEIFS(C1297:C1393,D1297:D1393,1)))</f>
        <v>0.634868149484536</v>
      </c>
      <c r="F1345" s="10" t="n">
        <f aca="false">IF(B1345="","",(B1345-E1345)/Resumen!$B$5)</f>
        <v>4.26523578277638</v>
      </c>
      <c r="G1345" s="10" t="n">
        <f aca="false">IF(OR(F1345="",C1345=""),0,(F1345-C1345)*0.9)</f>
        <v>0.604382204498744</v>
      </c>
      <c r="H1345" s="26" t="n">
        <f aca="false">IF(A1345&lt;Resumen!$B$11,"",IF(H1344="",0,H1344)+G1345/Resumen!$B$9)</f>
        <v>1.35692614784868</v>
      </c>
      <c r="I1345" s="26" t="n">
        <f aca="false">IF(H1345="","",H1345-AVERAGE(H1297:H1393))</f>
        <v>0.101013490010284</v>
      </c>
      <c r="J1345" s="27" t="n">
        <f aca="false">IF(I1345="","",Resumen!$B$10-(MAX(I1297:I1393)-I1345))</f>
        <v>1.84970982187471</v>
      </c>
    </row>
    <row r="1346" customFormat="false" ht="15" hidden="false" customHeight="false" outlineLevel="0" collapsed="false">
      <c r="A1346" s="24" t="n">
        <v>46275.3958333333</v>
      </c>
      <c r="B1346" s="10" t="n">
        <v>5.9624</v>
      </c>
      <c r="C1346" s="10" t="n">
        <v>4.2212</v>
      </c>
      <c r="D1346" s="10" t="n">
        <f aca="false">IF(OR(B1346="",C1346="",B1346&lt;=0.05,C1346&lt;=0.05),0,1)</f>
        <v>1</v>
      </c>
      <c r="E1346" s="25" t="n">
        <f aca="false">IF(OR(A1346&lt;Resumen!$B$6,A1346&gt;=Resumen!$B$7),0,MAX(0,AVERAGEIFS(B1298:B1394,D1298:D1394,1)-Resumen!$B$5*AVERAGEIFS(C1298:C1394,D1298:D1394,1)))</f>
        <v>0.629280259793815</v>
      </c>
      <c r="F1346" s="10" t="n">
        <f aca="false">IF(B1346="","",(B1346-E1346)/Resumen!$B$5)</f>
        <v>4.23599661652596</v>
      </c>
      <c r="G1346" s="10" t="n">
        <f aca="false">IF(OR(F1346="",C1346=""),0,(F1346-C1346)*0.9)</f>
        <v>0.0133169548733661</v>
      </c>
      <c r="H1346" s="26" t="n">
        <f aca="false">IF(A1346&lt;Resumen!$B$11,"",IF(H1345="",0,H1345)+G1346/Resumen!$B$9)</f>
        <v>1.35755562552215</v>
      </c>
      <c r="I1346" s="26" t="n">
        <f aca="false">IF(H1346="","",H1346-AVERAGE(H1298:H1394))</f>
        <v>0.101303668135569</v>
      </c>
      <c r="J1346" s="27" t="n">
        <f aca="false">IF(I1346="","",Resumen!$B$10-(MAX(I1298:I1394)-I1346))</f>
        <v>1.85</v>
      </c>
    </row>
    <row r="1347" customFormat="false" ht="15" hidden="false" customHeight="false" outlineLevel="0" collapsed="false">
      <c r="A1347" s="24" t="n">
        <v>46275.40625</v>
      </c>
      <c r="B1347" s="10" t="n">
        <v>5.7723</v>
      </c>
      <c r="C1347" s="10" t="n">
        <v>4.7127</v>
      </c>
      <c r="D1347" s="10" t="n">
        <f aca="false">IF(OR(B1347="",C1347="",B1347&lt;=0.05,C1347&lt;=0.05),0,1)</f>
        <v>1</v>
      </c>
      <c r="E1347" s="25" t="n">
        <f aca="false">IF(OR(A1347&lt;Resumen!$B$6,A1347&gt;=Resumen!$B$7),0,MAX(0,AVERAGEIFS(B1299:B1395,D1299:D1395,1)-Resumen!$B$5*AVERAGEIFS(C1299:C1395,D1299:D1395,1)))</f>
        <v>0.633563697938145</v>
      </c>
      <c r="F1347" s="10" t="n">
        <f aca="false">IF(B1347="","",(B1347-E1347)/Resumen!$B$5)</f>
        <v>4.08160151077193</v>
      </c>
      <c r="G1347" s="10" t="n">
        <f aca="false">IF(OR(F1347="",C1347=""),0,(F1347-C1347)*0.9)</f>
        <v>-0.567988640305266</v>
      </c>
      <c r="H1347" s="26" t="n">
        <f aca="false">IF(A1347&lt;Resumen!$B$11,"",IF(H1346="",0,H1346)+G1347/Resumen!$B$9)</f>
        <v>1.33070743302966</v>
      </c>
      <c r="I1347" s="26" t="n">
        <f aca="false">IF(H1347="","",H1347-AVERAGE(H1299:H1395))</f>
        <v>0.0739545724654813</v>
      </c>
      <c r="J1347" s="27" t="n">
        <f aca="false">IF(I1347="","",Resumen!$B$10-(MAX(I1299:I1395)-I1347))</f>
        <v>1.82265090432991</v>
      </c>
    </row>
    <row r="1348" customFormat="false" ht="15" hidden="false" customHeight="false" outlineLevel="0" collapsed="false">
      <c r="A1348" s="24" t="n">
        <v>46275.4166666667</v>
      </c>
      <c r="B1348" s="10" t="n">
        <v>6.2272</v>
      </c>
      <c r="C1348" s="10" t="n">
        <v>4.8384</v>
      </c>
      <c r="D1348" s="10" t="n">
        <f aca="false">IF(OR(B1348="",C1348="",B1348&lt;=0.05,C1348&lt;=0.05),0,1)</f>
        <v>1</v>
      </c>
      <c r="E1348" s="25" t="n">
        <f aca="false">IF(OR(A1348&lt;Resumen!$B$6,A1348&gt;=Resumen!$B$7),0,MAX(0,AVERAGEIFS(B1300:B1396,D1300:D1396,1)-Resumen!$B$5*AVERAGEIFS(C1300:C1396,D1300:D1396,1)))</f>
        <v>0.628911881443299</v>
      </c>
      <c r="F1348" s="10" t="n">
        <f aca="false">IF(B1348="","",(B1348-E1348)/Resumen!$B$5)</f>
        <v>4.44661486779722</v>
      </c>
      <c r="G1348" s="10" t="n">
        <f aca="false">IF(OR(F1348="",C1348=""),0,(F1348-C1348)*0.9)</f>
        <v>-0.352606618982501</v>
      </c>
      <c r="H1348" s="26" t="n">
        <f aca="false">IF(A1348&lt;Resumen!$B$11,"",IF(H1347="",0,H1347)+G1348/Resumen!$B$9)</f>
        <v>1.31404010958551</v>
      </c>
      <c r="I1348" s="26" t="n">
        <f aca="false">IF(H1348="","",H1348-AVERAGE(H1300:H1396))</f>
        <v>0.0569326796770995</v>
      </c>
      <c r="J1348" s="27" t="n">
        <f aca="false">IF(I1348="","",Resumen!$B$10-(MAX(I1300:I1396)-I1348))</f>
        <v>1.80562901154153</v>
      </c>
    </row>
    <row r="1349" customFormat="false" ht="15" hidden="false" customHeight="false" outlineLevel="0" collapsed="false">
      <c r="A1349" s="24" t="n">
        <v>46275.4270833333</v>
      </c>
      <c r="B1349" s="10" t="n">
        <v>5.7682</v>
      </c>
      <c r="C1349" s="10" t="n">
        <v>3.7841</v>
      </c>
      <c r="D1349" s="10" t="n">
        <f aca="false">IF(OR(B1349="",C1349="",B1349&lt;=0.05,C1349&lt;=0.05),0,1)</f>
        <v>1</v>
      </c>
      <c r="E1349" s="25" t="n">
        <f aca="false">IF(OR(A1349&lt;Resumen!$B$6,A1349&gt;=Resumen!$B$7),0,MAX(0,AVERAGEIFS(B1301:B1397,D1301:D1397,1)-Resumen!$B$5*AVERAGEIFS(C1301:C1397,D1301:D1397,1)))</f>
        <v>0.625045913402063</v>
      </c>
      <c r="F1349" s="10" t="n">
        <f aca="false">IF(B1349="","",(B1349-E1349)/Resumen!$B$5)</f>
        <v>4.08511047386651</v>
      </c>
      <c r="G1349" s="10" t="n">
        <f aca="false">IF(OR(F1349="",C1349=""),0,(F1349-C1349)*0.9)</f>
        <v>0.27090942647986</v>
      </c>
      <c r="H1349" s="26" t="n">
        <f aca="false">IF(A1349&lt;Resumen!$B$11,"",IF(H1348="",0,H1348)+G1349/Resumen!$B$9)</f>
        <v>1.32684569743363</v>
      </c>
      <c r="I1349" s="26" t="n">
        <f aca="false">IF(H1349="","",H1349-AVERAGE(H1301:H1397))</f>
        <v>0.0695080873764582</v>
      </c>
      <c r="J1349" s="27" t="n">
        <f aca="false">IF(I1349="","",Resumen!$B$10-(MAX(I1301:I1397)-I1349))</f>
        <v>1.81820441924089</v>
      </c>
    </row>
    <row r="1350" customFormat="false" ht="15" hidden="false" customHeight="false" outlineLevel="0" collapsed="false">
      <c r="A1350" s="24" t="n">
        <v>46275.4375</v>
      </c>
      <c r="B1350" s="10" t="n">
        <v>5.69</v>
      </c>
      <c r="C1350" s="10" t="n">
        <v>4.284</v>
      </c>
      <c r="D1350" s="10" t="n">
        <f aca="false">IF(OR(B1350="",C1350="",B1350&lt;=0.05,C1350&lt;=0.05),0,1)</f>
        <v>1</v>
      </c>
      <c r="E1350" s="25" t="n">
        <f aca="false">IF(OR(A1350&lt;Resumen!$B$6,A1350&gt;=Resumen!$B$7),0,MAX(0,AVERAGEIFS(B1302:B1398,D1302:D1398,1)-Resumen!$B$5*AVERAGEIFS(C1302:C1398,D1302:D1398,1)))</f>
        <v>0.62055866701031</v>
      </c>
      <c r="F1350" s="10" t="n">
        <f aca="false">IF(B1350="","",(B1350-E1350)/Resumen!$B$5)</f>
        <v>4.02656182127855</v>
      </c>
      <c r="G1350" s="10" t="n">
        <f aca="false">IF(OR(F1350="",C1350=""),0,(F1350-C1350)*0.9)</f>
        <v>-0.231694360849307</v>
      </c>
      <c r="H1350" s="26" t="n">
        <f aca="false">IF(A1350&lt;Resumen!$B$11,"",IF(H1349="",0,H1349)+G1350/Resumen!$B$9)</f>
        <v>1.31589376220449</v>
      </c>
      <c r="I1350" s="26" t="n">
        <f aca="false">IF(H1350="","",H1350-AVERAGE(H1302:H1398))</f>
        <v>0.0584685901252717</v>
      </c>
      <c r="J1350" s="27" t="n">
        <f aca="false">IF(I1350="","",Resumen!$B$10-(MAX(I1302:I1398)-I1350))</f>
        <v>1.8071649219897</v>
      </c>
    </row>
    <row r="1351" customFormat="false" ht="15" hidden="false" customHeight="false" outlineLevel="0" collapsed="false">
      <c r="A1351" s="24" t="n">
        <v>46275.4479166667</v>
      </c>
      <c r="B1351" s="10" t="n">
        <v>6.7272</v>
      </c>
      <c r="C1351" s="10" t="n">
        <v>5.5311</v>
      </c>
      <c r="D1351" s="10" t="n">
        <f aca="false">IF(OR(B1351="",C1351="",B1351&lt;=0.05,C1351&lt;=0.05),0,1)</f>
        <v>1</v>
      </c>
      <c r="E1351" s="25" t="n">
        <f aca="false">IF(OR(A1351&lt;Resumen!$B$6,A1351&gt;=Resumen!$B$7),0,MAX(0,AVERAGEIFS(B1303:B1399,D1303:D1399,1)-Resumen!$B$5*AVERAGEIFS(C1303:C1399,D1303:D1399,1)))</f>
        <v>0.619721994845361</v>
      </c>
      <c r="F1351" s="10" t="n">
        <f aca="false">IF(B1351="","",(B1351-E1351)/Resumen!$B$5)</f>
        <v>4.85105480949534</v>
      </c>
      <c r="G1351" s="10" t="n">
        <f aca="false">IF(OR(F1351="",C1351=""),0,(F1351-C1351)*0.9)</f>
        <v>-0.612040671454191</v>
      </c>
      <c r="H1351" s="26" t="n">
        <f aca="false">IF(A1351&lt;Resumen!$B$11,"",IF(H1350="",0,H1350)+G1351/Resumen!$B$9)</f>
        <v>1.28696327910257</v>
      </c>
      <c r="I1351" s="26" t="n">
        <f aca="false">IF(H1351="","",H1351-AVERAGE(H1303:H1399))</f>
        <v>0.0294691385777035</v>
      </c>
      <c r="J1351" s="27" t="n">
        <f aca="false">IF(I1351="","",Resumen!$B$10-(MAX(I1303:I1399)-I1351))</f>
        <v>1.77816547044213</v>
      </c>
    </row>
    <row r="1352" customFormat="false" ht="15" hidden="false" customHeight="false" outlineLevel="0" collapsed="false">
      <c r="A1352" s="24" t="n">
        <v>46275.4583333333</v>
      </c>
      <c r="B1352" s="10" t="n">
        <v>5.1758</v>
      </c>
      <c r="C1352" s="10" t="n">
        <v>3.4992</v>
      </c>
      <c r="D1352" s="10" t="n">
        <f aca="false">IF(OR(B1352="",C1352="",B1352&lt;=0.05,C1352&lt;=0.05),0,1)</f>
        <v>1</v>
      </c>
      <c r="E1352" s="25" t="n">
        <f aca="false">IF(OR(A1352&lt;Resumen!$B$6,A1352&gt;=Resumen!$B$7),0,MAX(0,AVERAGEIFS(B1304:B1400,D1304:D1400,1)-Resumen!$B$5*AVERAGEIFS(C1304:C1400,D1304:D1400,1)))</f>
        <v>0.616573225773196</v>
      </c>
      <c r="F1352" s="10" t="n">
        <f aca="false">IF(B1352="","",(B1352-E1352)/Resumen!$B$5)</f>
        <v>3.62130800176871</v>
      </c>
      <c r="G1352" s="10" t="n">
        <f aca="false">IF(OR(F1352="",C1352=""),0,(F1352-C1352)*0.9)</f>
        <v>0.109897201591838</v>
      </c>
      <c r="H1352" s="26" t="n">
        <f aca="false">IF(A1352&lt;Resumen!$B$11,"",IF(H1351="",0,H1351)+G1352/Resumen!$B$9)</f>
        <v>1.29215799782289</v>
      </c>
      <c r="I1352" s="26" t="n">
        <f aca="false">IF(H1352="","",H1352-AVERAGE(H1304:H1400))</f>
        <v>0.0346992894484106</v>
      </c>
      <c r="J1352" s="27" t="n">
        <f aca="false">IF(I1352="","",Resumen!$B$10-(MAX(I1304:I1400)-I1352))</f>
        <v>1.78339562131284</v>
      </c>
    </row>
    <row r="1353" customFormat="false" ht="15" hidden="false" customHeight="false" outlineLevel="0" collapsed="false">
      <c r="A1353" s="24" t="n">
        <v>46275.46875</v>
      </c>
      <c r="B1353" s="10" t="n">
        <v>5.135</v>
      </c>
      <c r="C1353" s="10" t="n">
        <v>3.7824</v>
      </c>
      <c r="D1353" s="10" t="n">
        <f aca="false">IF(OR(B1353="",C1353="",B1353&lt;=0.05,C1353&lt;=0.05),0,1)</f>
        <v>1</v>
      </c>
      <c r="E1353" s="25" t="n">
        <f aca="false">IF(OR(A1353&lt;Resumen!$B$6,A1353&gt;=Resumen!$B$7),0,MAX(0,AVERAGEIFS(B1305:B1401,D1305:D1401,1)-Resumen!$B$5*AVERAGEIFS(C1305:C1401,D1305:D1401,1)))</f>
        <v>0.611028117525773</v>
      </c>
      <c r="F1353" s="10" t="n">
        <f aca="false">IF(B1353="","",(B1353-E1353)/Resumen!$B$5)</f>
        <v>3.59330570490407</v>
      </c>
      <c r="G1353" s="10" t="n">
        <f aca="false">IF(OR(F1353="",C1353=""),0,(F1353-C1353)*0.9)</f>
        <v>-0.170184865586335</v>
      </c>
      <c r="H1353" s="26" t="n">
        <f aca="false">IF(A1353&lt;Resumen!$B$11,"",IF(H1352="",0,H1352)+G1353/Resumen!$B$9)</f>
        <v>1.28411354815201</v>
      </c>
      <c r="I1353" s="26" t="n">
        <f aca="false">IF(H1353="","",H1353-AVERAGE(H1305:H1401))</f>
        <v>0.0268749161490425</v>
      </c>
      <c r="J1353" s="27" t="n">
        <f aca="false">IF(I1353="","",Resumen!$B$10-(MAX(I1305:I1401)-I1353))</f>
        <v>1.77557124801347</v>
      </c>
    </row>
    <row r="1354" customFormat="false" ht="15" hidden="false" customHeight="false" outlineLevel="0" collapsed="false">
      <c r="A1354" s="24" t="n">
        <v>46275.4791666667</v>
      </c>
      <c r="B1354" s="10" t="n">
        <v>6.2079</v>
      </c>
      <c r="C1354" s="10" t="n">
        <v>4.301</v>
      </c>
      <c r="D1354" s="10" t="n">
        <f aca="false">IF(OR(B1354="",C1354="",B1354&lt;=0.05,C1354&lt;=0.05),0,1)</f>
        <v>1</v>
      </c>
      <c r="E1354" s="25" t="n">
        <f aca="false">IF(OR(A1354&lt;Resumen!$B$6,A1354&gt;=Resumen!$B$7),0,MAX(0,AVERAGEIFS(B1306:B1402,D1306:D1402,1)-Resumen!$B$5*AVERAGEIFS(C1306:C1402,D1306:D1402,1)))</f>
        <v>0.612886920618557</v>
      </c>
      <c r="F1354" s="10" t="n">
        <f aca="false">IF(B1354="","",(B1354-E1354)/Resumen!$B$5)</f>
        <v>4.44401356583117</v>
      </c>
      <c r="G1354" s="10" t="n">
        <f aca="false">IF(OR(F1354="",C1354=""),0,(F1354-C1354)*0.9)</f>
        <v>0.128712209248053</v>
      </c>
      <c r="H1354" s="26" t="n">
        <f aca="false">IF(A1354&lt;Resumen!$B$11,"",IF(H1353="",0,H1353)+G1354/Resumen!$B$9)</f>
        <v>1.29019763139735</v>
      </c>
      <c r="I1354" s="26" t="n">
        <f aca="false">IF(H1354="","",H1354-AVERAGE(H1306:H1402))</f>
        <v>0.0331165952577495</v>
      </c>
      <c r="J1354" s="27" t="n">
        <f aca="false">IF(I1354="","",Resumen!$B$10-(MAX(I1306:I1402)-I1354))</f>
        <v>1.78181292712218</v>
      </c>
    </row>
    <row r="1355" customFormat="false" ht="15" hidden="false" customHeight="false" outlineLevel="0" collapsed="false">
      <c r="A1355" s="24" t="n">
        <v>46275.4895833333</v>
      </c>
      <c r="B1355" s="10" t="n">
        <v>4.5451</v>
      </c>
      <c r="C1355" s="10" t="n">
        <v>2.9089</v>
      </c>
      <c r="D1355" s="10" t="n">
        <f aca="false">IF(OR(B1355="",C1355="",B1355&lt;=0.05,C1355&lt;=0.05),0,1)</f>
        <v>1</v>
      </c>
      <c r="E1355" s="25" t="n">
        <f aca="false">IF(OR(A1355&lt;Resumen!$B$6,A1355&gt;=Resumen!$B$7),0,MAX(0,AVERAGEIFS(B1307:B1403,D1307:D1403,1)-Resumen!$B$5*AVERAGEIFS(C1307:C1403,D1307:D1403,1)))</f>
        <v>0.608413244329898</v>
      </c>
      <c r="F1355" s="10" t="n">
        <f aca="false">IF(B1355="","",(B1355-E1355)/Resumen!$B$5)</f>
        <v>3.1268361840112</v>
      </c>
      <c r="G1355" s="10" t="n">
        <f aca="false">IF(OR(F1355="",C1355=""),0,(F1355-C1355)*0.9)</f>
        <v>0.196142565610081</v>
      </c>
      <c r="H1355" s="26" t="n">
        <f aca="false">IF(A1355&lt;Resumen!$B$11,"",IF(H1354="",0,H1354)+G1355/Resumen!$B$9)</f>
        <v>1.29946907273223</v>
      </c>
      <c r="I1355" s="26" t="n">
        <f aca="false">IF(H1355="","",H1355-AVERAGE(H1307:H1403))</f>
        <v>0.0426897893634211</v>
      </c>
      <c r="J1355" s="27" t="n">
        <f aca="false">IF(I1355="","",Resumen!$B$10-(MAX(I1307:I1403)-I1355))</f>
        <v>1.79138612122785</v>
      </c>
    </row>
    <row r="1356" customFormat="false" ht="15" hidden="false" customHeight="false" outlineLevel="0" collapsed="false">
      <c r="A1356" s="24" t="n">
        <v>46275.5</v>
      </c>
      <c r="B1356" s="10" t="n">
        <v>5.314</v>
      </c>
      <c r="C1356" s="10" t="n">
        <v>4.1708</v>
      </c>
      <c r="D1356" s="10" t="n">
        <f aca="false">IF(OR(B1356="",C1356="",B1356&lt;=0.05,C1356&lt;=0.05),0,1)</f>
        <v>1</v>
      </c>
      <c r="E1356" s="25" t="n">
        <f aca="false">IF(OR(A1356&lt;Resumen!$B$6,A1356&gt;=Resumen!$B$7),0,MAX(0,AVERAGEIFS(B1308:B1404,D1308:D1404,1)-Resumen!$B$5*AVERAGEIFS(C1308:C1404,D1308:D1404,1)))</f>
        <v>0.609478418556701</v>
      </c>
      <c r="F1356" s="10" t="n">
        <f aca="false">IF(B1356="","",(B1356-E1356)/Resumen!$B$5)</f>
        <v>3.73671293204392</v>
      </c>
      <c r="G1356" s="10" t="n">
        <f aca="false">IF(OR(F1356="",C1356=""),0,(F1356-C1356)*0.9)</f>
        <v>-0.390678361160469</v>
      </c>
      <c r="H1356" s="26" t="n">
        <f aca="false">IF(A1356&lt;Resumen!$B$11,"",IF(H1355="",0,H1355)+G1356/Resumen!$B$9)</f>
        <v>1.28100214029948</v>
      </c>
      <c r="I1356" s="26" t="n">
        <f aca="false">IF(H1356="","",H1356-AVERAGE(H1308:H1404))</f>
        <v>0.0244785121633568</v>
      </c>
      <c r="J1356" s="27" t="n">
        <f aca="false">IF(I1356="","",Resumen!$B$10-(MAX(I1308:I1404)-I1356))</f>
        <v>1.77317484402779</v>
      </c>
    </row>
    <row r="1357" customFormat="false" ht="15" hidden="false" customHeight="false" outlineLevel="0" collapsed="false">
      <c r="A1357" s="24" t="n">
        <v>46275.5104166667</v>
      </c>
      <c r="B1357" s="10" t="n">
        <v>4.6285</v>
      </c>
      <c r="C1357" s="10" t="n">
        <v>3.233</v>
      </c>
      <c r="D1357" s="10" t="n">
        <f aca="false">IF(OR(B1357="",C1357="",B1357&lt;=0.05,C1357&lt;=0.05),0,1)</f>
        <v>1</v>
      </c>
      <c r="E1357" s="25" t="n">
        <f aca="false">IF(OR(A1357&lt;Resumen!$B$6,A1357&gt;=Resumen!$B$7),0,MAX(0,AVERAGEIFS(B1309:B1405,D1309:D1405,1)-Resumen!$B$5*AVERAGEIFS(C1309:C1405,D1309:D1405,1)))</f>
        <v>0.612038690721649</v>
      </c>
      <c r="F1357" s="10" t="n">
        <f aca="false">IF(B1357="","",(B1357-E1357)/Resumen!$B$5)</f>
        <v>3.19019961022903</v>
      </c>
      <c r="G1357" s="10" t="n">
        <f aca="false">IF(OR(F1357="",C1357=""),0,(F1357-C1357)*0.9)</f>
        <v>-0.0385203507938717</v>
      </c>
      <c r="H1357" s="26" t="n">
        <f aca="false">IF(A1357&lt;Resumen!$B$11,"",IF(H1356="",0,H1356)+G1357/Resumen!$B$9)</f>
        <v>1.27918132607961</v>
      </c>
      <c r="I1357" s="26" t="n">
        <f aca="false">IF(H1357="","",H1357-AVERAGE(H1309:H1405))</f>
        <v>0.0228181983643374</v>
      </c>
      <c r="J1357" s="27" t="n">
        <f aca="false">IF(I1357="","",Resumen!$B$10-(MAX(I1309:I1405)-I1357))</f>
        <v>1.77151453022877</v>
      </c>
    </row>
    <row r="1358" customFormat="false" ht="15" hidden="false" customHeight="false" outlineLevel="0" collapsed="false">
      <c r="A1358" s="24" t="n">
        <v>46275.5208333333</v>
      </c>
      <c r="B1358" s="10" t="n">
        <v>4.9223</v>
      </c>
      <c r="C1358" s="10" t="n">
        <v>3.4284</v>
      </c>
      <c r="D1358" s="10" t="n">
        <f aca="false">IF(OR(B1358="",C1358="",B1358&lt;=0.05,C1358&lt;=0.05),0,1)</f>
        <v>1</v>
      </c>
      <c r="E1358" s="25" t="n">
        <f aca="false">IF(OR(A1358&lt;Resumen!$B$6,A1358&gt;=Resumen!$B$7),0,MAX(0,AVERAGEIFS(B1310:B1406,D1310:D1406,1)-Resumen!$B$5*AVERAGEIFS(C1310:C1406,D1310:D1406,1)))</f>
        <v>0.608599289690722</v>
      </c>
      <c r="F1358" s="10" t="n">
        <f aca="false">IF(B1358="","",(B1358-E1358)/Resumen!$B$5)</f>
        <v>3.42629127109554</v>
      </c>
      <c r="G1358" s="10" t="n">
        <f aca="false">IF(OR(F1358="",C1358=""),0,(F1358-C1358)*0.9)</f>
        <v>-0.00189785601401811</v>
      </c>
      <c r="H1358" s="26" t="n">
        <f aca="false">IF(A1358&lt;Resumen!$B$11,"",IF(H1357="",0,H1357)+G1358/Resumen!$B$9)</f>
        <v>1.27909161653267</v>
      </c>
      <c r="I1358" s="26" t="n">
        <f aca="false">IF(H1358="","",H1358-AVERAGE(H1310:H1406))</f>
        <v>0.0229978161954438</v>
      </c>
      <c r="J1358" s="27" t="n">
        <f aca="false">IF(I1358="","",Resumen!$B$10-(MAX(I1310:I1406)-I1358))</f>
        <v>1.77169414805987</v>
      </c>
    </row>
    <row r="1359" customFormat="false" ht="15" hidden="false" customHeight="false" outlineLevel="0" collapsed="false">
      <c r="A1359" s="24" t="n">
        <v>46275.53125</v>
      </c>
      <c r="B1359" s="10" t="n">
        <v>3.6789</v>
      </c>
      <c r="C1359" s="10" t="n">
        <v>2.6271</v>
      </c>
      <c r="D1359" s="10" t="n">
        <f aca="false">IF(OR(B1359="",C1359="",B1359&lt;=0.05,C1359&lt;=0.05),0,1)</f>
        <v>1</v>
      </c>
      <c r="E1359" s="25" t="n">
        <f aca="false">IF(OR(A1359&lt;Resumen!$B$6,A1359&gt;=Resumen!$B$7),0,MAX(0,AVERAGEIFS(B1311:B1407,D1311:D1407,1)-Resumen!$B$5*AVERAGEIFS(C1311:C1407,D1311:D1407,1)))</f>
        <v>0.610861116494846</v>
      </c>
      <c r="F1359" s="10" t="n">
        <f aca="false">IF(B1359="","",(B1359-E1359)/Resumen!$B$5)</f>
        <v>2.43688553098106</v>
      </c>
      <c r="G1359" s="10" t="n">
        <f aca="false">IF(OR(F1359="",C1359=""),0,(F1359-C1359)*0.9)</f>
        <v>-0.171193022117046</v>
      </c>
      <c r="H1359" s="26" t="n">
        <f aca="false">IF(A1359&lt;Resumen!$B$11,"",IF(H1358="",0,H1358)+G1359/Resumen!$B$9)</f>
        <v>1.27099951242175</v>
      </c>
      <c r="I1359" s="26" t="n">
        <f aca="false">IF(H1359="","",H1359-AVERAGE(H1311:H1407))</f>
        <v>0.0150922076088571</v>
      </c>
      <c r="J1359" s="27" t="n">
        <f aca="false">IF(I1359="","",Resumen!$B$10-(MAX(I1311:I1407)-I1359))</f>
        <v>1.76378853947329</v>
      </c>
    </row>
    <row r="1360" customFormat="false" ht="15" hidden="false" customHeight="false" outlineLevel="0" collapsed="false">
      <c r="A1360" s="24" t="n">
        <v>46275.5416666667</v>
      </c>
      <c r="B1360" s="10" t="n">
        <v>5.0512</v>
      </c>
      <c r="C1360" s="10" t="n">
        <v>3.7764</v>
      </c>
      <c r="D1360" s="10" t="n">
        <f aca="false">IF(OR(B1360="",C1360="",B1360&lt;=0.05,C1360&lt;=0.05),0,1)</f>
        <v>1</v>
      </c>
      <c r="E1360" s="25" t="n">
        <f aca="false">IF(OR(A1360&lt;Resumen!$B$6,A1360&gt;=Resumen!$B$7),0,MAX(0,AVERAGEIFS(B1312:B1408,D1312:D1408,1)-Resumen!$B$5*AVERAGEIFS(C1312:C1408,D1312:D1408,1)))</f>
        <v>0.612099591752577</v>
      </c>
      <c r="F1360" s="10" t="n">
        <f aca="false">IF(B1360="","",(B1360-E1360)/Resumen!$B$5)</f>
        <v>3.52589389058572</v>
      </c>
      <c r="G1360" s="10" t="n">
        <f aca="false">IF(OR(F1360="",C1360=""),0,(F1360-C1360)*0.9)</f>
        <v>-0.225455498472851</v>
      </c>
      <c r="H1360" s="26" t="n">
        <f aca="false">IF(A1360&lt;Resumen!$B$11,"",IF(H1359="",0,H1359)+G1360/Resumen!$B$9)</f>
        <v>1.26034248129128</v>
      </c>
      <c r="I1360" s="26" t="n">
        <f aca="false">IF(H1360="","",H1360-AVERAGE(H1312:H1408))</f>
        <v>0.00457302946311056</v>
      </c>
      <c r="J1360" s="27" t="n">
        <f aca="false">IF(I1360="","",Resumen!$B$10-(MAX(I1312:I1408)-I1360))</f>
        <v>1.75326936132754</v>
      </c>
    </row>
    <row r="1361" customFormat="false" ht="15" hidden="false" customHeight="false" outlineLevel="0" collapsed="false">
      <c r="A1361" s="24" t="n">
        <v>46275.5520833333</v>
      </c>
      <c r="B1361" s="10" t="n">
        <v>4.706</v>
      </c>
      <c r="C1361" s="10" t="n">
        <v>3.296</v>
      </c>
      <c r="D1361" s="10" t="n">
        <f aca="false">IF(OR(B1361="",C1361="",B1361&lt;=0.05,C1361&lt;=0.05),0,1)</f>
        <v>1</v>
      </c>
      <c r="E1361" s="25" t="n">
        <f aca="false">IF(OR(A1361&lt;Resumen!$B$6,A1361&gt;=Resumen!$B$7),0,MAX(0,AVERAGEIFS(B1313:B1409,D1313:D1409,1)-Resumen!$B$5*AVERAGEIFS(C1313:C1409,D1313:D1409,1)))</f>
        <v>0.613262217525774</v>
      </c>
      <c r="F1361" s="10" t="n">
        <f aca="false">IF(B1361="","",(B1361-E1361)/Resumen!$B$5)</f>
        <v>3.2507845770248</v>
      </c>
      <c r="G1361" s="10" t="n">
        <f aca="false">IF(OR(F1361="",C1361=""),0,(F1361-C1361)*0.9)</f>
        <v>-0.0406938806776768</v>
      </c>
      <c r="H1361" s="26" t="n">
        <f aca="false">IF(A1361&lt;Resumen!$B$11,"",IF(H1360="",0,H1360)+G1361/Resumen!$B$9)</f>
        <v>1.25841892672668</v>
      </c>
      <c r="I1361" s="26" t="n">
        <f aca="false">IF(H1361="","",H1361-AVERAGE(H1313:H1409))</f>
        <v>0.00274981378860817</v>
      </c>
      <c r="J1361" s="27" t="n">
        <f aca="false">IF(I1361="","",Resumen!$B$10-(MAX(I1313:I1409)-I1361))</f>
        <v>1.75144614565304</v>
      </c>
    </row>
    <row r="1362" customFormat="false" ht="15" hidden="false" customHeight="false" outlineLevel="0" collapsed="false">
      <c r="A1362" s="24" t="n">
        <v>46275.5625</v>
      </c>
      <c r="B1362" s="10" t="n">
        <v>4.4212</v>
      </c>
      <c r="C1362" s="10" t="n">
        <v>2.6734</v>
      </c>
      <c r="D1362" s="10" t="n">
        <f aca="false">IF(OR(B1362="",C1362="",B1362&lt;=0.05,C1362&lt;=0.05),0,1)</f>
        <v>1</v>
      </c>
      <c r="E1362" s="25" t="n">
        <f aca="false">IF(OR(A1362&lt;Resumen!$B$6,A1362&gt;=Resumen!$B$7),0,MAX(0,AVERAGEIFS(B1314:B1410,D1314:D1410,1)-Resumen!$B$5*AVERAGEIFS(C1314:C1410,D1314:D1410,1)))</f>
        <v>0.612125075257733</v>
      </c>
      <c r="F1362" s="10" t="n">
        <f aca="false">IF(B1362="","",(B1362-E1362)/Resumen!$B$5)</f>
        <v>3.02547650892952</v>
      </c>
      <c r="G1362" s="10" t="n">
        <f aca="false">IF(OR(F1362="",C1362=""),0,(F1362-C1362)*0.9)</f>
        <v>0.316868858036569</v>
      </c>
      <c r="H1362" s="26" t="n">
        <f aca="false">IF(A1362&lt;Resumen!$B$11,"",IF(H1361="",0,H1361)+G1362/Resumen!$B$9)</f>
        <v>1.27339696588406</v>
      </c>
      <c r="I1362" s="26" t="n">
        <f aca="false">IF(H1362="","",H1362-AVERAGE(H1314:H1410))</f>
        <v>0.0178692094608743</v>
      </c>
      <c r="J1362" s="27" t="n">
        <f aca="false">IF(I1362="","",Resumen!$B$10-(MAX(I1314:I1410)-I1362))</f>
        <v>1.76656554132531</v>
      </c>
    </row>
    <row r="1363" customFormat="false" ht="15" hidden="false" customHeight="false" outlineLevel="0" collapsed="false">
      <c r="A1363" s="24" t="n">
        <v>46275.5729166667</v>
      </c>
      <c r="B1363" s="10" t="n">
        <v>3.9623</v>
      </c>
      <c r="C1363" s="10" t="n">
        <v>3.1423</v>
      </c>
      <c r="D1363" s="10" t="n">
        <f aca="false">IF(OR(B1363="",C1363="",B1363&lt;=0.05,C1363&lt;=0.05),0,1)</f>
        <v>1</v>
      </c>
      <c r="E1363" s="25" t="n">
        <f aca="false">IF(OR(A1363&lt;Resumen!$B$6,A1363&gt;=Resumen!$B$7),0,MAX(0,AVERAGEIFS(B1315:B1411,D1315:D1411,1)-Resumen!$B$5*AVERAGEIFS(C1315:C1411,D1315:D1411,1)))</f>
        <v>0.611129220618557</v>
      </c>
      <c r="F1363" s="10" t="n">
        <f aca="false">IF(B1363="","",(B1363-E1363)/Resumen!$B$5)</f>
        <v>2.66177186606945</v>
      </c>
      <c r="G1363" s="10" t="n">
        <f aca="false">IF(OR(F1363="",C1363=""),0,(F1363-C1363)*0.9)</f>
        <v>-0.432475320537491</v>
      </c>
      <c r="H1363" s="26" t="n">
        <f aca="false">IF(A1363&lt;Resumen!$B$11,"",IF(H1362="",0,H1362)+G1363/Resumen!$B$9)</f>
        <v>1.25295433758114</v>
      </c>
      <c r="I1363" s="26" t="n">
        <f aca="false">IF(H1363="","",H1363-AVERAGE(H1315:H1411))</f>
        <v>-0.00239882950186376</v>
      </c>
      <c r="J1363" s="27" t="n">
        <f aca="false">IF(I1363="","",Resumen!$B$10-(MAX(I1315:I1411)-I1363))</f>
        <v>1.74629750236257</v>
      </c>
    </row>
    <row r="1364" customFormat="false" ht="15" hidden="false" customHeight="false" outlineLevel="0" collapsed="false">
      <c r="A1364" s="24" t="n">
        <v>46275.5833333333</v>
      </c>
      <c r="B1364" s="10" t="n">
        <v>4.427</v>
      </c>
      <c r="C1364" s="10" t="n">
        <v>2.4968</v>
      </c>
      <c r="D1364" s="10" t="n">
        <f aca="false">IF(OR(B1364="",C1364="",B1364&lt;=0.05,C1364&lt;=0.05),0,1)</f>
        <v>1</v>
      </c>
      <c r="E1364" s="25" t="n">
        <f aca="false">IF(OR(A1364&lt;Resumen!$B$6,A1364&gt;=Resumen!$B$7),0,MAX(0,AVERAGEIFS(B1316:B1412,D1316:D1412,1)-Resumen!$B$5*AVERAGEIFS(C1316:C1412,D1316:D1412,1)))</f>
        <v>0.613753851546392</v>
      </c>
      <c r="F1364" s="10" t="n">
        <f aca="false">IF(B1364="","",(B1364-E1364)/Resumen!$B$5)</f>
        <v>3.02878963340239</v>
      </c>
      <c r="G1364" s="10" t="n">
        <f aca="false">IF(OR(F1364="",C1364=""),0,(F1364-C1364)*0.9)</f>
        <v>0.478790670062151</v>
      </c>
      <c r="H1364" s="26" t="n">
        <f aca="false">IF(A1364&lt;Resumen!$B$11,"",IF(H1363="",0,H1363)+G1364/Resumen!$B$9)</f>
        <v>1.27558624104056</v>
      </c>
      <c r="I1364" s="26" t="n">
        <f aca="false">IF(H1364="","",H1364-AVERAGE(H1316:H1412))</f>
        <v>0.0203214441534103</v>
      </c>
      <c r="J1364" s="27" t="n">
        <f aca="false">IF(I1364="","",Resumen!$B$10-(MAX(I1316:I1412)-I1364))</f>
        <v>1.76901777601784</v>
      </c>
    </row>
    <row r="1365" customFormat="false" ht="15" hidden="false" customHeight="false" outlineLevel="0" collapsed="false">
      <c r="A1365" s="24" t="n">
        <v>46275.59375</v>
      </c>
      <c r="B1365" s="10" t="n">
        <v>4.2144</v>
      </c>
      <c r="C1365" s="10" t="n">
        <v>2.3629</v>
      </c>
      <c r="D1365" s="10" t="n">
        <f aca="false">IF(OR(B1365="",C1365="",B1365&lt;=0.05,C1365&lt;=0.05),0,1)</f>
        <v>1</v>
      </c>
      <c r="E1365" s="25" t="n">
        <f aca="false">IF(OR(A1365&lt;Resumen!$B$6,A1365&gt;=Resumen!$B$7),0,MAX(0,AVERAGEIFS(B1317:B1413,D1317:D1413,1)-Resumen!$B$5*AVERAGEIFS(C1317:C1413,D1317:D1413,1)))</f>
        <v>0.61351760515464</v>
      </c>
      <c r="F1365" s="10" t="n">
        <f aca="false">IF(B1365="","",(B1365-E1365)/Resumen!$B$5)</f>
        <v>2.86011310154516</v>
      </c>
      <c r="G1365" s="10" t="n">
        <f aca="false">IF(OR(F1365="",C1365=""),0,(F1365-C1365)*0.9)</f>
        <v>0.447491791390647</v>
      </c>
      <c r="H1365" s="26" t="n">
        <f aca="false">IF(A1365&lt;Resumen!$B$11,"",IF(H1364="",0,H1364)+G1365/Resumen!$B$9)</f>
        <v>1.29673868125065</v>
      </c>
      <c r="I1365" s="26" t="n">
        <f aca="false">IF(H1365="","",H1365-AVERAGE(H1317:H1413))</f>
        <v>0.0415665429498171</v>
      </c>
      <c r="J1365" s="27" t="n">
        <f aca="false">IF(I1365="","",Resumen!$B$10-(MAX(I1317:I1413)-I1365))</f>
        <v>1.79026287481425</v>
      </c>
    </row>
    <row r="1366" customFormat="false" ht="15" hidden="false" customHeight="false" outlineLevel="0" collapsed="false">
      <c r="A1366" s="24" t="n">
        <v>46275.6041666667</v>
      </c>
      <c r="B1366" s="10" t="n">
        <v>4.9644</v>
      </c>
      <c r="C1366" s="10" t="n">
        <v>3.8886</v>
      </c>
      <c r="D1366" s="10" t="n">
        <f aca="false">IF(OR(B1366="",C1366="",B1366&lt;=0.05,C1366&lt;=0.05),0,1)</f>
        <v>1</v>
      </c>
      <c r="E1366" s="25" t="n">
        <f aca="false">IF(OR(A1366&lt;Resumen!$B$6,A1366&gt;=Resumen!$B$7),0,MAX(0,AVERAGEIFS(B1318:B1414,D1318:D1414,1)-Resumen!$B$5*AVERAGEIFS(C1318:C1414,D1318:D1414,1)))</f>
        <v>0.61568382886598</v>
      </c>
      <c r="F1366" s="10" t="n">
        <f aca="false">IF(B1366="","",(B1366-E1366)/Resumen!$B$5)</f>
        <v>3.45410339248135</v>
      </c>
      <c r="G1366" s="10" t="n">
        <f aca="false">IF(OR(F1366="",C1366=""),0,(F1366-C1366)*0.9)</f>
        <v>-0.391046946766784</v>
      </c>
      <c r="H1366" s="26" t="n">
        <f aca="false">IF(A1366&lt;Resumen!$B$11,"",IF(H1365="",0,H1365)+G1366/Resumen!$B$9)</f>
        <v>1.27825432618546</v>
      </c>
      <c r="I1366" s="26" t="n">
        <f aca="false">IF(H1366="","",H1366-AVERAGE(H1318:H1414))</f>
        <v>0.0230925827239692</v>
      </c>
      <c r="J1366" s="27" t="n">
        <f aca="false">IF(I1366="","",Resumen!$B$10-(MAX(I1318:I1414)-I1366))</f>
        <v>1.7717889145884</v>
      </c>
    </row>
    <row r="1367" customFormat="false" ht="15" hidden="false" customHeight="false" outlineLevel="0" collapsed="false">
      <c r="A1367" s="24" t="n">
        <v>46275.6145833333</v>
      </c>
      <c r="B1367" s="10" t="n">
        <v>4.0494</v>
      </c>
      <c r="C1367" s="10" t="n">
        <v>2.6635</v>
      </c>
      <c r="D1367" s="10" t="n">
        <f aca="false">IF(OR(B1367="",C1367="",B1367&lt;=0.05,C1367&lt;=0.05),0,1)</f>
        <v>1</v>
      </c>
      <c r="E1367" s="25" t="n">
        <f aca="false">IF(OR(A1367&lt;Resumen!$B$6,A1367&gt;=Resumen!$B$7),0,MAX(0,AVERAGEIFS(B1319:B1415,D1319:D1415,1)-Resumen!$B$5*AVERAGEIFS(C1319:C1415,D1319:D1415,1)))</f>
        <v>0.622597304123712</v>
      </c>
      <c r="F1367" s="10" t="n">
        <f aca="false">IF(B1367="","",(B1367-E1367)/Resumen!$B$5)</f>
        <v>2.72184487361103</v>
      </c>
      <c r="G1367" s="10" t="n">
        <f aca="false">IF(OR(F1367="",C1367=""),0,(F1367-C1367)*0.9)</f>
        <v>0.0525103862499283</v>
      </c>
      <c r="H1367" s="26" t="n">
        <f aca="false">IF(A1367&lt;Resumen!$B$11,"",IF(H1366="",0,H1366)+G1367/Resumen!$B$9)</f>
        <v>1.28073643385074</v>
      </c>
      <c r="I1367" s="26" t="n">
        <f aca="false">IF(H1367="","",H1367-AVERAGE(H1319:H1415))</f>
        <v>0.0253466270883407</v>
      </c>
      <c r="J1367" s="27" t="n">
        <f aca="false">IF(I1367="","",Resumen!$B$10-(MAX(I1319:I1415)-I1367))</f>
        <v>1.77404295895277</v>
      </c>
    </row>
    <row r="1368" customFormat="false" ht="15" hidden="false" customHeight="false" outlineLevel="0" collapsed="false">
      <c r="A1368" s="24" t="n">
        <v>46275.625</v>
      </c>
      <c r="B1368" s="10" t="n">
        <v>4.3822</v>
      </c>
      <c r="C1368" s="10" t="n">
        <v>3.0385</v>
      </c>
      <c r="D1368" s="10" t="n">
        <f aca="false">IF(OR(B1368="",C1368="",B1368&lt;=0.05,C1368&lt;=0.05),0,1)</f>
        <v>1</v>
      </c>
      <c r="E1368" s="25" t="n">
        <f aca="false">IF(OR(A1368&lt;Resumen!$B$6,A1368&gt;=Resumen!$B$7),0,MAX(0,AVERAGEIFS(B1320:B1416,D1320:D1416,1)-Resumen!$B$5*AVERAGEIFS(C1320:C1416,D1320:D1416,1)))</f>
        <v>0.62386080515464</v>
      </c>
      <c r="F1368" s="10" t="n">
        <f aca="false">IF(B1368="","",(B1368-E1368)/Resumen!$B$5)</f>
        <v>2.98517807374532</v>
      </c>
      <c r="G1368" s="10" t="n">
        <f aca="false">IF(OR(F1368="",C1368=""),0,(F1368-C1368)*0.9)</f>
        <v>-0.0479897336292096</v>
      </c>
      <c r="H1368" s="26" t="n">
        <f aca="false">IF(A1368&lt;Resumen!$B$11,"",IF(H1367="",0,H1367)+G1368/Resumen!$B$9)</f>
        <v>1.27846801241638</v>
      </c>
      <c r="I1368" s="26" t="n">
        <f aca="false">IF(H1368="","",H1368-AVERAGE(H1320:H1416))</f>
        <v>0.0228019251892715</v>
      </c>
      <c r="J1368" s="27" t="n">
        <f aca="false">IF(I1368="","",Resumen!$B$10-(MAX(I1320:I1416)-I1368))</f>
        <v>1.7714982570537</v>
      </c>
    </row>
    <row r="1369" customFormat="false" ht="15" hidden="false" customHeight="false" outlineLevel="0" collapsed="false">
      <c r="A1369" s="24" t="n">
        <v>46275.6354166667</v>
      </c>
      <c r="B1369" s="10" t="n">
        <v>4.5054</v>
      </c>
      <c r="C1369" s="10" t="n">
        <v>3.2299</v>
      </c>
      <c r="D1369" s="10" t="n">
        <f aca="false">IF(OR(B1369="",C1369="",B1369&lt;=0.05,C1369&lt;=0.05),0,1)</f>
        <v>1</v>
      </c>
      <c r="E1369" s="25" t="n">
        <f aca="false">IF(OR(A1369&lt;Resumen!$B$6,A1369&gt;=Resumen!$B$7),0,MAX(0,AVERAGEIFS(B1321:B1417,D1321:D1417,1)-Resumen!$B$5*AVERAGEIFS(C1321:C1417,D1321:D1417,1)))</f>
        <v>0.623668808247424</v>
      </c>
      <c r="F1369" s="10" t="n">
        <f aca="false">IF(B1369="","",(B1369-E1369)/Resumen!$B$5)</f>
        <v>3.08318601410054</v>
      </c>
      <c r="G1369" s="10" t="n">
        <f aca="false">IF(OR(F1369="",C1369=""),0,(F1369-C1369)*0.9)</f>
        <v>-0.132042587309516</v>
      </c>
      <c r="H1369" s="26" t="n">
        <f aca="false">IF(A1369&lt;Resumen!$B$11,"",IF(H1368="",0,H1368)+G1369/Resumen!$B$9)</f>
        <v>1.27222650589719</v>
      </c>
      <c r="I1369" s="26" t="n">
        <f aca="false">IF(H1369="","",H1369-AVERAGE(H1321:H1417))</f>
        <v>0.0162904822831891</v>
      </c>
      <c r="J1369" s="27" t="n">
        <f aca="false">IF(I1369="","",Resumen!$B$10-(MAX(I1321:I1417)-I1369))</f>
        <v>1.76498681414762</v>
      </c>
    </row>
    <row r="1370" customFormat="false" ht="15" hidden="false" customHeight="false" outlineLevel="0" collapsed="false">
      <c r="A1370" s="24" t="n">
        <v>46275.6458333333</v>
      </c>
      <c r="B1370" s="10" t="n">
        <v>4.1483</v>
      </c>
      <c r="C1370" s="10" t="n">
        <v>3.3091</v>
      </c>
      <c r="D1370" s="10" t="n">
        <f aca="false">IF(OR(B1370="",C1370="",B1370&lt;=0.05,C1370&lt;=0.05),0,1)</f>
        <v>1</v>
      </c>
      <c r="E1370" s="25" t="n">
        <f aca="false">IF(OR(A1370&lt;Resumen!$B$6,A1370&gt;=Resumen!$B$7),0,MAX(0,AVERAGEIFS(B1322:B1418,D1322:D1418,1)-Resumen!$B$5*AVERAGEIFS(C1322:C1418,D1322:D1418,1)))</f>
        <v>0.623101474226805</v>
      </c>
      <c r="F1370" s="10" t="n">
        <f aca="false">IF(B1370="","",(B1370-E1370)/Resumen!$B$5)</f>
        <v>2.7999988290494</v>
      </c>
      <c r="G1370" s="10" t="n">
        <f aca="false">IF(OR(F1370="",C1370=""),0,(F1370-C1370)*0.9)</f>
        <v>-0.458191053855539</v>
      </c>
      <c r="H1370" s="26" t="n">
        <f aca="false">IF(A1370&lt;Resumen!$B$11,"",IF(H1369="",0,H1369)+G1370/Resumen!$B$9)</f>
        <v>1.25056832342784</v>
      </c>
      <c r="I1370" s="26" t="n">
        <f aca="false">IF(H1370="","",H1370-AVERAGE(H1322:H1418))</f>
        <v>-0.00561779305574772</v>
      </c>
      <c r="J1370" s="27" t="n">
        <f aca="false">IF(I1370="","",Resumen!$B$10-(MAX(I1322:I1418)-I1370))</f>
        <v>1.74307853880868</v>
      </c>
    </row>
    <row r="1371" customFormat="false" ht="15" hidden="false" customHeight="false" outlineLevel="0" collapsed="false">
      <c r="A1371" s="24" t="n">
        <v>46275.65625</v>
      </c>
      <c r="B1371" s="10" t="n">
        <v>3.638</v>
      </c>
      <c r="C1371" s="10" t="n">
        <v>2.7482</v>
      </c>
      <c r="D1371" s="10" t="n">
        <f aca="false">IF(OR(B1371="",C1371="",B1371&lt;=0.05,C1371&lt;=0.05),0,1)</f>
        <v>1</v>
      </c>
      <c r="E1371" s="25" t="n">
        <f aca="false">IF(OR(A1371&lt;Resumen!$B$6,A1371&gt;=Resumen!$B$7),0,MAX(0,AVERAGEIFS(B1323:B1419,D1323:D1419,1)-Resumen!$B$5*AVERAGEIFS(C1323:C1419,D1323:D1419,1)))</f>
        <v>0.622869196907216</v>
      </c>
      <c r="F1371" s="10" t="n">
        <f aca="false">IF(B1371="","",(B1371-E1371)/Resumen!$B$5)</f>
        <v>2.39486163867576</v>
      </c>
      <c r="G1371" s="10" t="n">
        <f aca="false">IF(OR(F1371="",C1371=""),0,(F1371-C1371)*0.9)</f>
        <v>-0.318004525191815</v>
      </c>
      <c r="H1371" s="26" t="n">
        <f aca="false">IF(A1371&lt;Resumen!$B$11,"",IF(H1370="",0,H1370)+G1371/Resumen!$B$9)</f>
        <v>1.23553660254475</v>
      </c>
      <c r="I1371" s="26" t="n">
        <f aca="false">IF(H1371="","",H1371-AVERAGE(H1323:H1419))</f>
        <v>-0.020884493478488</v>
      </c>
      <c r="J1371" s="27" t="n">
        <f aca="false">IF(I1371="","",Resumen!$B$10-(MAX(I1323:I1419)-I1371))</f>
        <v>1.72781183838594</v>
      </c>
    </row>
    <row r="1372" customFormat="false" ht="15" hidden="false" customHeight="false" outlineLevel="0" collapsed="false">
      <c r="A1372" s="24" t="n">
        <v>46275.6666666667</v>
      </c>
      <c r="B1372" s="10" t="n">
        <v>4.0832</v>
      </c>
      <c r="C1372" s="10" t="n">
        <v>2.7532</v>
      </c>
      <c r="D1372" s="10" t="n">
        <f aca="false">IF(OR(B1372="",C1372="",B1372&lt;=0.05,C1372&lt;=0.05),0,1)</f>
        <v>1</v>
      </c>
      <c r="E1372" s="25" t="n">
        <f aca="false">IF(OR(A1372&lt;Resumen!$B$6,A1372&gt;=Resumen!$B$7),0,MAX(0,AVERAGEIFS(B1324:B1420,D1324:D1420,1)-Resumen!$B$5*AVERAGEIFS(C1324:C1420,D1324:D1420,1)))</f>
        <v>0.620537871134021</v>
      </c>
      <c r="F1372" s="10" t="n">
        <f aca="false">IF(B1372="","",(B1372-E1372)/Resumen!$B$5)</f>
        <v>2.75032734620014</v>
      </c>
      <c r="G1372" s="10" t="n">
        <f aca="false">IF(OR(F1372="",C1372=""),0,(F1372-C1372)*0.9)</f>
        <v>-0.00258538841987201</v>
      </c>
      <c r="H1372" s="26" t="n">
        <f aca="false">IF(A1372&lt;Resumen!$B$11,"",IF(H1371="",0,H1371)+G1372/Resumen!$B$9)</f>
        <v>1.23541439410423</v>
      </c>
      <c r="I1372" s="26" t="n">
        <f aca="false">IF(H1372="","",H1372-AVERAGE(H1324:H1420))</f>
        <v>-0.021151794658937</v>
      </c>
      <c r="J1372" s="27" t="n">
        <f aca="false">IF(I1372="","",Resumen!$B$10-(MAX(I1324:I1420)-I1372))</f>
        <v>1.72754453720549</v>
      </c>
    </row>
    <row r="1373" customFormat="false" ht="15" hidden="false" customHeight="false" outlineLevel="0" collapsed="false">
      <c r="A1373" s="24" t="n">
        <v>46275.6770833333</v>
      </c>
      <c r="B1373" s="10" t="n">
        <v>4.1913</v>
      </c>
      <c r="C1373" s="10" t="n">
        <v>3</v>
      </c>
      <c r="D1373" s="10" t="n">
        <f aca="false">IF(OR(B1373="",C1373="",B1373&lt;=0.05,C1373&lt;=0.05),0,1)</f>
        <v>1</v>
      </c>
      <c r="E1373" s="25" t="n">
        <f aca="false">IF(OR(A1373&lt;Resumen!$B$6,A1373&gt;=Resumen!$B$7),0,MAX(0,AVERAGEIFS(B1325:B1421,D1325:D1421,1)-Resumen!$B$5*AVERAGEIFS(C1325:C1421,D1325:D1421,1)))</f>
        <v>0.623395495876289</v>
      </c>
      <c r="F1373" s="10" t="n">
        <f aca="false">IF(B1373="","",(B1373-E1373)/Resumen!$B$5)</f>
        <v>2.83391938373607</v>
      </c>
      <c r="G1373" s="10" t="n">
        <f aca="false">IF(OR(F1373="",C1373=""),0,(F1373-C1373)*0.9)</f>
        <v>-0.149472554637538</v>
      </c>
      <c r="H1373" s="26" t="n">
        <f aca="false">IF(A1373&lt;Resumen!$B$11,"",IF(H1372="",0,H1372)+G1373/Resumen!$B$9)</f>
        <v>1.22834899237877</v>
      </c>
      <c r="I1373" s="26" t="n">
        <f aca="false">IF(H1373="","",H1373-AVERAGE(H1325:H1421))</f>
        <v>-0.0284465539432572</v>
      </c>
      <c r="J1373" s="27" t="n">
        <f aca="false">IF(I1373="","",Resumen!$B$10-(MAX(I1325:I1421)-I1373))</f>
        <v>1.72024977792117</v>
      </c>
    </row>
    <row r="1374" customFormat="false" ht="15" hidden="false" customHeight="false" outlineLevel="0" collapsed="false">
      <c r="A1374" s="24" t="n">
        <v>46275.6875</v>
      </c>
      <c r="B1374" s="10" t="n">
        <v>4.0037</v>
      </c>
      <c r="C1374" s="10" t="n">
        <v>2.8798</v>
      </c>
      <c r="D1374" s="10" t="n">
        <f aca="false">IF(OR(B1374="",C1374="",B1374&lt;=0.05,C1374&lt;=0.05),0,1)</f>
        <v>1</v>
      </c>
      <c r="E1374" s="25" t="n">
        <f aca="false">IF(OR(A1374&lt;Resumen!$B$6,A1374&gt;=Resumen!$B$7),0,MAX(0,AVERAGEIFS(B1326:B1422,D1326:D1422,1)-Resumen!$B$5*AVERAGEIFS(C1326:C1422,D1326:D1422,1)))</f>
        <v>0.620921088659794</v>
      </c>
      <c r="F1374" s="10" t="n">
        <f aca="false">IF(B1374="","",(B1374-E1374)/Resumen!$B$5)</f>
        <v>2.68687761027816</v>
      </c>
      <c r="G1374" s="10" t="n">
        <f aca="false">IF(OR(F1374="",C1374=""),0,(F1374-C1374)*0.9)</f>
        <v>-0.173630150749654</v>
      </c>
      <c r="H1374" s="26" t="n">
        <f aca="false">IF(A1374&lt;Resumen!$B$11,"",IF(H1373="",0,H1373)+G1374/Resumen!$B$9)</f>
        <v>1.22014168790289</v>
      </c>
      <c r="I1374" s="26" t="n">
        <f aca="false">IF(H1374="","",H1374-AVERAGE(H1326:H1422))</f>
        <v>-0.0367891928639594</v>
      </c>
      <c r="J1374" s="27" t="n">
        <f aca="false">IF(I1374="","",Resumen!$B$10-(MAX(I1326:I1422)-I1374))</f>
        <v>1.71190713900047</v>
      </c>
    </row>
    <row r="1375" customFormat="false" ht="15" hidden="false" customHeight="false" outlineLevel="0" collapsed="false">
      <c r="A1375" s="24" t="n">
        <v>46275.6979166667</v>
      </c>
      <c r="B1375" s="10" t="n">
        <v>3.8739</v>
      </c>
      <c r="C1375" s="10" t="n">
        <v>2.28</v>
      </c>
      <c r="D1375" s="10" t="n">
        <f aca="false">IF(OR(B1375="",C1375="",B1375&lt;=0.05,C1375&lt;=0.05),0,1)</f>
        <v>1</v>
      </c>
      <c r="E1375" s="25" t="n">
        <f aca="false">IF(OR(A1375&lt;Resumen!$B$6,A1375&gt;=Resumen!$B$7),0,MAX(0,AVERAGEIFS(B1327:B1423,D1327:D1423,1)-Resumen!$B$5*AVERAGEIFS(C1327:C1423,D1327:D1423,1)))</f>
        <v>0.622535787628866</v>
      </c>
      <c r="F1375" s="10" t="n">
        <f aca="false">IF(B1375="","",(B1375-E1375)/Resumen!$B$5)</f>
        <v>2.58249738869828</v>
      </c>
      <c r="G1375" s="10" t="n">
        <f aca="false">IF(OR(F1375="",C1375=""),0,(F1375-C1375)*0.9)</f>
        <v>0.272247649828452</v>
      </c>
      <c r="H1375" s="26" t="n">
        <f aca="false">IF(A1375&lt;Resumen!$B$11,"",IF(H1374="",0,H1374)+G1375/Resumen!$B$9)</f>
        <v>1.23301053208311</v>
      </c>
      <c r="I1375" s="26" t="n">
        <f aca="false">IF(H1375="","",H1375-AVERAGE(H1327:H1423))</f>
        <v>-0.0240945361702603</v>
      </c>
      <c r="J1375" s="27" t="n">
        <f aca="false">IF(I1375="","",Resumen!$B$10-(MAX(I1327:I1423)-I1375))</f>
        <v>1.72460179569417</v>
      </c>
    </row>
    <row r="1376" customFormat="false" ht="15" hidden="false" customHeight="false" outlineLevel="0" collapsed="false">
      <c r="A1376" s="24" t="n">
        <v>46275.7083333333</v>
      </c>
      <c r="B1376" s="10" t="n">
        <v>3.9839</v>
      </c>
      <c r="C1376" s="10" t="n">
        <v>3.1059</v>
      </c>
      <c r="D1376" s="10" t="n">
        <f aca="false">IF(OR(B1376="",C1376="",B1376&lt;=0.05,C1376&lt;=0.05),0,1)</f>
        <v>1</v>
      </c>
      <c r="E1376" s="25" t="n">
        <f aca="false">IF(OR(A1376&lt;Resumen!$B$6,A1376&gt;=Resumen!$B$7),0,MAX(0,AVERAGEIFS(B1328:B1424,D1328:D1424,1)-Resumen!$B$5*AVERAGEIFS(C1328:C1424,D1328:D1424,1)))</f>
        <v>0.621002563917526</v>
      </c>
      <c r="F1376" s="10" t="n">
        <f aca="false">IF(B1376="","",(B1376-E1376)/Resumen!$B$5)</f>
        <v>2.67108612873906</v>
      </c>
      <c r="G1376" s="10" t="n">
        <f aca="false">IF(OR(F1376="",C1376=""),0,(F1376-C1376)*0.9)</f>
        <v>-0.391332484134848</v>
      </c>
      <c r="H1376" s="26" t="n">
        <f aca="false">IF(A1376&lt;Resumen!$B$11,"",IF(H1375="",0,H1375)+G1376/Resumen!$B$9)</f>
        <v>1.21451267998351</v>
      </c>
      <c r="I1376" s="26" t="n">
        <f aca="false">IF(H1376="","",H1376-AVERAGE(H1328:H1424))</f>
        <v>-0.0427042124279493</v>
      </c>
      <c r="J1376" s="27" t="n">
        <f aca="false">IF(I1376="","",Resumen!$B$10-(MAX(I1328:I1424)-I1376))</f>
        <v>1.70599211943648</v>
      </c>
    </row>
    <row r="1377" customFormat="false" ht="15" hidden="false" customHeight="false" outlineLevel="0" collapsed="false">
      <c r="A1377" s="24" t="n">
        <v>46275.71875</v>
      </c>
      <c r="B1377" s="10" t="n">
        <v>4.7061</v>
      </c>
      <c r="C1377" s="10" t="n">
        <v>3.1802</v>
      </c>
      <c r="D1377" s="10" t="n">
        <f aca="false">IF(OR(B1377="",C1377="",B1377&lt;=0.05,C1377&lt;=0.05),0,1)</f>
        <v>1</v>
      </c>
      <c r="E1377" s="25" t="n">
        <f aca="false">IF(OR(A1377&lt;Resumen!$B$6,A1377&gt;=Resumen!$B$7),0,MAX(0,AVERAGEIFS(B1329:B1425,D1329:D1425,1)-Resumen!$B$5*AVERAGEIFS(C1329:C1425,D1329:D1425,1)))</f>
        <v>0.619776449484536</v>
      </c>
      <c r="F1377" s="10" t="n">
        <f aca="false">IF(B1377="","",(B1377-E1377)/Resumen!$B$5)</f>
        <v>3.24568987332444</v>
      </c>
      <c r="G1377" s="10" t="n">
        <f aca="false">IF(OR(F1377="",C1377=""),0,(F1377-C1377)*0.9)</f>
        <v>0.0589408859919922</v>
      </c>
      <c r="H1377" s="26" t="n">
        <f aca="false">IF(A1377&lt;Resumen!$B$11,"",IF(H1376="",0,H1376)+G1377/Resumen!$B$9)</f>
        <v>1.21729875023298</v>
      </c>
      <c r="I1377" s="26" t="n">
        <f aca="false">IF(H1377="","",H1377-AVERAGE(H1329:H1425))</f>
        <v>-0.0399751593181137</v>
      </c>
      <c r="J1377" s="27" t="n">
        <f aca="false">IF(I1377="","",Resumen!$B$10-(MAX(I1329:I1425)-I1377))</f>
        <v>1.70872117254632</v>
      </c>
    </row>
    <row r="1378" customFormat="false" ht="15" hidden="false" customHeight="false" outlineLevel="0" collapsed="false">
      <c r="A1378" s="24" t="n">
        <v>46275.7291666667</v>
      </c>
      <c r="B1378" s="10" t="n">
        <v>3.9013</v>
      </c>
      <c r="C1378" s="10" t="n">
        <v>2.3118</v>
      </c>
      <c r="D1378" s="10" t="n">
        <f aca="false">IF(OR(B1378="",C1378="",B1378&lt;=0.05,C1378&lt;=0.05),0,1)</f>
        <v>1</v>
      </c>
      <c r="E1378" s="25" t="n">
        <f aca="false">IF(OR(A1378&lt;Resumen!$B$6,A1378&gt;=Resumen!$B$7),0,MAX(0,AVERAGEIFS(B1330:B1426,D1330:D1426,1)-Resumen!$B$5*AVERAGEIFS(C1330:C1426,D1330:D1426,1)))</f>
        <v>0.62523541443299</v>
      </c>
      <c r="F1378" s="10" t="n">
        <f aca="false">IF(B1378="","",(B1378-E1378)/Resumen!$B$5)</f>
        <v>2.60211643015648</v>
      </c>
      <c r="G1378" s="10" t="n">
        <f aca="false">IF(OR(F1378="",C1378=""),0,(F1378-C1378)*0.9)</f>
        <v>0.261284787140834</v>
      </c>
      <c r="H1378" s="26" t="n">
        <f aca="false">IF(A1378&lt;Resumen!$B$11,"",IF(H1377="",0,H1377)+G1378/Resumen!$B$9)</f>
        <v>1.22964939206403</v>
      </c>
      <c r="I1378" s="26" t="n">
        <f aca="false">IF(H1378="","",H1378-AVERAGE(H1330:H1426))</f>
        <v>-0.0278506884537286</v>
      </c>
      <c r="J1378" s="27" t="n">
        <f aca="false">IF(I1378="","",Resumen!$B$10-(MAX(I1330:I1426)-I1378))</f>
        <v>1.7208456434107</v>
      </c>
    </row>
    <row r="1379" customFormat="false" ht="15" hidden="false" customHeight="false" outlineLevel="0" collapsed="false">
      <c r="A1379" s="24" t="n">
        <v>46275.7395833333</v>
      </c>
      <c r="B1379" s="10" t="n">
        <v>3.8504</v>
      </c>
      <c r="C1379" s="10" t="n">
        <v>2.8801</v>
      </c>
      <c r="D1379" s="10" t="n">
        <f aca="false">IF(OR(B1379="",C1379="",B1379&lt;=0.05,C1379&lt;=0.05),0,1)</f>
        <v>1</v>
      </c>
      <c r="E1379" s="25" t="n">
        <f aca="false">IF(OR(A1379&lt;Resumen!$B$6,A1379&gt;=Resumen!$B$7),0,MAX(0,AVERAGEIFS(B1331:B1427,D1331:D1427,1)-Resumen!$B$5*AVERAGEIFS(C1331:C1427,D1331:D1427,1)))</f>
        <v>0.621694151546392</v>
      </c>
      <c r="F1379" s="10" t="n">
        <f aca="false">IF(B1379="","",(B1379-E1379)/Resumen!$B$5)</f>
        <v>2.56450027677014</v>
      </c>
      <c r="G1379" s="10" t="n">
        <f aca="false">IF(OR(F1379="",C1379=""),0,(F1379-C1379)*0.9)</f>
        <v>-0.284039750906873</v>
      </c>
      <c r="H1379" s="26" t="n">
        <f aca="false">IF(A1379&lt;Resumen!$B$11,"",IF(H1378="",0,H1378)+G1379/Resumen!$B$9)</f>
        <v>1.21622314835647</v>
      </c>
      <c r="I1379" s="26" t="n">
        <f aca="false">IF(H1379="","",H1379-AVERAGE(H1331:H1427))</f>
        <v>-0.0413718734330215</v>
      </c>
      <c r="J1379" s="27" t="n">
        <f aca="false">IF(I1379="","",Resumen!$B$10-(MAX(I1331:I1427)-I1379))</f>
        <v>1.70732445843141</v>
      </c>
    </row>
    <row r="1380" customFormat="false" ht="15" hidden="false" customHeight="false" outlineLevel="0" collapsed="false">
      <c r="A1380" s="24" t="n">
        <v>46275.75</v>
      </c>
      <c r="B1380" s="10" t="n">
        <v>3.9002</v>
      </c>
      <c r="C1380" s="10" t="n">
        <v>2.5346</v>
      </c>
      <c r="D1380" s="10" t="n">
        <f aca="false">IF(OR(B1380="",C1380="",B1380&lt;=0.05,C1380&lt;=0.05),0,1)</f>
        <v>1</v>
      </c>
      <c r="E1380" s="25" t="n">
        <f aca="false">IF(OR(A1380&lt;Resumen!$B$6,A1380&gt;=Resumen!$B$7),0,MAX(0,AVERAGEIFS(B1332:B1428,D1332:D1428,1)-Resumen!$B$5*AVERAGEIFS(C1332:C1428,D1332:D1428,1)))</f>
        <v>0.62057245257732</v>
      </c>
      <c r="F1380" s="10" t="n">
        <f aca="false">IF(B1380="","",(B1380-E1380)/Resumen!$B$5)</f>
        <v>2.60494642368759</v>
      </c>
      <c r="G1380" s="10" t="n">
        <f aca="false">IF(OR(F1380="",C1380=""),0,(F1380-C1380)*0.9)</f>
        <v>0.0633117813188339</v>
      </c>
      <c r="H1380" s="26" t="n">
        <f aca="false">IF(A1380&lt;Resumen!$B$11,"",IF(H1379="",0,H1379)+G1380/Resumen!$B$9)</f>
        <v>1.21921582597583</v>
      </c>
      <c r="I1380" s="26" t="n">
        <f aca="false">IF(H1380="","",H1380-AVERAGE(H1332:H1428))</f>
        <v>-0.0384221083088463</v>
      </c>
      <c r="J1380" s="27" t="n">
        <f aca="false">IF(I1380="","",Resumen!$B$10-(MAX(I1332:I1428)-I1380))</f>
        <v>1.71027422355558</v>
      </c>
    </row>
    <row r="1381" customFormat="false" ht="15" hidden="false" customHeight="false" outlineLevel="0" collapsed="false">
      <c r="A1381" s="24" t="n">
        <v>46275.7604166667</v>
      </c>
      <c r="B1381" s="10" t="n">
        <v>4.0198</v>
      </c>
      <c r="C1381" s="10" t="n">
        <v>3.1735</v>
      </c>
      <c r="D1381" s="10" t="n">
        <f aca="false">IF(OR(B1381="",C1381="",B1381&lt;=0.05,C1381&lt;=0.05),0,1)</f>
        <v>1</v>
      </c>
      <c r="E1381" s="25" t="n">
        <f aca="false">IF(OR(A1381&lt;Resumen!$B$6,A1381&gt;=Resumen!$B$7),0,MAX(0,AVERAGEIFS(B1333:B1429,D1333:D1429,1)-Resumen!$B$5*AVERAGEIFS(C1333:C1429,D1333:D1429,1)))</f>
        <v>0.618128865979382</v>
      </c>
      <c r="F1381" s="10" t="n">
        <f aca="false">IF(B1381="","",(B1381-E1381)/Resumen!$B$5)</f>
        <v>2.70188334711725</v>
      </c>
      <c r="G1381" s="10" t="n">
        <f aca="false">IF(OR(F1381="",C1381=""),0,(F1381-C1381)*0.9)</f>
        <v>-0.424454987594474</v>
      </c>
      <c r="H1381" s="26" t="n">
        <f aca="false">IF(A1381&lt;Resumen!$B$11,"",IF(H1380="",0,H1380)+G1381/Resumen!$B$9)</f>
        <v>1.1991523099076</v>
      </c>
      <c r="I1381" s="26" t="n">
        <f aca="false">IF(H1381="","",H1381-AVERAGE(H1333:H1429))</f>
        <v>-0.0584324916510803</v>
      </c>
      <c r="J1381" s="27" t="n">
        <f aca="false">IF(I1381="","",Resumen!$B$10-(MAX(I1333:I1429)-I1381))</f>
        <v>1.69026384021335</v>
      </c>
    </row>
    <row r="1382" customFormat="false" ht="15" hidden="false" customHeight="false" outlineLevel="0" collapsed="false">
      <c r="A1382" s="24" t="n">
        <v>46275.7708333333</v>
      </c>
      <c r="B1382" s="10" t="n">
        <v>3.6865</v>
      </c>
      <c r="C1382" s="10" t="n">
        <v>2.3315</v>
      </c>
      <c r="D1382" s="10" t="n">
        <f aca="false">IF(OR(B1382="",C1382="",B1382&lt;=0.05,C1382&lt;=0.05),0,1)</f>
        <v>1</v>
      </c>
      <c r="E1382" s="25" t="n">
        <f aca="false">IF(OR(A1382&lt;Resumen!$B$6,A1382&gt;=Resumen!$B$7),0,MAX(0,AVERAGEIFS(B1334:B1430,D1334:D1430,1)-Resumen!$B$5*AVERAGEIFS(C1334:C1430,D1334:D1430,1)))</f>
        <v>0.623648140206187</v>
      </c>
      <c r="F1382" s="10" t="n">
        <f aca="false">IF(B1382="","",(B1382-E1382)/Resumen!$B$5)</f>
        <v>2.43276557569008</v>
      </c>
      <c r="G1382" s="10" t="n">
        <f aca="false">IF(OR(F1382="",C1382=""),0,(F1382-C1382)*0.9)</f>
        <v>0.0911390181210738</v>
      </c>
      <c r="H1382" s="26" t="n">
        <f aca="false">IF(A1382&lt;Resumen!$B$11,"",IF(H1381="",0,H1381)+G1382/Resumen!$B$9)</f>
        <v>1.20346035011907</v>
      </c>
      <c r="I1382" s="26" t="n">
        <f aca="false">IF(H1382="","",H1382-AVERAGE(H1334:H1430))</f>
        <v>-0.0542393904976295</v>
      </c>
      <c r="J1382" s="27" t="n">
        <f aca="false">IF(I1382="","",Resumen!$B$10-(MAX(I1334:I1430)-I1382))</f>
        <v>1.6944569413668</v>
      </c>
    </row>
    <row r="1383" customFormat="false" ht="15" hidden="false" customHeight="false" outlineLevel="0" collapsed="false">
      <c r="A1383" s="24" t="n">
        <v>46275.78125</v>
      </c>
      <c r="B1383" s="10" t="n">
        <v>3.5663</v>
      </c>
      <c r="C1383" s="10" t="n">
        <v>2.282</v>
      </c>
      <c r="D1383" s="10" t="n">
        <f aca="false">IF(OR(B1383="",C1383="",B1383&lt;=0.05,C1383&lt;=0.05),0,1)</f>
        <v>1</v>
      </c>
      <c r="E1383" s="25" t="n">
        <f aca="false">IF(OR(A1383&lt;Resumen!$B$6,A1383&gt;=Resumen!$B$7),0,MAX(0,AVERAGEIFS(B1335:B1431,D1335:D1431,1)-Resumen!$B$5*AVERAGEIFS(C1335:C1431,D1335:D1431,1)))</f>
        <v>0.62452932371134</v>
      </c>
      <c r="F1383" s="10" t="n">
        <f aca="false">IF(B1383="","",(B1383-E1383)/Resumen!$B$5)</f>
        <v>2.3365930709203</v>
      </c>
      <c r="G1383" s="10" t="n">
        <f aca="false">IF(OR(F1383="",C1383=""),0,(F1383-C1383)*0.9)</f>
        <v>0.0491337638282716</v>
      </c>
      <c r="H1383" s="26" t="n">
        <f aca="false">IF(A1383&lt;Resumen!$B$11,"",IF(H1382="",0,H1382)+G1383/Resumen!$B$9)</f>
        <v>1.20578284859092</v>
      </c>
      <c r="I1383" s="26" t="n">
        <f aca="false">IF(H1383="","",H1383-AVERAGE(H1335:H1431))</f>
        <v>-0.0520470367116508</v>
      </c>
      <c r="J1383" s="27" t="n">
        <f aca="false">IF(I1383="","",Resumen!$B$10-(MAX(I1335:I1431)-I1383))</f>
        <v>1.69664929515278</v>
      </c>
    </row>
    <row r="1384" customFormat="false" ht="15" hidden="false" customHeight="false" outlineLevel="0" collapsed="false">
      <c r="A1384" s="24" t="n">
        <v>46275.7916666667</v>
      </c>
      <c r="B1384" s="10" t="n">
        <v>3.5638</v>
      </c>
      <c r="C1384" s="10" t="n">
        <v>2.1633</v>
      </c>
      <c r="D1384" s="10" t="n">
        <f aca="false">IF(OR(B1384="",C1384="",B1384&lt;=0.05,C1384&lt;=0.05),0,1)</f>
        <v>1</v>
      </c>
      <c r="E1384" s="25" t="n">
        <f aca="false">IF(OR(A1384&lt;Resumen!$B$6,A1384&gt;=Resumen!$B$7),0,MAX(0,AVERAGEIFS(B1336:B1432,D1336:D1432,1)-Resumen!$B$5*AVERAGEIFS(C1336:C1432,D1336:D1432,1)))</f>
        <v>0.625674110309279</v>
      </c>
      <c r="F1384" s="10" t="n">
        <f aca="false">IF(B1384="","",(B1384-E1384)/Resumen!$B$5)</f>
        <v>2.33369808553671</v>
      </c>
      <c r="G1384" s="10" t="n">
        <f aca="false">IF(OR(F1384="",C1384=""),0,(F1384-C1384)*0.9)</f>
        <v>0.153358276983041</v>
      </c>
      <c r="H1384" s="26" t="n">
        <f aca="false">IF(A1384&lt;Resumen!$B$11,"",IF(H1383="",0,H1383)+G1384/Resumen!$B$9)</f>
        <v>1.21303192409804</v>
      </c>
      <c r="I1384" s="26" t="n">
        <f aca="false">IF(H1384="","",H1384-AVERAGE(H1336:H1432))</f>
        <v>-0.0449528415242677</v>
      </c>
      <c r="J1384" s="27" t="n">
        <f aca="false">IF(I1384="","",Resumen!$B$10-(MAX(I1336:I1432)-I1384))</f>
        <v>1.70374349034016</v>
      </c>
    </row>
    <row r="1385" customFormat="false" ht="15" hidden="false" customHeight="false" outlineLevel="0" collapsed="false">
      <c r="A1385" s="24" t="n">
        <v>46275.8020833333</v>
      </c>
      <c r="B1385" s="10" t="n">
        <v>3.344</v>
      </c>
      <c r="C1385" s="10" t="n">
        <v>2.4076</v>
      </c>
      <c r="D1385" s="10" t="n">
        <f aca="false">IF(OR(B1385="",C1385="",B1385&lt;=0.05,C1385&lt;=0.05),0,1)</f>
        <v>1</v>
      </c>
      <c r="E1385" s="25" t="n">
        <f aca="false">IF(OR(A1385&lt;Resumen!$B$6,A1385&gt;=Resumen!$B$7),0,MAX(0,AVERAGEIFS(B1337:B1433,D1337:D1433,1)-Resumen!$B$5*AVERAGEIFS(C1337:C1433,D1337:D1433,1)))</f>
        <v>0.631386645360825</v>
      </c>
      <c r="F1385" s="10" t="n">
        <f aca="false">IF(B1385="","",(B1385-E1385)/Resumen!$B$5)</f>
        <v>2.15457772409784</v>
      </c>
      <c r="G1385" s="10" t="n">
        <f aca="false">IF(OR(F1385="",C1385=""),0,(F1385-C1385)*0.9)</f>
        <v>-0.227720048311948</v>
      </c>
      <c r="H1385" s="26" t="n">
        <f aca="false">IF(A1385&lt;Resumen!$B$11,"",IF(H1384="",0,H1384)+G1385/Resumen!$B$9)</f>
        <v>1.20226785021059</v>
      </c>
      <c r="I1385" s="26" t="n">
        <f aca="false">IF(H1385="","",H1385-AVERAGE(H1337:H1433))</f>
        <v>-0.05605291686327</v>
      </c>
      <c r="J1385" s="27" t="n">
        <f aca="false">IF(I1385="","",Resumen!$B$10-(MAX(I1337:I1433)-I1385))</f>
        <v>1.69264341500116</v>
      </c>
    </row>
    <row r="1386" customFormat="false" ht="15" hidden="false" customHeight="false" outlineLevel="0" collapsed="false">
      <c r="A1386" s="24" t="n">
        <v>46275.8125</v>
      </c>
      <c r="B1386" s="10" t="n">
        <v>4.1694</v>
      </c>
      <c r="C1386" s="10" t="n">
        <v>2.822</v>
      </c>
      <c r="D1386" s="10" t="n">
        <f aca="false">IF(OR(B1386="",C1386="",B1386&lt;=0.05,C1386&lt;=0.05),0,1)</f>
        <v>1</v>
      </c>
      <c r="E1386" s="25" t="n">
        <f aca="false">IF(OR(A1386&lt;Resumen!$B$6,A1386&gt;=Resumen!$B$7),0,MAX(0,AVERAGEIFS(B1338:B1434,D1338:D1434,1)-Resumen!$B$5*AVERAGEIFS(C1338:C1434,D1338:D1434,1)))</f>
        <v>0.621884445360825</v>
      </c>
      <c r="F1386" s="10" t="n">
        <f aca="false">IF(B1386="","",(B1386-E1386)/Resumen!$B$5)</f>
        <v>2.81772482497155</v>
      </c>
      <c r="G1386" s="10" t="n">
        <f aca="false">IF(OR(F1386="",C1386=""),0,(F1386-C1386)*0.9)</f>
        <v>-0.00384765752560918</v>
      </c>
      <c r="H1386" s="26" t="n">
        <f aca="false">IF(A1386&lt;Resumen!$B$11,"",IF(H1385="",0,H1385)+G1386/Resumen!$B$9)</f>
        <v>1.20208597571071</v>
      </c>
      <c r="I1386" s="26" t="n">
        <f aca="false">IF(H1386="","",H1386-AVERAGE(H1338:H1434))</f>
        <v>-0.0562359826965873</v>
      </c>
      <c r="J1386" s="27" t="n">
        <f aca="false">IF(I1386="","",Resumen!$B$10-(MAX(I1338:I1434)-I1386))</f>
        <v>1.69246034916784</v>
      </c>
    </row>
    <row r="1387" customFormat="false" ht="15" hidden="false" customHeight="false" outlineLevel="0" collapsed="false">
      <c r="A1387" s="24" t="n">
        <v>46275.8229166667</v>
      </c>
      <c r="B1387" s="10" t="n">
        <v>4.0694</v>
      </c>
      <c r="C1387" s="10" t="n">
        <v>2.4855</v>
      </c>
      <c r="D1387" s="10" t="n">
        <f aca="false">IF(OR(B1387="",C1387="",B1387&lt;=0.05,C1387&lt;=0.05),0,1)</f>
        <v>1</v>
      </c>
      <c r="E1387" s="25" t="n">
        <f aca="false">IF(OR(A1387&lt;Resumen!$B$6,A1387&gt;=Resumen!$B$7),0,MAX(0,AVERAGEIFS(B1339:B1435,D1339:D1435,1)-Resumen!$B$5*AVERAGEIFS(C1339:C1435,D1339:D1435,1)))</f>
        <v>0.618494468041237</v>
      </c>
      <c r="F1387" s="10" t="n">
        <f aca="false">IF(B1387="","",(B1387-E1387)/Resumen!$B$5)</f>
        <v>2.74098930258837</v>
      </c>
      <c r="G1387" s="10" t="n">
        <f aca="false">IF(OR(F1387="",C1387=""),0,(F1387-C1387)*0.9)</f>
        <v>0.229940372329536</v>
      </c>
      <c r="H1387" s="26" t="n">
        <f aca="false">IF(A1387&lt;Resumen!$B$11,"",IF(H1386="",0,H1386)+G1387/Resumen!$B$9)</f>
        <v>1.21295500184965</v>
      </c>
      <c r="I1387" s="26" t="n">
        <f aca="false">IF(H1387="","",H1387-AVERAGE(H1339:H1435))</f>
        <v>-0.0452407326603601</v>
      </c>
      <c r="J1387" s="27" t="n">
        <f aca="false">IF(I1387="","",Resumen!$B$10-(MAX(I1339:I1435)-I1387))</f>
        <v>1.70345559920407</v>
      </c>
    </row>
    <row r="1388" customFormat="false" ht="15" hidden="false" customHeight="false" outlineLevel="0" collapsed="false">
      <c r="A1388" s="24" t="n">
        <v>46275.8333333333</v>
      </c>
      <c r="B1388" s="10" t="n">
        <v>3.2414</v>
      </c>
      <c r="C1388" s="10" t="n">
        <v>2.3179</v>
      </c>
      <c r="D1388" s="10" t="n">
        <f aca="false">IF(OR(B1388="",C1388="",B1388&lt;=0.05,C1388&lt;=0.05),0,1)</f>
        <v>1</v>
      </c>
      <c r="E1388" s="25" t="n">
        <f aca="false">IF(OR(A1388&lt;Resumen!$B$6,A1388&gt;=Resumen!$B$7),0,MAX(0,AVERAGEIFS(B1340:B1436,D1340:D1436,1)-Resumen!$B$5*AVERAGEIFS(C1340:C1436,D1340:D1436,1)))</f>
        <v>0.621555962886598</v>
      </c>
      <c r="F1388" s="10" t="n">
        <f aca="false">IF(B1388="","",(B1388-E1388)/Resumen!$B$5)</f>
        <v>2.08089280151978</v>
      </c>
      <c r="G1388" s="10" t="n">
        <f aca="false">IF(OR(F1388="",C1388=""),0,(F1388-C1388)*0.9)</f>
        <v>-0.213306478632198</v>
      </c>
      <c r="H1388" s="26" t="n">
        <f aca="false">IF(A1388&lt;Resumen!$B$11,"",IF(H1387="",0,H1387)+G1388/Resumen!$B$9)</f>
        <v>1.20287224140019</v>
      </c>
      <c r="I1388" s="26" t="n">
        <f aca="false">IF(H1388="","",H1388-AVERAGE(H1340:H1436))</f>
        <v>-0.0552933554159063</v>
      </c>
      <c r="J1388" s="27" t="n">
        <f aca="false">IF(I1388="","",Resumen!$B$10-(MAX(I1340:I1436)-I1388))</f>
        <v>1.69340297644852</v>
      </c>
    </row>
    <row r="1389" customFormat="false" ht="15" hidden="false" customHeight="false" outlineLevel="0" collapsed="false">
      <c r="A1389" s="24" t="n">
        <v>46275.84375</v>
      </c>
      <c r="B1389" s="10" t="n">
        <v>3.3085</v>
      </c>
      <c r="C1389" s="10" t="n">
        <v>1.9946</v>
      </c>
      <c r="D1389" s="10" t="n">
        <f aca="false">IF(OR(B1389="",C1389="",B1389&lt;=0.05,C1389&lt;=0.05),0,1)</f>
        <v>1</v>
      </c>
      <c r="E1389" s="25" t="n">
        <f aca="false">IF(OR(A1389&lt;Resumen!$B$6,A1389&gt;=Resumen!$B$7),0,MAX(0,AVERAGEIFS(B1341:B1437,D1341:D1437,1)-Resumen!$B$5*AVERAGEIFS(C1341:C1437,D1341:D1437,1)))</f>
        <v>0.606120103092784</v>
      </c>
      <c r="F1389" s="10" t="n">
        <f aca="false">IF(B1389="","",(B1389-E1389)/Resumen!$B$5)</f>
        <v>2.1464494812607</v>
      </c>
      <c r="G1389" s="10" t="n">
        <f aca="false">IF(OR(F1389="",C1389=""),0,(F1389-C1389)*0.9)</f>
        <v>0.136664533134627</v>
      </c>
      <c r="H1389" s="26" t="n">
        <f aca="false">IF(A1389&lt;Resumen!$B$11,"",IF(H1388="",0,H1388)+G1389/Resumen!$B$9)</f>
        <v>1.20933222216763</v>
      </c>
      <c r="I1389" s="26" t="n">
        <f aca="false">IF(H1389="","",H1389-AVERAGE(H1341:H1437))</f>
        <v>-0.0482719442168427</v>
      </c>
      <c r="J1389" s="27" t="n">
        <f aca="false">IF(I1389="","",Resumen!$B$10-(MAX(I1341:I1437)-I1389))</f>
        <v>1.70042438764759</v>
      </c>
    </row>
    <row r="1390" customFormat="false" ht="15" hidden="false" customHeight="false" outlineLevel="0" collapsed="false">
      <c r="A1390" s="24" t="n">
        <v>46275.8541666667</v>
      </c>
      <c r="B1390" s="10" t="n">
        <v>3.8389</v>
      </c>
      <c r="C1390" s="10" t="n">
        <v>2.1328</v>
      </c>
      <c r="D1390" s="10" t="n">
        <f aca="false">IF(OR(B1390="",C1390="",B1390&lt;=0.05,C1390&lt;=0.05),0,1)</f>
        <v>1</v>
      </c>
      <c r="E1390" s="25" t="n">
        <f aca="false">IF(OR(A1390&lt;Resumen!$B$6,A1390&gt;=Resumen!$B$7),0,MAX(0,AVERAGEIFS(B1342:B1438,D1342:D1438,1)-Resumen!$B$5*AVERAGEIFS(C1342:C1438,D1342:D1438,1)))</f>
        <v>0.612259630927835</v>
      </c>
      <c r="F1390" s="10" t="n">
        <f aca="false">IF(B1390="","",(B1390-E1390)/Resumen!$B$5)</f>
        <v>2.562859705379</v>
      </c>
      <c r="G1390" s="10" t="n">
        <f aca="false">IF(OR(F1390="",C1390=""),0,(F1390-C1390)*0.9)</f>
        <v>0.387053734841103</v>
      </c>
      <c r="H1390" s="26" t="n">
        <f aca="false">IF(A1390&lt;Resumen!$B$11,"",IF(H1389="",0,H1389)+G1390/Resumen!$B$9)</f>
        <v>1.22762782253803</v>
      </c>
      <c r="I1390" s="26" t="n">
        <f aca="false">IF(H1390="","",H1390-AVERAGE(H1342:H1438))</f>
        <v>-0.0296155625387904</v>
      </c>
      <c r="J1390" s="27" t="n">
        <f aca="false">IF(I1390="","",Resumen!$B$10-(MAX(I1342:I1438)-I1390))</f>
        <v>1.71908076932564</v>
      </c>
    </row>
    <row r="1391" customFormat="false" ht="15" hidden="false" customHeight="false" outlineLevel="0" collapsed="false">
      <c r="A1391" s="24" t="n">
        <v>46275.8645833333</v>
      </c>
      <c r="B1391" s="10" t="n">
        <v>3.1239</v>
      </c>
      <c r="C1391" s="10" t="n">
        <v>1.7002</v>
      </c>
      <c r="D1391" s="10" t="n">
        <f aca="false">IF(OR(B1391="",C1391="",B1391&lt;=0.05,C1391&lt;=0.05),0,1)</f>
        <v>1</v>
      </c>
      <c r="E1391" s="25" t="n">
        <f aca="false">IF(OR(A1391&lt;Resumen!$B$6,A1391&gt;=Resumen!$B$7),0,MAX(0,AVERAGEIFS(B1343:B1439,D1343:D1439,1)-Resumen!$B$5*AVERAGEIFS(C1343:C1439,D1343:D1439,1)))</f>
        <v>0.606212322680413</v>
      </c>
      <c r="F1391" s="10" t="n">
        <f aca="false">IF(B1391="","",(B1391-E1391)/Resumen!$B$5)</f>
        <v>1.99975192797425</v>
      </c>
      <c r="G1391" s="10" t="n">
        <f aca="false">IF(OR(F1391="",C1391=""),0,(F1391-C1391)*0.9)</f>
        <v>0.269596735176829</v>
      </c>
      <c r="H1391" s="26" t="n">
        <f aca="false">IF(A1391&lt;Resumen!$B$11,"",IF(H1390="",0,H1390)+G1391/Resumen!$B$9)</f>
        <v>1.24037136092549</v>
      </c>
      <c r="I1391" s="26" t="n">
        <f aca="false">IF(H1391="","",H1391-AVERAGE(H1343:H1439))</f>
        <v>-0.016303062315943</v>
      </c>
      <c r="J1391" s="27" t="n">
        <f aca="false">IF(I1391="","",Resumen!$B$10-(MAX(I1343:I1439)-I1391))</f>
        <v>1.73239326954849</v>
      </c>
    </row>
    <row r="1392" customFormat="false" ht="15" hidden="false" customHeight="false" outlineLevel="0" collapsed="false">
      <c r="A1392" s="24" t="n">
        <v>46275.875</v>
      </c>
      <c r="B1392" s="10" t="n">
        <v>3.3055</v>
      </c>
      <c r="C1392" s="10" t="n">
        <v>2.3212</v>
      </c>
      <c r="D1392" s="10" t="n">
        <f aca="false">IF(OR(B1392="",C1392="",B1392&lt;=0.05,C1392&lt;=0.05),0,1)</f>
        <v>1</v>
      </c>
      <c r="E1392" s="25" t="n">
        <f aca="false">IF(OR(A1392&lt;Resumen!$B$6,A1392&gt;=Resumen!$B$7),0,MAX(0,AVERAGEIFS(B1344:B1440,D1344:D1440,1)-Resumen!$B$5*AVERAGEIFS(C1344:C1440,D1344:D1440,1)))</f>
        <v>0.607895229896907</v>
      </c>
      <c r="F1392" s="10" t="n">
        <f aca="false">IF(B1392="","",(B1392-E1392)/Resumen!$B$5)</f>
        <v>2.14265668792938</v>
      </c>
      <c r="G1392" s="10" t="n">
        <f aca="false">IF(OR(F1392="",C1392=""),0,(F1392-C1392)*0.9)</f>
        <v>-0.160688980863556</v>
      </c>
      <c r="H1392" s="26" t="n">
        <f aca="false">IF(A1392&lt;Resumen!$B$11,"",IF(H1391="",0,H1391)+G1392/Resumen!$B$9)</f>
        <v>1.2327757711839</v>
      </c>
      <c r="I1392" s="26" t="n">
        <f aca="false">IF(H1392="","",H1392-AVERAGE(H1344:H1440))</f>
        <v>-0.0233845266222801</v>
      </c>
      <c r="J1392" s="27" t="n">
        <f aca="false">IF(I1392="","",Resumen!$B$10-(MAX(I1344:I1440)-I1392))</f>
        <v>1.72531180524215</v>
      </c>
    </row>
    <row r="1393" customFormat="false" ht="15" hidden="false" customHeight="false" outlineLevel="0" collapsed="false">
      <c r="A1393" s="24" t="n">
        <v>46275.8854166667</v>
      </c>
      <c r="B1393" s="10" t="n">
        <v>3.4458</v>
      </c>
      <c r="C1393" s="10" t="n">
        <v>1.8221</v>
      </c>
      <c r="D1393" s="10" t="n">
        <f aca="false">IF(OR(B1393="",C1393="",B1393&lt;=0.05,C1393&lt;=0.05),0,1)</f>
        <v>1</v>
      </c>
      <c r="E1393" s="25" t="n">
        <f aca="false">IF(OR(A1393&lt;Resumen!$B$6,A1393&gt;=Resumen!$B$7),0,MAX(0,AVERAGEIFS(B1345:B1441,D1345:D1441,1)-Resumen!$B$5*AVERAGEIFS(C1345:C1441,D1345:D1441,1)))</f>
        <v>0.608483747422681</v>
      </c>
      <c r="F1393" s="10" t="n">
        <f aca="false">IF(B1393="","",(B1393-E1393)/Resumen!$B$5)</f>
        <v>2.25362688846491</v>
      </c>
      <c r="G1393" s="10" t="n">
        <f aca="false">IF(OR(F1393="",C1393=""),0,(F1393-C1393)*0.9)</f>
        <v>0.388374199618418</v>
      </c>
      <c r="H1393" s="26" t="n">
        <f aca="false">IF(A1393&lt;Resumen!$B$11,"",IF(H1392="",0,H1392)+G1393/Resumen!$B$9)</f>
        <v>1.25113378845845</v>
      </c>
      <c r="I1393" s="26" t="n">
        <f aca="false">IF(H1393="","",H1393-AVERAGE(H1345:H1441))</f>
        <v>-0.0045302502545248</v>
      </c>
      <c r="J1393" s="27" t="n">
        <f aca="false">IF(I1393="","",Resumen!$B$10-(MAX(I1345:I1441)-I1393))</f>
        <v>1.74416608160991</v>
      </c>
    </row>
    <row r="1394" customFormat="false" ht="15" hidden="false" customHeight="false" outlineLevel="0" collapsed="false">
      <c r="A1394" s="24" t="n">
        <v>46275.8958333333</v>
      </c>
      <c r="B1394" s="10" t="n">
        <v>3.3517</v>
      </c>
      <c r="C1394" s="10" t="n">
        <v>2.4455</v>
      </c>
      <c r="D1394" s="10" t="n">
        <f aca="false">IF(OR(B1394="",C1394="",B1394&lt;=0.05,C1394&lt;=0.05),0,1)</f>
        <v>1</v>
      </c>
      <c r="E1394" s="25" t="n">
        <f aca="false">IF(OR(A1394&lt;Resumen!$B$6,A1394&gt;=Resumen!$B$7),0,MAX(0,AVERAGEIFS(B1346:B1442,D1346:D1442,1)-Resumen!$B$5*AVERAGEIFS(C1346:C1442,D1346:D1442,1)))</f>
        <v>0.593884196907216</v>
      </c>
      <c r="F1394" s="10" t="n">
        <f aca="false">IF(B1394="","",(B1394-E1394)/Resumen!$B$5)</f>
        <v>2.19048117799268</v>
      </c>
      <c r="G1394" s="10" t="n">
        <f aca="false">IF(OR(F1394="",C1394=""),0,(F1394-C1394)*0.9)</f>
        <v>-0.229516939806588</v>
      </c>
      <c r="H1394" s="26" t="n">
        <f aca="false">IF(A1394&lt;Resumen!$B$11,"",IF(H1393="",0,H1393)+G1394/Resumen!$B$9)</f>
        <v>1.24028477750481</v>
      </c>
      <c r="I1394" s="26" t="n">
        <f aca="false">IF(H1394="","",H1394-AVERAGE(H1346:H1442))</f>
        <v>-0.0143920322030031</v>
      </c>
      <c r="J1394" s="27" t="n">
        <f aca="false">IF(I1394="","",Resumen!$B$10-(MAX(I1346:I1442)-I1394))</f>
        <v>1.73430429966143</v>
      </c>
    </row>
    <row r="1395" customFormat="false" ht="15" hidden="false" customHeight="false" outlineLevel="0" collapsed="false">
      <c r="A1395" s="24" t="n">
        <v>46275.90625</v>
      </c>
      <c r="B1395" s="10" t="n">
        <v>3.5562</v>
      </c>
      <c r="C1395" s="10" t="n">
        <v>1.8198</v>
      </c>
      <c r="D1395" s="10" t="n">
        <f aca="false">IF(OR(B1395="",C1395="",B1395&lt;=0.05,C1395&lt;=0.05),0,1)</f>
        <v>1</v>
      </c>
      <c r="E1395" s="25" t="n">
        <f aca="false">IF(OR(A1395&lt;Resumen!$B$6,A1395&gt;=Resumen!$B$7),0,MAX(0,AVERAGEIFS(B1347:B1443,D1347:D1443,1)-Resumen!$B$5*AVERAGEIFS(C1347:C1443,D1347:D1443,1)))</f>
        <v>0.577685878350516</v>
      </c>
      <c r="F1395" s="10" t="n">
        <f aca="false">IF(B1395="","",(B1395-E1395)/Resumen!$B$5)</f>
        <v>2.36577769789475</v>
      </c>
      <c r="G1395" s="10" t="n">
        <f aca="false">IF(OR(F1395="",C1395=""),0,(F1395-C1395)*0.9)</f>
        <v>0.491379928105271</v>
      </c>
      <c r="H1395" s="26" t="n">
        <f aca="false">IF(A1395&lt;Resumen!$B$11,"",IF(H1394="",0,H1394)+G1395/Resumen!$B$9)</f>
        <v>1.26351176121636</v>
      </c>
      <c r="I1395" s="26" t="n">
        <f aca="false">IF(H1395="","",H1395-AVERAGE(H1347:H1443))</f>
        <v>0.0103720501765237</v>
      </c>
      <c r="J1395" s="27" t="n">
        <f aca="false">IF(I1395="","",Resumen!$B$10-(MAX(I1347:I1443)-I1395))</f>
        <v>1.78641747771104</v>
      </c>
    </row>
    <row r="1396" customFormat="false" ht="15" hidden="false" customHeight="false" outlineLevel="0" collapsed="false">
      <c r="A1396" s="24" t="n">
        <v>46275.9166666667</v>
      </c>
      <c r="B1396" s="10" t="n">
        <v>3.1359</v>
      </c>
      <c r="C1396" s="10" t="n">
        <v>2.2746</v>
      </c>
      <c r="D1396" s="10" t="n">
        <f aca="false">IF(OR(B1396="",C1396="",B1396&lt;=0.05,C1396&lt;=0.05),0,1)</f>
        <v>1</v>
      </c>
      <c r="E1396" s="25" t="n">
        <f aca="false">IF(OR(A1396&lt;Resumen!$B$6,A1396&gt;=Resumen!$B$7),0,MAX(0,AVERAGEIFS(B1348:B1444,D1348:D1444,1)-Resumen!$B$5*AVERAGEIFS(C1348:C1444,D1348:D1444,1)))</f>
        <v>0.58349571443299</v>
      </c>
      <c r="F1396" s="10" t="n">
        <f aca="false">IF(B1396="","",(B1396-E1396)/Resumen!$B$5)</f>
        <v>2.02732667638365</v>
      </c>
      <c r="G1396" s="10" t="n">
        <f aca="false">IF(OR(F1396="",C1396=""),0,(F1396-C1396)*0.9)</f>
        <v>-0.222545991254719</v>
      </c>
      <c r="H1396" s="26" t="n">
        <f aca="false">IF(A1396&lt;Resumen!$B$11,"",IF(H1395="",0,H1395)+G1396/Resumen!$B$9)</f>
        <v>1.25299225926219</v>
      </c>
      <c r="I1396" s="26" t="n">
        <f aca="false">IF(H1396="","",H1396-AVERAGE(H1348:H1444))</f>
        <v>0.00119230864109654</v>
      </c>
      <c r="J1396" s="27" t="n">
        <f aca="false">IF(I1396="","",Resumen!$B$10-(MAX(I1348:I1444)-I1396))</f>
        <v>1.78168422126464</v>
      </c>
    </row>
    <row r="1397" customFormat="false" ht="15" hidden="false" customHeight="false" outlineLevel="0" collapsed="false">
      <c r="A1397" s="24" t="n">
        <v>46275.9270833333</v>
      </c>
      <c r="B1397" s="10" t="n">
        <v>3.0623</v>
      </c>
      <c r="C1397" s="10" t="n">
        <v>2.1789</v>
      </c>
      <c r="D1397" s="10" t="n">
        <f aca="false">IF(OR(B1397="",C1397="",B1397&lt;=0.05,C1397&lt;=0.05),0,1)</f>
        <v>1</v>
      </c>
      <c r="E1397" s="25" t="n">
        <f aca="false">IF(OR(A1397&lt;Resumen!$B$6,A1397&gt;=Resumen!$B$7),0,MAX(0,AVERAGEIFS(B1349:B1445,D1349:D1445,1)-Resumen!$B$5*AVERAGEIFS(C1349:C1445,D1349:D1445,1)))</f>
        <v>0.590727693814434</v>
      </c>
      <c r="F1397" s="10" t="n">
        <f aca="false">IF(B1397="","",(B1397-E1397)/Resumen!$B$5)</f>
        <v>1.96312335677964</v>
      </c>
      <c r="G1397" s="10" t="n">
        <f aca="false">IF(OR(F1397="",C1397=""),0,(F1397-C1397)*0.9)</f>
        <v>-0.194198978898324</v>
      </c>
      <c r="H1397" s="26" t="n">
        <f aca="false">IF(A1397&lt;Resumen!$B$11,"",IF(H1396="",0,H1396)+G1397/Resumen!$B$9)</f>
        <v>1.24381268911356</v>
      </c>
      <c r="I1397" s="26" t="n">
        <f aca="false">IF(H1397="","",H1397-AVERAGE(H1349:H1445))</f>
        <v>-0.00688983974793955</v>
      </c>
      <c r="J1397" s="27" t="n">
        <f aca="false">IF(I1397="","",Resumen!$B$10-(MAX(I1349:I1445)-I1397))</f>
        <v>1.7736020728756</v>
      </c>
    </row>
    <row r="1398" customFormat="false" ht="15" hidden="false" customHeight="false" outlineLevel="0" collapsed="false">
      <c r="A1398" s="24" t="n">
        <v>46275.9375</v>
      </c>
      <c r="B1398" s="10" t="n">
        <v>3.1011</v>
      </c>
      <c r="C1398" s="10" t="n">
        <v>2.0178</v>
      </c>
      <c r="D1398" s="10" t="n">
        <f aca="false">IF(OR(B1398="",C1398="",B1398&lt;=0.05,C1398&lt;=0.05),0,1)</f>
        <v>1</v>
      </c>
      <c r="E1398" s="25" t="n">
        <f aca="false">IF(OR(A1398&lt;Resumen!$B$6,A1398&gt;=Resumen!$B$7),0,MAX(0,AVERAGEIFS(B1350:B1446,D1350:D1446,1)-Resumen!$B$5*AVERAGEIFS(C1350:C1446,D1350:D1446,1)))</f>
        <v>0.588348674226805</v>
      </c>
      <c r="F1398" s="10" t="n">
        <f aca="false">IF(B1398="","",(B1398-E1398)/Resumen!$B$5)</f>
        <v>1.99583107686513</v>
      </c>
      <c r="G1398" s="10" t="n">
        <f aca="false">IF(OR(F1398="",C1398=""),0,(F1398-C1398)*0.9)</f>
        <v>-0.0197720308213849</v>
      </c>
      <c r="H1398" s="26" t="n">
        <f aca="false">IF(A1398&lt;Resumen!$B$11,"",IF(H1397="",0,H1397)+G1398/Resumen!$B$9)</f>
        <v>1.24287808716593</v>
      </c>
      <c r="I1398" s="26" t="n">
        <f aca="false">IF(H1398="","",H1398-AVERAGE(H1350:H1446))</f>
        <v>-0.00664450433356723</v>
      </c>
      <c r="J1398" s="27" t="n">
        <f aca="false">IF(I1398="","",Resumen!$B$10-(MAX(I1350:I1446)-I1398))</f>
        <v>1.78488690554116</v>
      </c>
    </row>
    <row r="1399" customFormat="false" ht="15" hidden="false" customHeight="false" outlineLevel="0" collapsed="false">
      <c r="A1399" s="24" t="n">
        <v>46275.9479166667</v>
      </c>
      <c r="B1399" s="10" t="n">
        <v>2.98</v>
      </c>
      <c r="C1399" s="10" t="n">
        <v>1.9094</v>
      </c>
      <c r="D1399" s="10" t="n">
        <f aca="false">IF(OR(B1399="",C1399="",B1399&lt;=0.05,C1399&lt;=0.05),0,1)</f>
        <v>1</v>
      </c>
      <c r="E1399" s="25" t="n">
        <f aca="false">IF(OR(A1399&lt;Resumen!$B$6,A1399&gt;=Resumen!$B$7),0,MAX(0,AVERAGEIFS(B1351:B1447,D1351:D1447,1)-Resumen!$B$5*AVERAGEIFS(C1351:C1447,D1351:D1447,1)))</f>
        <v>0.58686249072165</v>
      </c>
      <c r="F1399" s="10" t="n">
        <f aca="false">IF(B1399="","",(B1399-E1399)/Resumen!$B$5)</f>
        <v>1.90082407408924</v>
      </c>
      <c r="G1399" s="10" t="n">
        <f aca="false">IF(OR(F1399="",C1399=""),0,(F1399-C1399)*0.9)</f>
        <v>-0.00771833331968645</v>
      </c>
      <c r="H1399" s="26" t="n">
        <f aca="false">IF(A1399&lt;Resumen!$B$11,"",IF(H1398="",0,H1398)+G1399/Resumen!$B$9)</f>
        <v>1.24251325011817</v>
      </c>
      <c r="I1399" s="26" t="n">
        <f aca="false">IF(H1399="","",H1399-AVERAGE(H1351:H1447))</f>
        <v>-0.00577420960387864</v>
      </c>
      <c r="J1399" s="27" t="n">
        <f aca="false">IF(I1399="","",Resumen!$B$10-(MAX(I1351:I1447)-I1399))</f>
        <v>1.8015360010327</v>
      </c>
    </row>
    <row r="1400" customFormat="false" ht="15" hidden="false" customHeight="false" outlineLevel="0" collapsed="false">
      <c r="A1400" s="24" t="n">
        <v>46275.9583333333</v>
      </c>
      <c r="B1400" s="10" t="n">
        <v>3.0808</v>
      </c>
      <c r="C1400" s="10" t="n">
        <v>2.0099</v>
      </c>
      <c r="D1400" s="10" t="n">
        <f aca="false">IF(OR(B1400="",C1400="",B1400&lt;=0.05,C1400&lt;=0.05),0,1)</f>
        <v>1</v>
      </c>
      <c r="E1400" s="25" t="n">
        <f aca="false">IF(OR(A1400&lt;Resumen!$B$6,A1400&gt;=Resumen!$B$7),0,MAX(0,AVERAGEIFS(B1352:B1448,D1352:D1448,1)-Resumen!$B$5*AVERAGEIFS(C1352:C1448,D1352:D1448,1)))</f>
        <v>0.598973445360826</v>
      </c>
      <c r="F1400" s="10" t="n">
        <f aca="false">IF(B1400="","",(B1400-E1400)/Resumen!$B$5)</f>
        <v>1.97126811329561</v>
      </c>
      <c r="G1400" s="10" t="n">
        <f aca="false">IF(OR(F1400="",C1400=""),0,(F1400-C1400)*0.9)</f>
        <v>-0.0347686980339498</v>
      </c>
      <c r="H1400" s="26" t="n">
        <f aca="false">IF(A1400&lt;Resumen!$B$11,"",IF(H1399="",0,H1399)+G1400/Resumen!$B$9)</f>
        <v>1.24086977235948</v>
      </c>
      <c r="I1400" s="26" t="n">
        <f aca="false">IF(H1400="","",H1400-AVERAGE(H1352:H1448))</f>
        <v>-0.00658598527586385</v>
      </c>
      <c r="J1400" s="27" t="n">
        <f aca="false">IF(I1400="","",Resumen!$B$10-(MAX(I1352:I1448)-I1400))</f>
        <v>1.80072422536072</v>
      </c>
    </row>
    <row r="1401" customFormat="false" ht="15" hidden="false" customHeight="false" outlineLevel="0" collapsed="false">
      <c r="A1401" s="24" t="n">
        <v>46275.96875</v>
      </c>
      <c r="B1401" s="10" t="n">
        <v>3.0054</v>
      </c>
      <c r="C1401" s="10" t="n">
        <v>2.2529</v>
      </c>
      <c r="D1401" s="10" t="n">
        <f aca="false">IF(OR(B1401="",C1401="",B1401&lt;=0.05,C1401&lt;=0.05),0,1)</f>
        <v>1</v>
      </c>
      <c r="E1401" s="25" t="n">
        <f aca="false">IF(OR(A1401&lt;Resumen!$B$6,A1401&gt;=Resumen!$B$7),0,MAX(0,AVERAGEIFS(B1353:B1449,D1353:D1449,1)-Resumen!$B$5*AVERAGEIFS(C1353:C1449,D1353:D1449,1)))</f>
        <v>0.60357972886598</v>
      </c>
      <c r="F1401" s="10" t="n">
        <f aca="false">IF(B1401="","",(B1401-E1401)/Resumen!$B$5)</f>
        <v>1.90772062838286</v>
      </c>
      <c r="G1401" s="10" t="n">
        <f aca="false">IF(OR(F1401="",C1401=""),0,(F1401-C1401)*0.9)</f>
        <v>-0.310661434455426</v>
      </c>
      <c r="H1401" s="26" t="n">
        <f aca="false">IF(A1401&lt;Resumen!$B$11,"",IF(H1400="",0,H1400)+G1401/Resumen!$B$9)</f>
        <v>1.2261851512238</v>
      </c>
      <c r="I1401" s="26" t="n">
        <f aca="false">IF(H1401="","",H1401-AVERAGE(H1353:H1449))</f>
        <v>-0.0205867417595036</v>
      </c>
      <c r="J1401" s="27" t="n">
        <f aca="false">IF(I1401="","",Resumen!$B$10-(MAX(I1353:I1449)-I1401))</f>
        <v>1.78672346887708</v>
      </c>
    </row>
    <row r="1402" customFormat="false" ht="15" hidden="false" customHeight="false" outlineLevel="0" collapsed="false">
      <c r="A1402" s="24" t="n">
        <v>46275.9791666667</v>
      </c>
      <c r="B1402" s="10" t="n">
        <v>2.8997</v>
      </c>
      <c r="C1402" s="10" t="n">
        <v>1.7069</v>
      </c>
      <c r="D1402" s="10" t="n">
        <f aca="false">IF(OR(B1402="",C1402="",B1402&lt;=0.05,C1402&lt;=0.05),0,1)</f>
        <v>1</v>
      </c>
      <c r="E1402" s="25" t="n">
        <f aca="false">IF(OR(A1402&lt;Resumen!$B$6,A1402&gt;=Resumen!$B$7),0,MAX(0,AVERAGEIFS(B1354:B1450,D1354:D1450,1)-Resumen!$B$5*AVERAGEIFS(C1354:C1450,D1354:D1450,1)))</f>
        <v>0.620727488659794</v>
      </c>
      <c r="F1402" s="10" t="n">
        <f aca="false">IF(B1402="","",(B1402-E1402)/Resumen!$B$5)</f>
        <v>1.81014496532185</v>
      </c>
      <c r="G1402" s="10" t="n">
        <f aca="false">IF(OR(F1402="",C1402=""),0,(F1402-C1402)*0.9)</f>
        <v>0.0929204687896627</v>
      </c>
      <c r="H1402" s="26" t="n">
        <f aca="false">IF(A1402&lt;Resumen!$B$11,"",IF(H1401="",0,H1401)+G1402/Resumen!$B$9)</f>
        <v>1.23057739863075</v>
      </c>
      <c r="I1402" s="26" t="n">
        <f aca="false">IF(H1402="","",H1402-AVERAGE(H1354:H1450))</f>
        <v>-0.0160800063339521</v>
      </c>
      <c r="J1402" s="27" t="n">
        <f aca="false">IF(I1402="","",Resumen!$B$10-(MAX(I1354:I1450)-I1402))</f>
        <v>1.79123020430263</v>
      </c>
    </row>
    <row r="1403" customFormat="false" ht="15" hidden="false" customHeight="false" outlineLevel="0" collapsed="false">
      <c r="A1403" s="24" t="n">
        <v>46275.9895833333</v>
      </c>
      <c r="B1403" s="10" t="n">
        <v>2.6488</v>
      </c>
      <c r="C1403" s="10" t="n">
        <v>1.8464</v>
      </c>
      <c r="D1403" s="10" t="n">
        <f aca="false">IF(OR(B1403="",C1403="",B1403&lt;=0.05,C1403&lt;=0.05),0,1)</f>
        <v>1</v>
      </c>
      <c r="E1403" s="25" t="n">
        <f aca="false">IF(OR(A1403&lt;Resumen!$B$6,A1403&gt;=Resumen!$B$7),0,MAX(0,AVERAGEIFS(B1355:B1451,D1355:D1451,1)-Resumen!$B$5*AVERAGEIFS(C1355:C1451,D1355:D1451,1)))</f>
        <v>0.609662684536082</v>
      </c>
      <c r="F1403" s="10" t="n">
        <f aca="false">IF(B1403="","",(B1403-E1403)/Resumen!$B$5)</f>
        <v>1.61964838400629</v>
      </c>
      <c r="G1403" s="10" t="n">
        <f aca="false">IF(OR(F1403="",C1403=""),0,(F1403-C1403)*0.9)</f>
        <v>-0.20407645439434</v>
      </c>
      <c r="H1403" s="26" t="n">
        <f aca="false">IF(A1403&lt;Resumen!$B$11,"",IF(H1402="",0,H1402)+G1403/Resumen!$B$9)</f>
        <v>1.22093093118059</v>
      </c>
      <c r="I1403" s="26" t="n">
        <f aca="false">IF(H1403="","",H1403-AVERAGE(H1355:H1451))</f>
        <v>-0.0252296710095157</v>
      </c>
      <c r="J1403" s="27" t="n">
        <f aca="false">IF(I1403="","",Resumen!$B$10-(MAX(I1355:I1451)-I1403))</f>
        <v>1.78208053962706</v>
      </c>
    </row>
    <row r="1404" customFormat="false" ht="15" hidden="false" customHeight="false" outlineLevel="0" collapsed="false">
      <c r="A1404" s="24" t="n">
        <v>46276</v>
      </c>
      <c r="B1404" s="10" t="n">
        <v>2.9391</v>
      </c>
      <c r="C1404" s="10" t="n">
        <v>1.7713</v>
      </c>
      <c r="D1404" s="10" t="n">
        <f aca="false">IF(OR(B1404="",C1404="",B1404&lt;=0.05,C1404&lt;=0.05),0,1)</f>
        <v>1</v>
      </c>
      <c r="E1404" s="25" t="n">
        <f aca="false">IF(OR(A1404&lt;Resumen!$B$6,A1404&gt;=Resumen!$B$7),0,MAX(0,AVERAGEIFS(B1356:B1452,D1356:D1452,1)-Resumen!$B$5*AVERAGEIFS(C1356:C1452,D1356:D1452,1)))</f>
        <v>0.608312692783505</v>
      </c>
      <c r="F1404" s="10" t="n">
        <f aca="false">IF(B1404="","",(B1404-E1404)/Resumen!$B$5)</f>
        <v>1.85130048230063</v>
      </c>
      <c r="G1404" s="10" t="n">
        <f aca="false">IF(OR(F1404="",C1404=""),0,(F1404-C1404)*0.9)</f>
        <v>0.072000434070568</v>
      </c>
      <c r="H1404" s="26" t="n">
        <f aca="false">IF(A1404&lt;Resumen!$B$11,"",IF(H1403="",0,H1403)+G1404/Resumen!$B$9)</f>
        <v>1.22433431177009</v>
      </c>
      <c r="I1404" s="26" t="n">
        <f aca="false">IF(H1404="","",H1404-AVERAGE(H1356:H1452))</f>
        <v>-0.0212717038500088</v>
      </c>
      <c r="J1404" s="27" t="n">
        <f aca="false">IF(I1404="","",Resumen!$B$10-(MAX(I1356:I1452)-I1404))</f>
        <v>1.78716175320017</v>
      </c>
    </row>
    <row r="1405" customFormat="false" ht="15" hidden="false" customHeight="false" outlineLevel="0" collapsed="false">
      <c r="A1405" s="24" t="n">
        <v>46276.0104166667</v>
      </c>
      <c r="B1405" s="10" t="n">
        <v>2.993</v>
      </c>
      <c r="C1405" s="10" t="n">
        <v>1.8259</v>
      </c>
      <c r="D1405" s="10" t="n">
        <f aca="false">IF(OR(B1405="",C1405="",B1405&lt;=0.05,C1405&lt;=0.05),0,1)</f>
        <v>1</v>
      </c>
      <c r="E1405" s="25" t="n">
        <f aca="false">IF(OR(A1405&lt;Resumen!$B$6,A1405&gt;=Resumen!$B$7),0,MAX(0,AVERAGEIFS(B1357:B1453,D1357:D1453,1)-Resumen!$B$5*AVERAGEIFS(C1357:C1453,D1357:D1453,1)))</f>
        <v>0.613106188659794</v>
      </c>
      <c r="F1405" s="10" t="n">
        <f aca="false">IF(B1405="","",(B1405-E1405)/Resumen!$B$5)</f>
        <v>1.89030485412248</v>
      </c>
      <c r="G1405" s="10" t="n">
        <f aca="false">IF(OR(F1405="",C1405=""),0,(F1405-C1405)*0.9)</f>
        <v>0.0579643687102348</v>
      </c>
      <c r="H1405" s="26" t="n">
        <f aca="false">IF(A1405&lt;Resumen!$B$11,"",IF(H1404="",0,H1404)+G1405/Resumen!$B$9)</f>
        <v>1.2270742231317</v>
      </c>
      <c r="I1405" s="26" t="n">
        <f aca="false">IF(H1405="","",H1405-AVERAGE(H1357:H1453))</f>
        <v>-0.0181286798182119</v>
      </c>
      <c r="J1405" s="27" t="n">
        <f aca="false">IF(I1405="","",Resumen!$B$10-(MAX(I1357:I1453)-I1405))</f>
        <v>1.79030477723197</v>
      </c>
    </row>
    <row r="1406" customFormat="false" ht="15" hidden="false" customHeight="false" outlineLevel="0" collapsed="false">
      <c r="A1406" s="24" t="n">
        <v>46276.0208333333</v>
      </c>
      <c r="B1406" s="10" t="n">
        <v>2.7264</v>
      </c>
      <c r="C1406" s="10" t="n">
        <v>1.8026</v>
      </c>
      <c r="D1406" s="10" t="n">
        <f aca="false">IF(OR(B1406="",C1406="",B1406&lt;=0.05,C1406&lt;=0.05),0,1)</f>
        <v>1</v>
      </c>
      <c r="E1406" s="25" t="n">
        <f aca="false">IF(OR(A1406&lt;Resumen!$B$6,A1406&gt;=Resumen!$B$7),0,MAX(0,AVERAGEIFS(B1358:B1454,D1358:D1454,1)-Resumen!$B$5*AVERAGEIFS(C1358:C1454,D1358:D1454,1)))</f>
        <v>0.614769853608248</v>
      </c>
      <c r="F1406" s="10" t="n">
        <f aca="false">IF(B1406="","",(B1406-E1406)/Resumen!$B$5)</f>
        <v>1.67722807497359</v>
      </c>
      <c r="G1406" s="10" t="n">
        <f aca="false">IF(OR(F1406="",C1406=""),0,(F1406-C1406)*0.9)</f>
        <v>-0.112834732523767</v>
      </c>
      <c r="H1406" s="26" t="n">
        <f aca="false">IF(A1406&lt;Resumen!$B$11,"",IF(H1405="",0,H1405)+G1406/Resumen!$B$9)</f>
        <v>1.22174065058523</v>
      </c>
      <c r="I1406" s="26" t="n">
        <f aca="false">IF(H1406="","",H1406-AVERAGE(H1358:H1454))</f>
        <v>-0.023105329967225</v>
      </c>
      <c r="J1406" s="27" t="n">
        <f aca="false">IF(I1406="","",Resumen!$B$10-(MAX(I1358:I1454)-I1406))</f>
        <v>1.78532812708296</v>
      </c>
    </row>
    <row r="1407" customFormat="false" ht="15" hidden="false" customHeight="false" outlineLevel="0" collapsed="false">
      <c r="A1407" s="24" t="n">
        <v>46276.03125</v>
      </c>
      <c r="B1407" s="10" t="n">
        <v>2.7807</v>
      </c>
      <c r="C1407" s="10" t="n">
        <v>1.5392</v>
      </c>
      <c r="D1407" s="10" t="n">
        <f aca="false">IF(OR(B1407="",C1407="",B1407&lt;=0.05,C1407&lt;=0.05),0,1)</f>
        <v>1</v>
      </c>
      <c r="E1407" s="25" t="n">
        <f aca="false">IF(OR(A1407&lt;Resumen!$B$6,A1407&gt;=Resumen!$B$7),0,MAX(0,AVERAGEIFS(B1359:B1455,D1359:D1455,1)-Resumen!$B$5*AVERAGEIFS(C1359:C1455,D1359:D1455,1)))</f>
        <v>0.614922677319588</v>
      </c>
      <c r="F1407" s="10" t="n">
        <f aca="false">IF(B1407="","",(B1407-E1407)/Resumen!$B$5)</f>
        <v>1.72023615780811</v>
      </c>
      <c r="G1407" s="10" t="n">
        <f aca="false">IF(OR(F1407="",C1407=""),0,(F1407-C1407)*0.9)</f>
        <v>0.1629325420273</v>
      </c>
      <c r="H1407" s="26" t="n">
        <f aca="false">IF(A1407&lt;Resumen!$B$11,"",IF(H1406="",0,H1406)+G1407/Resumen!$B$9)</f>
        <v>1.22944229097242</v>
      </c>
      <c r="I1407" s="26" t="n">
        <f aca="false">IF(H1407="","",H1407-AVERAGE(H1359:H1455))</f>
        <v>-0.0150391368625324</v>
      </c>
      <c r="J1407" s="27" t="n">
        <f aca="false">IF(I1407="","",Resumen!$B$10-(MAX(I1359:I1455)-I1407))</f>
        <v>1.79339432018765</v>
      </c>
    </row>
    <row r="1408" customFormat="false" ht="15" hidden="false" customHeight="false" outlineLevel="0" collapsed="false">
      <c r="A1408" s="24" t="n">
        <v>46276.0416666667</v>
      </c>
      <c r="B1408" s="10" t="n">
        <v>2.8351</v>
      </c>
      <c r="C1408" s="10" t="n">
        <v>1.6682</v>
      </c>
      <c r="D1408" s="10" t="n">
        <f aca="false">IF(OR(B1408="",C1408="",B1408&lt;=0.05,C1408&lt;=0.05),0,1)</f>
        <v>1</v>
      </c>
      <c r="E1408" s="25" t="n">
        <f aca="false">IF(OR(A1408&lt;Resumen!$B$6,A1408&gt;=Resumen!$B$7),0,MAX(0,AVERAGEIFS(B1360:B1456,D1360:D1456,1)-Resumen!$B$5*AVERAGEIFS(C1360:C1456,D1360:D1456,1)))</f>
        <v>0.620762504123712</v>
      </c>
      <c r="F1408" s="10" t="n">
        <f aca="false">IF(B1408="","",(B1408-E1408)/Resumen!$B$5)</f>
        <v>1.75880658925837</v>
      </c>
      <c r="G1408" s="10" t="n">
        <f aca="false">IF(OR(F1408="",C1408=""),0,(F1408-C1408)*0.9)</f>
        <v>0.0815459303325337</v>
      </c>
      <c r="H1408" s="26" t="n">
        <f aca="false">IF(A1408&lt;Resumen!$B$11,"",IF(H1407="",0,H1407)+G1408/Resumen!$B$9)</f>
        <v>1.23329687657359</v>
      </c>
      <c r="I1408" s="26" t="n">
        <f aca="false">IF(H1408="","",H1408-AVERAGE(H1360:H1456))</f>
        <v>-0.0110050031365556</v>
      </c>
      <c r="J1408" s="27" t="n">
        <f aca="false">IF(I1408="","",Resumen!$B$10-(MAX(I1360:I1456)-I1408))</f>
        <v>1.79742845391363</v>
      </c>
    </row>
    <row r="1409" customFormat="false" ht="15" hidden="false" customHeight="false" outlineLevel="0" collapsed="false">
      <c r="A1409" s="24" t="n">
        <v>46276.0520833333</v>
      </c>
      <c r="B1409" s="10" t="n">
        <v>2.5995</v>
      </c>
      <c r="C1409" s="10" t="n">
        <v>1.5002</v>
      </c>
      <c r="D1409" s="10" t="n">
        <f aca="false">IF(OR(B1409="",C1409="",B1409&lt;=0.05,C1409&lt;=0.05),0,1)</f>
        <v>1</v>
      </c>
      <c r="E1409" s="25" t="n">
        <f aca="false">IF(OR(A1409&lt;Resumen!$B$6,A1409&gt;=Resumen!$B$7),0,MAX(0,AVERAGEIFS(B1361:B1457,D1361:D1457,1)-Resumen!$B$5*AVERAGEIFS(C1361:C1457,D1361:D1457,1)))</f>
        <v>0.637126171134021</v>
      </c>
      <c r="F1409" s="10" t="n">
        <f aca="false">IF(B1409="","",(B1409-E1409)/Resumen!$B$5)</f>
        <v>1.55867659163303</v>
      </c>
      <c r="G1409" s="10" t="n">
        <f aca="false">IF(OR(F1409="",C1409=""),0,(F1409-C1409)*0.9)</f>
        <v>0.0526289324697233</v>
      </c>
      <c r="H1409" s="26" t="n">
        <f aca="false">IF(A1409&lt;Resumen!$B$11,"",IF(H1408="",0,H1408)+G1409/Resumen!$B$9)</f>
        <v>1.23578458778708</v>
      </c>
      <c r="I1409" s="26" t="n">
        <f aca="false">IF(H1409="","",H1409-AVERAGE(H1361:H1457))</f>
        <v>-0.00887777154921876</v>
      </c>
      <c r="J1409" s="27" t="n">
        <f aca="false">IF(I1409="","",Resumen!$B$10-(MAX(I1361:I1457)-I1409))</f>
        <v>1.78587500920576</v>
      </c>
    </row>
    <row r="1410" customFormat="false" ht="15" hidden="false" customHeight="false" outlineLevel="0" collapsed="false">
      <c r="A1410" s="24" t="n">
        <v>46276.0625</v>
      </c>
      <c r="B1410" s="10" t="n">
        <v>2.5194</v>
      </c>
      <c r="C1410" s="10" t="n">
        <v>1.4997</v>
      </c>
      <c r="D1410" s="10" t="n">
        <f aca="false">IF(OR(B1410="",C1410="",B1410&lt;=0.05,C1410&lt;=0.05),0,1)</f>
        <v>1</v>
      </c>
      <c r="E1410" s="25" t="n">
        <f aca="false">IF(OR(A1410&lt;Resumen!$B$6,A1410&gt;=Resumen!$B$7),0,MAX(0,AVERAGEIFS(B1362:B1458,D1362:D1458,1)-Resumen!$B$5*AVERAGEIFS(C1362:C1458,D1362:D1458,1)))</f>
        <v>0.638924238144331</v>
      </c>
      <c r="F1410" s="10" t="n">
        <f aca="false">IF(B1410="","",(B1410-E1410)/Resumen!$B$5)</f>
        <v>1.49362649869394</v>
      </c>
      <c r="G1410" s="10" t="n">
        <f aca="false">IF(OR(F1410="",C1410=""),0,(F1410-C1410)*0.9)</f>
        <v>-0.00546615117545499</v>
      </c>
      <c r="H1410" s="26" t="n">
        <f aca="false">IF(A1410&lt;Resumen!$B$11,"",IF(H1409="",0,H1409)+G1410/Resumen!$B$9)</f>
        <v>1.23552620888909</v>
      </c>
      <c r="I1410" s="26" t="n">
        <f aca="false">IF(H1410="","",H1410-AVERAGE(H1362:H1458))</f>
        <v>-0.00954673694581976</v>
      </c>
      <c r="J1410" s="27" t="n">
        <f aca="false">IF(I1410="","",Resumen!$B$10-(MAX(I1362:I1458)-I1410))</f>
        <v>1.78149825439867</v>
      </c>
    </row>
    <row r="1411" customFormat="false" ht="15" hidden="false" customHeight="false" outlineLevel="0" collapsed="false">
      <c r="A1411" s="24" t="n">
        <v>46276.0729166667</v>
      </c>
      <c r="B1411" s="10" t="n">
        <v>2.6944</v>
      </c>
      <c r="C1411" s="10" t="n">
        <v>1.5917</v>
      </c>
      <c r="D1411" s="10" t="n">
        <f aca="false">IF(OR(B1411="",C1411="",B1411&lt;=0.05,C1411&lt;=0.05),0,1)</f>
        <v>1</v>
      </c>
      <c r="E1411" s="25" t="n">
        <f aca="false">IF(OR(A1411&lt;Resumen!$B$6,A1411&gt;=Resumen!$B$7),0,MAX(0,AVERAGEIFS(B1363:B1459,D1363:D1459,1)-Resumen!$B$5*AVERAGEIFS(C1363:C1459,D1363:D1459,1)))</f>
        <v>0.630230080412372</v>
      </c>
      <c r="F1411" s="10" t="n">
        <f aca="false">IF(B1411="","",(B1411-E1411)/Resumen!$B$5)</f>
        <v>1.6395313102364</v>
      </c>
      <c r="G1411" s="10" t="n">
        <f aca="false">IF(OR(F1411="",C1411=""),0,(F1411-C1411)*0.9)</f>
        <v>0.0430481792127609</v>
      </c>
      <c r="H1411" s="26" t="n">
        <f aca="false">IF(A1411&lt;Resumen!$B$11,"",IF(H1410="",0,H1410)+G1411/Resumen!$B$9)</f>
        <v>1.2375610485319</v>
      </c>
      <c r="I1411" s="26" t="n">
        <f aca="false">IF(H1411="","",H1411-AVERAGE(H1363:H1459))</f>
        <v>-0.00761610952767078</v>
      </c>
      <c r="J1411" s="27" t="n">
        <f aca="false">IF(I1411="","",Resumen!$B$10-(MAX(I1363:I1459)-I1411))</f>
        <v>1.78342888181682</v>
      </c>
    </row>
    <row r="1412" customFormat="false" ht="15" hidden="false" customHeight="false" outlineLevel="0" collapsed="false">
      <c r="A1412" s="24" t="n">
        <v>46276.0833333333</v>
      </c>
      <c r="B1412" s="10" t="n">
        <v>2.6858</v>
      </c>
      <c r="C1412" s="10" t="n">
        <v>1.4273</v>
      </c>
      <c r="D1412" s="10" t="n">
        <f aca="false">IF(OR(B1412="",C1412="",B1412&lt;=0.05,C1412&lt;=0.05),0,1)</f>
        <v>1</v>
      </c>
      <c r="E1412" s="25" t="n">
        <f aca="false">IF(OR(A1412&lt;Resumen!$B$6,A1412&gt;=Resumen!$B$7),0,MAX(0,AVERAGEIFS(B1364:B1460,D1364:D1460,1)-Resumen!$B$5*AVERAGEIFS(C1364:C1460,D1364:D1460,1)))</f>
        <v>0.633647194845362</v>
      </c>
      <c r="F1412" s="10" t="n">
        <f aca="false">IF(B1412="","",(B1412-E1412)/Resumen!$B$5)</f>
        <v>1.62998634245801</v>
      </c>
      <c r="G1412" s="10" t="n">
        <f aca="false">IF(OR(F1412="",C1412=""),0,(F1412-C1412)*0.9)</f>
        <v>0.182417708212211</v>
      </c>
      <c r="H1412" s="26" t="n">
        <f aca="false">IF(A1412&lt;Resumen!$B$11,"",IF(H1411="",0,H1411)+G1412/Resumen!$B$9)</f>
        <v>1.2461837310938</v>
      </c>
      <c r="I1412" s="26" t="n">
        <f aca="false">IF(H1412="","",H1412-AVERAGE(H1364:H1460))</f>
        <v>0.000799741318448621</v>
      </c>
      <c r="J1412" s="27" t="n">
        <f aca="false">IF(I1412="","",Resumen!$B$10-(MAX(I1364:I1460)-I1412))</f>
        <v>1.79184473266294</v>
      </c>
    </row>
    <row r="1413" customFormat="false" ht="15" hidden="false" customHeight="false" outlineLevel="0" collapsed="false">
      <c r="A1413" s="24" t="n">
        <v>46276.09375</v>
      </c>
      <c r="B1413" s="10" t="n">
        <v>2.8394</v>
      </c>
      <c r="C1413" s="10" t="n">
        <v>1.6567</v>
      </c>
      <c r="D1413" s="10" t="n">
        <f aca="false">IF(OR(B1413="",C1413="",B1413&lt;=0.05,C1413&lt;=0.05),0,1)</f>
        <v>1</v>
      </c>
      <c r="E1413" s="25" t="n">
        <f aca="false">IF(OR(A1413&lt;Resumen!$B$6,A1413&gt;=Resumen!$B$7),0,MAX(0,AVERAGEIFS(B1365:B1461,D1365:D1461,1)-Resumen!$B$5*AVERAGEIFS(C1365:C1461,D1365:D1461,1)))</f>
        <v>0.627405302061856</v>
      </c>
      <c r="F1413" s="10" t="n">
        <f aca="false">IF(B1413="","",(B1413-E1413)/Resumen!$B$5)</f>
        <v>1.75694574895802</v>
      </c>
      <c r="G1413" s="10" t="n">
        <f aca="false">IF(OR(F1413="",C1413=""),0,(F1413-C1413)*0.9)</f>
        <v>0.0902211740622158</v>
      </c>
      <c r="H1413" s="26" t="n">
        <f aca="false">IF(A1413&lt;Resumen!$B$11,"",IF(H1412="",0,H1412)+G1413/Resumen!$B$9)</f>
        <v>1.25044838583552</v>
      </c>
      <c r="I1413" s="26" t="n">
        <f aca="false">IF(H1413="","",H1413-AVERAGE(H1365:H1461))</f>
        <v>0.00508046317287891</v>
      </c>
      <c r="J1413" s="27" t="n">
        <f aca="false">IF(I1413="","",Resumen!$B$10-(MAX(I1365:I1461)-I1413))</f>
        <v>1.79612545451737</v>
      </c>
    </row>
    <row r="1414" customFormat="false" ht="15" hidden="false" customHeight="false" outlineLevel="0" collapsed="false">
      <c r="A1414" s="24" t="n">
        <v>46276.1041666667</v>
      </c>
      <c r="B1414" s="10" t="n">
        <v>2.8082</v>
      </c>
      <c r="C1414" s="10" t="n">
        <v>1.4986</v>
      </c>
      <c r="D1414" s="10" t="n">
        <f aca="false">IF(OR(B1414="",C1414="",B1414&lt;=0.05,C1414&lt;=0.05),0,1)</f>
        <v>1</v>
      </c>
      <c r="E1414" s="25" t="n">
        <f aca="false">IF(OR(A1414&lt;Resumen!$B$6,A1414&gt;=Resumen!$B$7),0,MAX(0,AVERAGEIFS(B1366:B1462,D1366:D1462,1)-Resumen!$B$5*AVERAGEIFS(C1366:C1462,D1366:D1462,1)))</f>
        <v>0.619770212371134</v>
      </c>
      <c r="F1414" s="10" t="n">
        <f aca="false">IF(B1414="","",(B1414-E1414)/Resumen!$B$5)</f>
        <v>1.73822858429616</v>
      </c>
      <c r="G1414" s="10" t="n">
        <f aca="false">IF(OR(F1414="",C1414=""),0,(F1414-C1414)*0.9)</f>
        <v>0.215665725866544</v>
      </c>
      <c r="H1414" s="26" t="n">
        <f aca="false">IF(A1414&lt;Resumen!$B$11,"",IF(H1413="",0,H1413)+G1414/Resumen!$B$9)</f>
        <v>1.26064266528271</v>
      </c>
      <c r="I1414" s="26" t="n">
        <f aca="false">IF(H1414="","",H1414-AVERAGE(H1366:H1462))</f>
        <v>0.0155621336380127</v>
      </c>
      <c r="J1414" s="27" t="n">
        <f aca="false">IF(I1414="","",Resumen!$B$10-(MAX(I1366:I1462)-I1414))</f>
        <v>1.80660712498251</v>
      </c>
    </row>
    <row r="1415" customFormat="false" ht="15" hidden="false" customHeight="false" outlineLevel="0" collapsed="false">
      <c r="A1415" s="24" t="n">
        <v>46276.1145833333</v>
      </c>
      <c r="B1415" s="10" t="n">
        <v>2.6933</v>
      </c>
      <c r="C1415" s="10" t="n">
        <v>1.6066</v>
      </c>
      <c r="D1415" s="10" t="n">
        <f aca="false">IF(OR(B1415="",C1415="",B1415&lt;=0.05,C1415&lt;=0.05),0,1)</f>
        <v>1</v>
      </c>
      <c r="E1415" s="25" t="n">
        <f aca="false">IF(OR(A1415&lt;Resumen!$B$6,A1415&gt;=Resumen!$B$7),0,MAX(0,AVERAGEIFS(B1367:B1463,D1367:D1463,1)-Resumen!$B$5*AVERAGEIFS(C1367:C1463,D1367:D1463,1)))</f>
        <v>0.622678318556701</v>
      </c>
      <c r="F1415" s="10" t="n">
        <f aca="false">IF(B1415="","",(B1415-E1415)/Resumen!$B$5)</f>
        <v>1.6446558232274</v>
      </c>
      <c r="G1415" s="10" t="n">
        <f aca="false">IF(OR(F1415="",C1415=""),0,(F1415-C1415)*0.9)</f>
        <v>0.034250240904662</v>
      </c>
      <c r="H1415" s="26" t="n">
        <f aca="false">IF(A1415&lt;Resumen!$B$11,"",IF(H1414="",0,H1414)+G1415/Resumen!$B$9)</f>
        <v>1.26226163614844</v>
      </c>
      <c r="I1415" s="26" t="n">
        <f aca="false">IF(H1415="","",H1415-AVERAGE(H1367:H1463))</f>
        <v>0.0173838051035862</v>
      </c>
      <c r="J1415" s="27" t="n">
        <f aca="false">IF(I1415="","",Resumen!$B$10-(MAX(I1367:I1463)-I1415))</f>
        <v>1.80842879644808</v>
      </c>
    </row>
    <row r="1416" customFormat="false" ht="15" hidden="false" customHeight="false" outlineLevel="0" collapsed="false">
      <c r="A1416" s="24" t="n">
        <v>46276.125</v>
      </c>
      <c r="B1416" s="10" t="n">
        <v>2.6719</v>
      </c>
      <c r="C1416" s="10" t="n">
        <v>1.4638</v>
      </c>
      <c r="D1416" s="10" t="n">
        <f aca="false">IF(OR(B1416="",C1416="",B1416&lt;=0.05,C1416&lt;=0.05),0,1)</f>
        <v>1</v>
      </c>
      <c r="E1416" s="25" t="n">
        <f aca="false">IF(OR(A1416&lt;Resumen!$B$6,A1416&gt;=Resumen!$B$7),0,MAX(0,AVERAGEIFS(B1368:B1464,D1368:D1464,1)-Resumen!$B$5*AVERAGEIFS(C1368:C1464,D1368:D1464,1)))</f>
        <v>0.616543286597937</v>
      </c>
      <c r="F1416" s="10" t="n">
        <f aca="false">IF(B1416="","",(B1416-E1416)/Resumen!$B$5)</f>
        <v>1.63253114646709</v>
      </c>
      <c r="G1416" s="10" t="n">
        <f aca="false">IF(OR(F1416="",C1416=""),0,(F1416-C1416)*0.9)</f>
        <v>0.151858031820378</v>
      </c>
      <c r="H1416" s="26" t="n">
        <f aca="false">IF(A1416&lt;Resumen!$B$11,"",IF(H1415="",0,H1415)+G1416/Resumen!$B$9)</f>
        <v>1.26943979673217</v>
      </c>
      <c r="I1416" s="26" t="n">
        <f aca="false">IF(H1416="","",H1416-AVERAGE(H1368:H1464))</f>
        <v>0.0249831342456381</v>
      </c>
      <c r="J1416" s="27" t="n">
        <f aca="false">IF(I1416="","",Resumen!$B$10-(MAX(I1368:I1464)-I1416))</f>
        <v>1.81602812559013</v>
      </c>
    </row>
    <row r="1417" customFormat="false" ht="15" hidden="false" customHeight="false" outlineLevel="0" collapsed="false">
      <c r="A1417" s="24" t="n">
        <v>46276.1354166667</v>
      </c>
      <c r="B1417" s="10" t="n">
        <v>2.6858</v>
      </c>
      <c r="C1417" s="10" t="n">
        <v>1.4864</v>
      </c>
      <c r="D1417" s="10" t="n">
        <f aca="false">IF(OR(B1417="",C1417="",B1417&lt;=0.05,C1417&lt;=0.05),0,1)</f>
        <v>1</v>
      </c>
      <c r="E1417" s="25" t="n">
        <f aca="false">IF(OR(A1417&lt;Resumen!$B$6,A1417&gt;=Resumen!$B$7),0,MAX(0,AVERAGEIFS(B1369:B1465,D1369:D1465,1)-Resumen!$B$5*AVERAGEIFS(C1369:C1465,D1369:D1465,1)))</f>
        <v>0.628356436082475</v>
      </c>
      <c r="F1417" s="10" t="n">
        <f aca="false">IF(B1417="","",(B1417-E1417)/Resumen!$B$5)</f>
        <v>1.63418869254768</v>
      </c>
      <c r="G1417" s="10" t="n">
        <f aca="false">IF(OR(F1417="",C1417=""),0,(F1417-C1417)*0.9)</f>
        <v>0.133009823292909</v>
      </c>
      <c r="H1417" s="26" t="n">
        <f aca="false">IF(A1417&lt;Resumen!$B$11,"",IF(H1416="",0,H1416)+G1417/Resumen!$B$9)</f>
        <v>1.27572702342255</v>
      </c>
      <c r="I1417" s="26" t="n">
        <f aca="false">IF(H1417="","",H1417-AVERAGE(H1369:H1465))</f>
        <v>0.0313028602433161</v>
      </c>
      <c r="J1417" s="27" t="n">
        <f aca="false">IF(I1417="","",Resumen!$B$10-(MAX(I1369:I1465)-I1417))</f>
        <v>1.82234785158781</v>
      </c>
    </row>
    <row r="1418" customFormat="false" ht="15" hidden="false" customHeight="false" outlineLevel="0" collapsed="false">
      <c r="A1418" s="24" t="n">
        <v>46276.1458333333</v>
      </c>
      <c r="B1418" s="10" t="n">
        <v>2.5586</v>
      </c>
      <c r="C1418" s="10" t="n">
        <v>1.5479</v>
      </c>
      <c r="D1418" s="10" t="n">
        <f aca="false">IF(OR(B1418="",C1418="",B1418&lt;=0.05,C1418&lt;=0.05),0,1)</f>
        <v>1</v>
      </c>
      <c r="E1418" s="25" t="n">
        <f aca="false">IF(OR(A1418&lt;Resumen!$B$6,A1418&gt;=Resumen!$B$7),0,MAX(0,AVERAGEIFS(B1370:B1466,D1370:D1466,1)-Resumen!$B$5*AVERAGEIFS(C1370:C1466,D1370:D1466,1)))</f>
        <v>0.625997070103094</v>
      </c>
      <c r="F1418" s="10" t="n">
        <f aca="false">IF(B1418="","",(B1418-E1418)/Resumen!$B$5)</f>
        <v>1.5350301270031</v>
      </c>
      <c r="G1418" s="10" t="n">
        <f aca="false">IF(OR(F1418="",C1418=""),0,(F1418-C1418)*0.9)</f>
        <v>-0.0115828856972071</v>
      </c>
      <c r="H1418" s="26" t="n">
        <f aca="false">IF(A1418&lt;Resumen!$B$11,"",IF(H1417="",0,H1417)+G1418/Resumen!$B$9)</f>
        <v>1.27517951327402</v>
      </c>
      <c r="I1418" s="26" t="n">
        <f aca="false">IF(H1418="","",H1418-AVERAGE(H1370:H1466))</f>
        <v>0.0308762872338602</v>
      </c>
      <c r="J1418" s="27" t="n">
        <f aca="false">IF(I1418="","",Resumen!$B$10-(MAX(I1370:I1466)-I1418))</f>
        <v>1.82192127857835</v>
      </c>
    </row>
    <row r="1419" customFormat="false" ht="15" hidden="false" customHeight="false" outlineLevel="0" collapsed="false">
      <c r="A1419" s="24" t="n">
        <v>46276.15625</v>
      </c>
      <c r="B1419" s="10" t="n">
        <v>2.5531</v>
      </c>
      <c r="C1419" s="10" t="n">
        <v>1.5413</v>
      </c>
      <c r="D1419" s="10" t="n">
        <f aca="false">IF(OR(B1419="",C1419="",B1419&lt;=0.05,C1419&lt;=0.05),0,1)</f>
        <v>1</v>
      </c>
      <c r="E1419" s="25" t="n">
        <f aca="false">IF(OR(A1419&lt;Resumen!$B$6,A1419&gt;=Resumen!$B$7),0,MAX(0,AVERAGEIFS(B1371:B1467,D1371:D1467,1)-Resumen!$B$5*AVERAGEIFS(C1371:C1467,D1371:D1467,1)))</f>
        <v>0.632721120618557</v>
      </c>
      <c r="F1419" s="10" t="n">
        <f aca="false">IF(B1419="","",(B1419-E1419)/Resumen!$B$5)</f>
        <v>1.52532079378987</v>
      </c>
      <c r="G1419" s="10" t="n">
        <f aca="false">IF(OR(F1419="",C1419=""),0,(F1419-C1419)*0.9)</f>
        <v>-0.014381285589119</v>
      </c>
      <c r="H1419" s="26" t="n">
        <f aca="false">IF(A1419&lt;Resumen!$B$11,"",IF(H1418="",0,H1418)+G1419/Resumen!$B$9)</f>
        <v>1.27449972586915</v>
      </c>
      <c r="I1419" s="26" t="n">
        <f aca="false">IF(H1419="","",H1419-AVERAGE(H1371:H1467))</f>
        <v>0.030100166059255</v>
      </c>
      <c r="J1419" s="27" t="n">
        <f aca="false">IF(I1419="","",Resumen!$B$10-(MAX(I1371:I1467)-I1419))</f>
        <v>1.82114515740375</v>
      </c>
    </row>
    <row r="1420" customFormat="false" ht="15" hidden="false" customHeight="false" outlineLevel="0" collapsed="false">
      <c r="A1420" s="24" t="n">
        <v>46276.1666666667</v>
      </c>
      <c r="B1420" s="10" t="n">
        <v>2.5639</v>
      </c>
      <c r="C1420" s="10" t="n">
        <v>1.5873</v>
      </c>
      <c r="D1420" s="10" t="n">
        <f aca="false">IF(OR(B1420="",C1420="",B1420&lt;=0.05,C1420&lt;=0.05),0,1)</f>
        <v>1</v>
      </c>
      <c r="E1420" s="25" t="n">
        <f aca="false">IF(OR(A1420&lt;Resumen!$B$6,A1420&gt;=Resumen!$B$7),0,MAX(0,AVERAGEIFS(B1372:B1468,D1372:D1468,1)-Resumen!$B$5*AVERAGEIFS(C1372:C1468,D1372:D1468,1)))</f>
        <v>0.63694267628866</v>
      </c>
      <c r="F1420" s="10" t="n">
        <f aca="false">IF(B1420="","",(B1420-E1420)/Resumen!$B$5)</f>
        <v>1.53054592828542</v>
      </c>
      <c r="G1420" s="10" t="n">
        <f aca="false">IF(OR(F1420="",C1420=""),0,(F1420-C1420)*0.9)</f>
        <v>-0.0510786645431246</v>
      </c>
      <c r="H1420" s="26" t="n">
        <f aca="false">IF(A1420&lt;Resumen!$B$11,"",IF(H1419="",0,H1419)+G1420/Resumen!$B$9)</f>
        <v>1.27208529409958</v>
      </c>
      <c r="I1420" s="26" t="n">
        <f aca="false">IF(H1420="","",H1420-AVERAGE(H1372:H1468))</f>
        <v>0.0274572510742201</v>
      </c>
      <c r="J1420" s="27" t="n">
        <f aca="false">IF(I1420="","",Resumen!$B$10-(MAX(I1372:I1468)-I1420))</f>
        <v>1.81850224241871</v>
      </c>
    </row>
    <row r="1421" customFormat="false" ht="15" hidden="false" customHeight="false" outlineLevel="0" collapsed="false">
      <c r="A1421" s="24" t="n">
        <v>46276.1770833333</v>
      </c>
      <c r="B1421" s="10" t="n">
        <v>2.7861</v>
      </c>
      <c r="C1421" s="10" t="n">
        <v>1.468</v>
      </c>
      <c r="D1421" s="10" t="n">
        <f aca="false">IF(OR(B1421="",C1421="",B1421&lt;=0.05,C1421&lt;=0.05),0,1)</f>
        <v>1</v>
      </c>
      <c r="E1421" s="25" t="n">
        <f aca="false">IF(OR(A1421&lt;Resumen!$B$6,A1421&gt;=Resumen!$B$7),0,MAX(0,AVERAGEIFS(B1373:B1469,D1373:D1469,1)-Resumen!$B$5*AVERAGEIFS(C1373:C1469,D1373:D1469,1)))</f>
        <v>0.638828648453608</v>
      </c>
      <c r="F1421" s="10" t="n">
        <f aca="false">IF(B1421="","",(B1421-E1421)/Resumen!$B$5)</f>
        <v>1.70553721330134</v>
      </c>
      <c r="G1421" s="10" t="n">
        <f aca="false">IF(OR(F1421="",C1421=""),0,(F1421-C1421)*0.9)</f>
        <v>0.21378349197121</v>
      </c>
      <c r="H1421" s="26" t="n">
        <f aca="false">IF(A1421&lt;Resumen!$B$11,"",IF(H1420="",0,H1420)+G1421/Resumen!$B$9)</f>
        <v>1.28219060244003</v>
      </c>
      <c r="I1421" s="26" t="n">
        <f aca="false">IF(H1421="","",H1421-AVERAGE(H1373:H1469))</f>
        <v>0.0372826495560226</v>
      </c>
      <c r="J1421" s="27" t="n">
        <f aca="false">IF(I1421="","",Resumen!$B$10-(MAX(I1373:I1469)-I1421))</f>
        <v>1.82832764090052</v>
      </c>
    </row>
    <row r="1422" customFormat="false" ht="15" hidden="false" customHeight="false" outlineLevel="0" collapsed="false">
      <c r="A1422" s="24" t="n">
        <v>46276.1875</v>
      </c>
      <c r="B1422" s="10" t="n">
        <v>2.7839</v>
      </c>
      <c r="C1422" s="10" t="n">
        <v>1.6219</v>
      </c>
      <c r="D1422" s="10" t="n">
        <f aca="false">IF(OR(B1422="",C1422="",B1422&lt;=0.05,C1422&lt;=0.05),0,1)</f>
        <v>1</v>
      </c>
      <c r="E1422" s="25" t="n">
        <f aca="false">IF(OR(A1422&lt;Resumen!$B$6,A1422&gt;=Resumen!$B$7),0,MAX(0,AVERAGEIFS(B1374:B1470,D1374:D1470,1)-Resumen!$B$5*AVERAGEIFS(C1374:C1470,D1374:D1470,1)))</f>
        <v>0.633410788659794</v>
      </c>
      <c r="F1422" s="10" t="n">
        <f aca="false">IF(B1422="","",(B1422-E1422)/Resumen!$B$5)</f>
        <v>1.70809309876109</v>
      </c>
      <c r="G1422" s="10" t="n">
        <f aca="false">IF(OR(F1422="",C1422=""),0,(F1422-C1422)*0.9)</f>
        <v>0.0775737888849766</v>
      </c>
      <c r="H1422" s="26" t="n">
        <f aca="false">IF(A1422&lt;Resumen!$B$11,"",IF(H1421="",0,H1421)+G1422/Resumen!$B$9)</f>
        <v>1.28585742932452</v>
      </c>
      <c r="I1422" s="26" t="n">
        <f aca="false">IF(H1422="","",H1422-AVERAGE(H1374:H1470))</f>
        <v>0.040862521655729</v>
      </c>
      <c r="J1422" s="27" t="n">
        <f aca="false">IF(I1422="","",Resumen!$B$10-(MAX(I1374:I1470)-I1422))</f>
        <v>1.83190751300022</v>
      </c>
    </row>
    <row r="1423" customFormat="false" ht="15" hidden="false" customHeight="false" outlineLevel="0" collapsed="false">
      <c r="A1423" s="24" t="n">
        <v>46276.1979166667</v>
      </c>
      <c r="B1423" s="10" t="n">
        <v>3.2265</v>
      </c>
      <c r="C1423" s="10" t="n">
        <v>2.1798</v>
      </c>
      <c r="D1423" s="10" t="n">
        <f aca="false">IF(OR(B1423="",C1423="",B1423&lt;=0.05,C1423&lt;=0.05),0,1)</f>
        <v>1</v>
      </c>
      <c r="E1423" s="25" t="n">
        <f aca="false">IF(OR(A1423&lt;Resumen!$B$6,A1423&gt;=Resumen!$B$7),0,MAX(0,AVERAGEIFS(B1375:B1471,D1375:D1471,1)-Resumen!$B$5*AVERAGEIFS(C1375:C1471,D1375:D1471,1)))</f>
        <v>0.645689083505155</v>
      </c>
      <c r="F1423" s="10" t="n">
        <f aca="false">IF(B1423="","",(B1423-E1423)/Resumen!$B$5)</f>
        <v>2.04988952859003</v>
      </c>
      <c r="G1423" s="10" t="n">
        <f aca="false">IF(OR(F1423="",C1423=""),0,(F1423-C1423)*0.9)</f>
        <v>-0.116919424268975</v>
      </c>
      <c r="H1423" s="26" t="n">
        <f aca="false">IF(A1423&lt;Resumen!$B$11,"",IF(H1422="",0,H1422)+G1423/Resumen!$B$9)</f>
        <v>1.28033077793375</v>
      </c>
      <c r="I1423" s="26" t="n">
        <f aca="false">IF(H1423="","",H1423-AVERAGE(H1375:H1471))</f>
        <v>0.034847808597289</v>
      </c>
      <c r="J1423" s="27" t="n">
        <f aca="false">IF(I1423="","",Resumen!$B$10-(MAX(I1375:I1471)-I1423))</f>
        <v>1.82589279994178</v>
      </c>
    </row>
    <row r="1424" customFormat="false" ht="15" hidden="false" customHeight="false" outlineLevel="0" collapsed="false">
      <c r="A1424" s="24" t="n">
        <v>46276.2083333333</v>
      </c>
      <c r="B1424" s="10" t="n">
        <v>2.776</v>
      </c>
      <c r="C1424" s="10" t="n">
        <v>1.6185</v>
      </c>
      <c r="D1424" s="10" t="n">
        <f aca="false">IF(OR(B1424="",C1424="",B1424&lt;=0.05,C1424&lt;=0.05),0,1)</f>
        <v>1</v>
      </c>
      <c r="E1424" s="25" t="n">
        <f aca="false">IF(OR(A1424&lt;Resumen!$B$6,A1424&gt;=Resumen!$B$7),0,MAX(0,AVERAGEIFS(B1376:B1472,D1376:D1472,1)-Resumen!$B$5*AVERAGEIFS(C1376:C1472,D1376:D1472,1)))</f>
        <v>0.633861422680413</v>
      </c>
      <c r="F1424" s="10" t="n">
        <f aca="false">IF(B1424="","",(B1424-E1424)/Resumen!$B$5)</f>
        <v>1.70146034735472</v>
      </c>
      <c r="G1424" s="10" t="n">
        <f aca="false">IF(OR(F1424="",C1424=""),0,(F1424-C1424)*0.9)</f>
        <v>0.074664312619244</v>
      </c>
      <c r="H1424" s="26" t="n">
        <f aca="false">IF(A1424&lt;Resumen!$B$11,"",IF(H1423="",0,H1423)+G1424/Resumen!$B$9)</f>
        <v>1.28386007710502</v>
      </c>
      <c r="I1424" s="26" t="n">
        <f aca="false">IF(H1424="","",H1424-AVERAGE(H1376:H1472))</f>
        <v>0.0383021194270141</v>
      </c>
      <c r="J1424" s="27" t="n">
        <f aca="false">IF(I1424="","",Resumen!$B$10-(MAX(I1376:I1472)-I1424))</f>
        <v>1.82934711077151</v>
      </c>
    </row>
    <row r="1425" customFormat="false" ht="15" hidden="false" customHeight="false" outlineLevel="0" collapsed="false">
      <c r="A1425" s="24" t="n">
        <v>46276.21875</v>
      </c>
      <c r="B1425" s="10" t="n">
        <v>3.8085</v>
      </c>
      <c r="C1425" s="10" t="n">
        <v>2.7294</v>
      </c>
      <c r="D1425" s="10" t="n">
        <f aca="false">IF(OR(B1425="",C1425="",B1425&lt;=0.05,C1425&lt;=0.05),0,1)</f>
        <v>1</v>
      </c>
      <c r="E1425" s="25" t="n">
        <f aca="false">IF(OR(A1425&lt;Resumen!$B$6,A1425&gt;=Resumen!$B$7),0,MAX(0,AVERAGEIFS(B1377:B1473,D1377:D1473,1)-Resumen!$B$5*AVERAGEIFS(C1377:C1473,D1377:D1473,1)))</f>
        <v>0.643047445360825</v>
      </c>
      <c r="F1425" s="10" t="n">
        <f aca="false">IF(B1425="","",(B1425-E1425)/Resumen!$B$5)</f>
        <v>2.51425937620268</v>
      </c>
      <c r="G1425" s="10" t="n">
        <f aca="false">IF(OR(F1425="",C1425=""),0,(F1425-C1425)*0.9)</f>
        <v>-0.193626561417588</v>
      </c>
      <c r="H1425" s="26" t="n">
        <f aca="false">IF(A1425&lt;Resumen!$B$11,"",IF(H1424="",0,H1424)+G1425/Resumen!$B$9)</f>
        <v>1.27470756449525</v>
      </c>
      <c r="I1425" s="26" t="n">
        <f aca="false">IF(H1425="","",H1425-AVERAGE(H1377:H1473))</f>
        <v>0.0287811597828012</v>
      </c>
      <c r="J1425" s="27" t="n">
        <f aca="false">IF(I1425="","",Resumen!$B$10-(MAX(I1377:I1473)-I1425))</f>
        <v>1.81982615112729</v>
      </c>
    </row>
    <row r="1426" customFormat="false" ht="15" hidden="false" customHeight="false" outlineLevel="0" collapsed="false">
      <c r="A1426" s="24" t="n">
        <v>46276.2291666667</v>
      </c>
      <c r="B1426" s="10" t="n">
        <v>4.0855</v>
      </c>
      <c r="C1426" s="10" t="n">
        <v>2.573</v>
      </c>
      <c r="D1426" s="10" t="n">
        <f aca="false">IF(OR(B1426="",C1426="",B1426&lt;=0.05,C1426&lt;=0.05),0,1)</f>
        <v>1</v>
      </c>
      <c r="E1426" s="25" t="n">
        <f aca="false">IF(OR(A1426&lt;Resumen!$B$6,A1426&gt;=Resumen!$B$7),0,MAX(0,AVERAGEIFS(B1378:B1474,D1378:D1474,1)-Resumen!$B$5*AVERAGEIFS(C1378:C1474,D1378:D1474,1)))</f>
        <v>0.655902360824743</v>
      </c>
      <c r="F1426" s="10" t="n">
        <f aca="false">IF(B1426="","",(B1426-E1426)/Resumen!$B$5)</f>
        <v>2.72406484446009</v>
      </c>
      <c r="G1426" s="10" t="n">
        <f aca="false">IF(OR(F1426="",C1426=""),0,(F1426-C1426)*0.9)</f>
        <v>0.135958360014084</v>
      </c>
      <c r="H1426" s="26" t="n">
        <f aca="false">IF(A1426&lt;Resumen!$B$11,"",IF(H1425="",0,H1425)+G1426/Resumen!$B$9)</f>
        <v>1.28113416524322</v>
      </c>
      <c r="I1426" s="26" t="n">
        <f aca="false">IF(H1426="","",H1426-AVERAGE(H1378:H1474))</f>
        <v>0.0344282184145699</v>
      </c>
      <c r="J1426" s="27" t="n">
        <f aca="false">IF(I1426="","",Resumen!$B$10-(MAX(I1378:I1474)-I1426))</f>
        <v>1.82089336947658</v>
      </c>
    </row>
    <row r="1427" customFormat="false" ht="15" hidden="false" customHeight="false" outlineLevel="0" collapsed="false">
      <c r="A1427" s="24" t="n">
        <v>46276.2395833333</v>
      </c>
      <c r="B1427" s="10" t="n">
        <v>5.214</v>
      </c>
      <c r="C1427" s="10" t="n">
        <v>3.9626</v>
      </c>
      <c r="D1427" s="10" t="n">
        <f aca="false">IF(OR(B1427="",C1427="",B1427&lt;=0.05,C1427&lt;=0.05),0,1)</f>
        <v>1</v>
      </c>
      <c r="E1427" s="25" t="n">
        <f aca="false">IF(OR(A1427&lt;Resumen!$B$6,A1427&gt;=Resumen!$B$7),0,MAX(0,AVERAGEIFS(B1379:B1475,D1379:D1475,1)-Resumen!$B$5*AVERAGEIFS(C1379:C1475,D1379:D1475,1)))</f>
        <v>0.650504621649484</v>
      </c>
      <c r="F1427" s="10" t="n">
        <f aca="false">IF(B1427="","",(B1427-E1427)/Resumen!$B$5)</f>
        <v>3.62469847366999</v>
      </c>
      <c r="G1427" s="10" t="n">
        <f aca="false">IF(OR(F1427="",C1427=""),0,(F1427-C1427)*0.9)</f>
        <v>-0.304111373697009</v>
      </c>
      <c r="H1427" s="26" t="n">
        <f aca="false">IF(A1427&lt;Resumen!$B$11,"",IF(H1426="",0,H1426)+G1427/Resumen!$B$9)</f>
        <v>1.26675915820824</v>
      </c>
      <c r="I1427" s="26" t="n">
        <f aca="false">IF(H1427="","",H1427-AVERAGE(H1379:H1475))</f>
        <v>0.0194766118624101</v>
      </c>
      <c r="J1427" s="27" t="n">
        <f aca="false">IF(I1427="","",Resumen!$B$10-(MAX(I1379:I1475)-I1427))</f>
        <v>1.80594176292442</v>
      </c>
    </row>
    <row r="1428" customFormat="false" ht="15" hidden="false" customHeight="false" outlineLevel="0" collapsed="false">
      <c r="A1428" s="24" t="n">
        <v>46276.25</v>
      </c>
      <c r="B1428" s="10" t="n">
        <v>4.9789</v>
      </c>
      <c r="C1428" s="10" t="n">
        <v>3.3965</v>
      </c>
      <c r="D1428" s="10" t="n">
        <f aca="false">IF(OR(B1428="",C1428="",B1428&lt;=0.05,C1428&lt;=0.05),0,1)</f>
        <v>1</v>
      </c>
      <c r="E1428" s="25" t="n">
        <f aca="false">IF(OR(A1428&lt;Resumen!$B$6,A1428&gt;=Resumen!$B$7),0,MAX(0,AVERAGEIFS(B1380:B1476,D1380:D1476,1)-Resumen!$B$5*AVERAGEIFS(C1380:C1476,D1380:D1476,1)))</f>
        <v>0.654423840206185</v>
      </c>
      <c r="F1428" s="10" t="n">
        <f aca="false">IF(B1428="","",(B1428-E1428)/Resumen!$B$5)</f>
        <v>3.43485000777904</v>
      </c>
      <c r="G1428" s="10" t="n">
        <f aca="false">IF(OR(F1428="",C1428=""),0,(F1428-C1428)*0.9)</f>
        <v>0.0345150070011392</v>
      </c>
      <c r="H1428" s="26" t="n">
        <f aca="false">IF(A1428&lt;Resumen!$B$11,"",IF(H1427="",0,H1427)+G1428/Resumen!$B$9)</f>
        <v>1.26839064427344</v>
      </c>
      <c r="I1428" s="26" t="n">
        <f aca="false">IF(H1428="","",H1428-AVERAGE(H1380:H1476))</f>
        <v>0.0204261662066576</v>
      </c>
      <c r="J1428" s="27" t="n">
        <f aca="false">IF(I1428="","",Resumen!$B$10-(MAX(I1380:I1476)-I1428))</f>
        <v>1.80689131726867</v>
      </c>
    </row>
    <row r="1429" customFormat="false" ht="15" hidden="false" customHeight="false" outlineLevel="0" collapsed="false">
      <c r="A1429" s="24" t="n">
        <v>46276.2604166667</v>
      </c>
      <c r="B1429" s="10" t="n">
        <v>5.2374</v>
      </c>
      <c r="C1429" s="10" t="n">
        <v>3.7023</v>
      </c>
      <c r="D1429" s="10" t="n">
        <f aca="false">IF(OR(B1429="",C1429="",B1429&lt;=0.05,C1429&lt;=0.05),0,1)</f>
        <v>1</v>
      </c>
      <c r="E1429" s="25" t="n">
        <f aca="false">IF(OR(A1429&lt;Resumen!$B$6,A1429&gt;=Resumen!$B$7),0,MAX(0,AVERAGEIFS(B1381:B1477,D1381:D1477,1)-Resumen!$B$5*AVERAGEIFS(C1381:C1477,D1381:D1477,1)))</f>
        <v>0.652989413402063</v>
      </c>
      <c r="F1429" s="10" t="n">
        <f aca="false">IF(B1429="","",(B1429-E1429)/Resumen!$B$5)</f>
        <v>3.64131102986333</v>
      </c>
      <c r="G1429" s="10" t="n">
        <f aca="false">IF(OR(F1429="",C1429=""),0,(F1429-C1429)*0.9)</f>
        <v>-0.0548900731229991</v>
      </c>
      <c r="H1429" s="26" t="n">
        <f aca="false">IF(A1429&lt;Resumen!$B$11,"",IF(H1428="",0,H1428)+G1429/Resumen!$B$9)</f>
        <v>1.2657960514514</v>
      </c>
      <c r="I1429" s="26" t="n">
        <f aca="false">IF(H1429="","",H1429-AVERAGE(H1381:H1477))</f>
        <v>0.0172263783616409</v>
      </c>
      <c r="J1429" s="27" t="n">
        <f aca="false">IF(I1429="","",Resumen!$B$10-(MAX(I1381:I1477)-I1429))</f>
        <v>1.80369152942365</v>
      </c>
    </row>
    <row r="1430" customFormat="false" ht="15" hidden="false" customHeight="false" outlineLevel="0" collapsed="false">
      <c r="A1430" s="24" t="n">
        <v>46276.2708333333</v>
      </c>
      <c r="B1430" s="10" t="n">
        <v>5.0683</v>
      </c>
      <c r="C1430" s="10" t="n">
        <v>3.4285</v>
      </c>
      <c r="D1430" s="10" t="n">
        <f aca="false">IF(OR(B1430="",C1430="",B1430&lt;=0.05,C1430&lt;=0.05),0,1)</f>
        <v>1</v>
      </c>
      <c r="E1430" s="25" t="n">
        <f aca="false">IF(OR(A1430&lt;Resumen!$B$6,A1430&gt;=Resumen!$B$7),0,MAX(0,AVERAGEIFS(B1382:B1478,D1382:D1478,1)-Resumen!$B$5*AVERAGEIFS(C1382:C1478,D1382:D1478,1)))</f>
        <v>0.65928385773196</v>
      </c>
      <c r="F1430" s="10" t="n">
        <f aca="false">IF(B1430="","",(B1430-E1430)/Resumen!$B$5)</f>
        <v>3.50199852443848</v>
      </c>
      <c r="G1430" s="10" t="n">
        <f aca="false">IF(OR(F1430="",C1430=""),0,(F1430-C1430)*0.9)</f>
        <v>0.066148671994628</v>
      </c>
      <c r="H1430" s="26" t="n">
        <f aca="false">IF(A1430&lt;Resumen!$B$11,"",IF(H1429="",0,H1429)+G1430/Resumen!$B$9)</f>
        <v>1.26892282574372</v>
      </c>
      <c r="I1430" s="26" t="n">
        <f aca="false">IF(H1430="","",H1430-AVERAGE(H1382:H1478))</f>
        <v>0.0195680980664514</v>
      </c>
      <c r="J1430" s="27" t="n">
        <f aca="false">IF(I1430="","",Resumen!$B$10-(MAX(I1382:I1478)-I1430))</f>
        <v>1.80603324912847</v>
      </c>
    </row>
    <row r="1431" customFormat="false" ht="15" hidden="false" customHeight="false" outlineLevel="0" collapsed="false">
      <c r="A1431" s="24" t="n">
        <v>46276.28125</v>
      </c>
      <c r="B1431" s="10" t="n">
        <v>4.8783</v>
      </c>
      <c r="C1431" s="10" t="n">
        <v>3.4798</v>
      </c>
      <c r="D1431" s="10" t="n">
        <f aca="false">IF(OR(B1431="",C1431="",B1431&lt;=0.05,C1431&lt;=0.05),0,1)</f>
        <v>1</v>
      </c>
      <c r="E1431" s="25" t="n">
        <f aca="false">IF(OR(A1431&lt;Resumen!$B$6,A1431&gt;=Resumen!$B$7),0,MAX(0,AVERAGEIFS(B1383:B1479,D1383:D1479,1)-Resumen!$B$5*AVERAGEIFS(C1383:C1479,D1383:D1479,1)))</f>
        <v>0.651117505154639</v>
      </c>
      <c r="F1431" s="10" t="n">
        <f aca="false">IF(B1431="","",(B1431-E1431)/Resumen!$B$5)</f>
        <v>3.35757148121157</v>
      </c>
      <c r="G1431" s="10" t="n">
        <f aca="false">IF(OR(F1431="",C1431=""),0,(F1431-C1431)*0.9)</f>
        <v>-0.11000566690959</v>
      </c>
      <c r="H1431" s="26" t="n">
        <f aca="false">IF(A1431&lt;Resumen!$B$11,"",IF(H1430="",0,H1430)+G1431/Resumen!$B$9)</f>
        <v>1.26372297998824</v>
      </c>
      <c r="I1431" s="26" t="n">
        <f aca="false">IF(H1431="","",H1431-AVERAGE(H1383:H1479))</f>
        <v>0.0138919415712244</v>
      </c>
      <c r="J1431" s="27" t="n">
        <f aca="false">IF(I1431="","",Resumen!$B$10-(MAX(I1383:I1479)-I1431))</f>
        <v>1.80035709263324</v>
      </c>
    </row>
    <row r="1432" customFormat="false" ht="15" hidden="false" customHeight="false" outlineLevel="0" collapsed="false">
      <c r="A1432" s="24" t="n">
        <v>46276.2916666667</v>
      </c>
      <c r="B1432" s="10" t="n">
        <v>4.7074</v>
      </c>
      <c r="C1432" s="10" t="n">
        <v>3.0619</v>
      </c>
      <c r="D1432" s="10" t="n">
        <f aca="false">IF(OR(B1432="",C1432="",B1432&lt;=0.05,C1432&lt;=0.05),0,1)</f>
        <v>1</v>
      </c>
      <c r="E1432" s="25" t="n">
        <f aca="false">IF(OR(A1432&lt;Resumen!$B$6,A1432&gt;=Resumen!$B$7),0,MAX(0,AVERAGEIFS(B1384:B1480,D1384:D1480,1)-Resumen!$B$5*AVERAGEIFS(C1384:C1480,D1384:D1480,1)))</f>
        <v>0.650498317525773</v>
      </c>
      <c r="F1432" s="10" t="n">
        <f aca="false">IF(B1432="","",(B1432-E1432)/Resumen!$B$5)</f>
        <v>3.22232063739017</v>
      </c>
      <c r="G1432" s="10" t="n">
        <f aca="false">IF(OR(F1432="",C1432=""),0,(F1432-C1432)*0.9)</f>
        <v>0.144378573651155</v>
      </c>
      <c r="H1432" s="26" t="n">
        <f aca="false">IF(A1432&lt;Resumen!$B$11,"",IF(H1431="",0,H1431)+G1432/Resumen!$B$9)</f>
        <v>1.27054759488739</v>
      </c>
      <c r="I1432" s="26" t="n">
        <f aca="false">IF(H1432="","",H1432-AVERAGE(H1384:H1480))</f>
        <v>0.0202959499678472</v>
      </c>
      <c r="J1432" s="27" t="n">
        <f aca="false">IF(I1432="","",Resumen!$B$10-(MAX(I1384:I1480)-I1432))</f>
        <v>1.80676110102986</v>
      </c>
    </row>
    <row r="1433" customFormat="false" ht="15" hidden="false" customHeight="false" outlineLevel="0" collapsed="false">
      <c r="A1433" s="24" t="n">
        <v>46276.3020833333</v>
      </c>
      <c r="B1433" s="10" t="n">
        <v>5.2426</v>
      </c>
      <c r="C1433" s="10" t="n">
        <v>3.4136</v>
      </c>
      <c r="D1433" s="10" t="n">
        <f aca="false">IF(OR(B1433="",C1433="",B1433&lt;=0.05,C1433&lt;=0.05),0,1)</f>
        <v>1</v>
      </c>
      <c r="E1433" s="25" t="n">
        <f aca="false">IF(OR(A1433&lt;Resumen!$B$6,A1433&gt;=Resumen!$B$7),0,MAX(0,AVERAGEIFS(B1385:B1481,D1385:D1481,1)-Resumen!$B$5*AVERAGEIFS(C1385:C1481,D1385:D1481,1)))</f>
        <v>0.647377808247423</v>
      </c>
      <c r="F1433" s="10" t="n">
        <f aca="false">IF(B1433="","",(B1433-E1433)/Resumen!$B$5)</f>
        <v>3.64989848431499</v>
      </c>
      <c r="G1433" s="10" t="n">
        <f aca="false">IF(OR(F1433="",C1433=""),0,(F1433-C1433)*0.9)</f>
        <v>0.212668635883495</v>
      </c>
      <c r="H1433" s="26" t="n">
        <f aca="false">IF(A1433&lt;Resumen!$B$11,"",IF(H1432="",0,H1432)+G1433/Resumen!$B$9)</f>
        <v>1.2806002052182</v>
      </c>
      <c r="I1433" s="26" t="n">
        <f aca="false">IF(H1433="","",H1433-AVERAGE(H1385:H1481))</f>
        <v>0.0300655226628466</v>
      </c>
      <c r="J1433" s="27" t="n">
        <f aca="false">IF(I1433="","",Resumen!$B$10-(MAX(I1385:I1481)-I1433))</f>
        <v>1.81653067372486</v>
      </c>
    </row>
    <row r="1434" customFormat="false" ht="15" hidden="false" customHeight="false" outlineLevel="0" collapsed="false">
      <c r="A1434" s="24" t="n">
        <v>46276.3125</v>
      </c>
      <c r="B1434" s="10" t="n">
        <v>5.5982</v>
      </c>
      <c r="C1434" s="10" t="n">
        <v>4.6498</v>
      </c>
      <c r="D1434" s="10" t="n">
        <f aca="false">IF(OR(B1434="",C1434="",B1434&lt;=0.05,C1434&lt;=0.05),0,1)</f>
        <v>1</v>
      </c>
      <c r="E1434" s="25" t="n">
        <f aca="false">IF(OR(A1434&lt;Resumen!$B$6,A1434&gt;=Resumen!$B$7),0,MAX(0,AVERAGEIFS(B1386:B1482,D1386:D1482,1)-Resumen!$B$5*AVERAGEIFS(C1386:C1482,D1386:D1482,1)))</f>
        <v>0.649877981443299</v>
      </c>
      <c r="F1434" s="10" t="n">
        <f aca="false">IF(B1434="","",(B1434-E1434)/Resumen!$B$5)</f>
        <v>3.93035902983058</v>
      </c>
      <c r="G1434" s="10" t="n">
        <f aca="false">IF(OR(F1434="",C1434=""),0,(F1434-C1434)*0.9)</f>
        <v>-0.647496873152476</v>
      </c>
      <c r="H1434" s="26" t="n">
        <f aca="false">IF(A1434&lt;Resumen!$B$11,"",IF(H1433="",0,H1433)+G1434/Resumen!$B$9)</f>
        <v>1.24999374682259</v>
      </c>
      <c r="I1434" s="26" t="n">
        <f aca="false">IF(H1434="","",H1434-AVERAGE(H1386:H1482))</f>
        <v>-0.000880290343459267</v>
      </c>
      <c r="J1434" s="27" t="n">
        <f aca="false">IF(I1434="","",Resumen!$B$10-(MAX(I1386:I1482)-I1434))</f>
        <v>1.78558486071855</v>
      </c>
    </row>
    <row r="1435" customFormat="false" ht="15" hidden="false" customHeight="false" outlineLevel="0" collapsed="false">
      <c r="A1435" s="24" t="n">
        <v>46276.3229166667</v>
      </c>
      <c r="B1435" s="10" t="n">
        <v>5.0385</v>
      </c>
      <c r="C1435" s="10" t="n">
        <v>3.8338</v>
      </c>
      <c r="D1435" s="10" t="n">
        <f aca="false">IF(OR(B1435="",C1435="",B1435&lt;=0.05,C1435&lt;=0.05),0,1)</f>
        <v>1</v>
      </c>
      <c r="E1435" s="25" t="n">
        <f aca="false">IF(OR(A1435&lt;Resumen!$B$6,A1435&gt;=Resumen!$B$7),0,MAX(0,AVERAGEIFS(B1387:B1483,D1387:D1483,1)-Resumen!$B$5*AVERAGEIFS(C1387:C1483,D1387:D1483,1)))</f>
        <v>0.648804397938144</v>
      </c>
      <c r="F1435" s="10" t="n">
        <f aca="false">IF(B1435="","",(B1435-E1435)/Resumen!$B$5)</f>
        <v>3.48665258305151</v>
      </c>
      <c r="G1435" s="10" t="n">
        <f aca="false">IF(OR(F1435="",C1435=""),0,(F1435-C1435)*0.9)</f>
        <v>-0.312432675253637</v>
      </c>
      <c r="H1435" s="26" t="n">
        <f aca="false">IF(A1435&lt;Resumen!$B$11,"",IF(H1434="",0,H1434)+G1435/Resumen!$B$9)</f>
        <v>1.23522540110066</v>
      </c>
      <c r="I1435" s="26" t="n">
        <f aca="false">IF(H1435="","",H1435-AVERAGE(H1387:H1483))</f>
        <v>-0.0159202556819882</v>
      </c>
      <c r="J1435" s="27" t="n">
        <f aca="false">IF(I1435="","",Resumen!$B$10-(MAX(I1387:I1483)-I1435))</f>
        <v>1.77054489538003</v>
      </c>
    </row>
    <row r="1436" customFormat="false" ht="15" hidden="false" customHeight="false" outlineLevel="0" collapsed="false">
      <c r="A1436" s="24" t="n">
        <v>46276.3333333333</v>
      </c>
      <c r="B1436" s="10" t="n">
        <v>5.9068</v>
      </c>
      <c r="C1436" s="10" t="n">
        <v>3.9379</v>
      </c>
      <c r="D1436" s="10" t="n">
        <f aca="false">IF(OR(B1436="",C1436="",B1436&lt;=0.05,C1436&lt;=0.05),0,1)</f>
        <v>1</v>
      </c>
      <c r="E1436" s="25" t="n">
        <f aca="false">IF(OR(A1436&lt;Resumen!$B$6,A1436&gt;=Resumen!$B$7),0,MAX(0,AVERAGEIFS(B1388:B1484,D1388:D1484,1)-Resumen!$B$5*AVERAGEIFS(C1388:C1484,D1388:D1484,1)))</f>
        <v>0.640606177319588</v>
      </c>
      <c r="F1436" s="10" t="n">
        <f aca="false">IF(B1436="","",(B1436-E1436)/Resumen!$B$5)</f>
        <v>4.18283862007976</v>
      </c>
      <c r="G1436" s="10" t="n">
        <f aca="false">IF(OR(F1436="",C1436=""),0,(F1436-C1436)*0.9)</f>
        <v>0.22044475807178</v>
      </c>
      <c r="H1436" s="26" t="n">
        <f aca="false">IF(A1436&lt;Resumen!$B$11,"",IF(H1435="",0,H1435)+G1436/Resumen!$B$9)</f>
        <v>1.2456455800949</v>
      </c>
      <c r="I1436" s="26" t="n">
        <f aca="false">IF(H1436="","",H1436-AVERAGE(H1388:H1484))</f>
        <v>-0.00546185138340327</v>
      </c>
      <c r="J1436" s="27" t="n">
        <f aca="false">IF(I1436="","",Resumen!$B$10-(MAX(I1388:I1484)-I1436))</f>
        <v>1.78100329967861</v>
      </c>
    </row>
    <row r="1437" customFormat="false" ht="15" hidden="false" customHeight="false" outlineLevel="0" collapsed="false">
      <c r="A1437" s="24" t="n">
        <v>46276.34375</v>
      </c>
      <c r="B1437" s="10" t="n">
        <v>5.6405</v>
      </c>
      <c r="C1437" s="10" t="n">
        <v>4.8089</v>
      </c>
      <c r="D1437" s="10" t="n">
        <f aca="false">IF(OR(B1437="",C1437="",B1437&lt;=0.05,C1437&lt;=0.05),0,1)</f>
        <v>1</v>
      </c>
      <c r="E1437" s="25" t="n">
        <f aca="false">IF(OR(A1437&lt;Resumen!$B$6,A1437&gt;=Resumen!$B$7),0,MAX(0,AVERAGEIFS(B1389:B1485,D1389:D1485,1)-Resumen!$B$5*AVERAGEIFS(C1389:C1485,D1389:D1485,1)))</f>
        <v>0.646215351546392</v>
      </c>
      <c r="F1437" s="10" t="n">
        <f aca="false">IF(B1437="","",(B1437-E1437)/Resumen!$B$5)</f>
        <v>3.96686628153583</v>
      </c>
      <c r="G1437" s="10" t="n">
        <f aca="false">IF(OR(F1437="",C1437=""),0,(F1437-C1437)*0.9)</f>
        <v>-0.757830346617755</v>
      </c>
      <c r="H1437" s="26" t="n">
        <f aca="false">IF(A1437&lt;Resumen!$B$11,"",IF(H1436="",0,H1436)+G1437/Resumen!$B$9)</f>
        <v>1.20982378089182</v>
      </c>
      <c r="I1437" s="26" t="n">
        <f aca="false">IF(H1437="","",H1437-AVERAGE(H1389:H1485))</f>
        <v>-0.0414061557191445</v>
      </c>
      <c r="J1437" s="27" t="n">
        <f aca="false">IF(I1437="","",Resumen!$B$10-(MAX(I1389:I1485)-I1437))</f>
        <v>1.74505899534287</v>
      </c>
    </row>
    <row r="1438" customFormat="false" ht="15" hidden="false" customHeight="false" outlineLevel="0" collapsed="false">
      <c r="A1438" s="24" t="n">
        <v>46276.3541666667</v>
      </c>
      <c r="B1438" s="10" t="n">
        <v>7.5072</v>
      </c>
      <c r="C1438" s="10" t="n">
        <v>4.4302</v>
      </c>
      <c r="D1438" s="10" t="n">
        <f aca="false">IF(OR(B1438="",C1438="",B1438&lt;=0.05,C1438&lt;=0.05),0,1)</f>
        <v>1</v>
      </c>
      <c r="E1438" s="25" t="n">
        <f aca="false">IF(OR(A1438&lt;Resumen!$B$6,A1438&gt;=Resumen!$B$7),0,MAX(0,AVERAGEIFS(B1390:B1486,D1390:D1486,1)-Resumen!$B$5*AVERAGEIFS(C1390:C1486,D1390:D1486,1)))</f>
        <v>0.644474192783505</v>
      </c>
      <c r="F1438" s="10" t="n">
        <f aca="false">IF(B1438="","",(B1438-E1438)/Resumen!$B$5)</f>
        <v>5.45093392153812</v>
      </c>
      <c r="G1438" s="10" t="n">
        <f aca="false">IF(OR(F1438="",C1438=""),0,(F1438-C1438)*0.9)</f>
        <v>0.918660529384309</v>
      </c>
      <c r="H1438" s="26" t="n">
        <f aca="false">IF(A1438&lt;Resumen!$B$11,"",IF(H1437="",0,H1437)+G1438/Resumen!$B$9)</f>
        <v>1.2532478442937</v>
      </c>
      <c r="I1438" s="26" t="n">
        <f aca="false">IF(H1438="","",H1438-AVERAGE(H1390:H1486))</f>
        <v>0.0019923886857709</v>
      </c>
      <c r="J1438" s="27" t="n">
        <f aca="false">IF(I1438="","",Resumen!$B$10-(MAX(I1390:I1486)-I1438))</f>
        <v>1.78845753974778</v>
      </c>
    </row>
    <row r="1439" customFormat="false" ht="15" hidden="false" customHeight="false" outlineLevel="0" collapsed="false">
      <c r="A1439" s="24" t="n">
        <v>46276.3645833333</v>
      </c>
      <c r="B1439" s="10" t="n">
        <v>5.7989</v>
      </c>
      <c r="C1439" s="10" t="n">
        <v>4.2522</v>
      </c>
      <c r="D1439" s="10" t="n">
        <f aca="false">IF(OR(B1439="",C1439="",B1439&lt;=0.05,C1439&lt;=0.05),0,1)</f>
        <v>1</v>
      </c>
      <c r="E1439" s="25" t="n">
        <f aca="false">IF(OR(A1439&lt;Resumen!$B$6,A1439&gt;=Resumen!$B$7),0,MAX(0,AVERAGEIFS(B1391:B1487,D1391:D1487,1)-Resumen!$B$5*AVERAGEIFS(C1391:C1487,D1391:D1487,1)))</f>
        <v>0.640281273195877</v>
      </c>
      <c r="F1439" s="10" t="n">
        <f aca="false">IF(B1439="","",(B1439-E1439)/Resumen!$B$5)</f>
        <v>4.09739374646872</v>
      </c>
      <c r="G1439" s="10" t="n">
        <f aca="false">IF(OR(F1439="",C1439=""),0,(F1439-C1439)*0.9)</f>
        <v>-0.139325628178149</v>
      </c>
      <c r="H1439" s="26" t="n">
        <f aca="false">IF(A1439&lt;Resumen!$B$11,"",IF(H1438="",0,H1438)+G1439/Resumen!$B$9)</f>
        <v>1.24666207651769</v>
      </c>
      <c r="I1439" s="26" t="n">
        <f aca="false">IF(H1439="","",H1439-AVERAGE(H1391:H1487))</f>
        <v>-0.00444435766306994</v>
      </c>
      <c r="J1439" s="27" t="n">
        <f aca="false">IF(I1439="","",Resumen!$B$10-(MAX(I1391:I1487)-I1439))</f>
        <v>1.78202079339894</v>
      </c>
    </row>
    <row r="1440" customFormat="false" ht="15" hidden="false" customHeight="false" outlineLevel="0" collapsed="false">
      <c r="A1440" s="24" t="n">
        <v>46276.375</v>
      </c>
      <c r="B1440" s="10" t="n">
        <v>7.4279</v>
      </c>
      <c r="C1440" s="10" t="n">
        <v>4.7281</v>
      </c>
      <c r="D1440" s="10" t="n">
        <f aca="false">IF(OR(B1440="",C1440="",B1440&lt;=0.05,C1440&lt;=0.05),0,1)</f>
        <v>1</v>
      </c>
      <c r="E1440" s="25" t="n">
        <f aca="false">IF(OR(A1440&lt;Resumen!$B$6,A1440&gt;=Resumen!$B$7),0,MAX(0,AVERAGEIFS(B1392:B1488,D1392:D1488,1)-Resumen!$B$5*AVERAGEIFS(C1392:C1488,D1392:D1488,1)))</f>
        <v>0.638030136082474</v>
      </c>
      <c r="F1440" s="10" t="n">
        <f aca="false">IF(B1440="","",(B1440-E1440)/Resumen!$B$5)</f>
        <v>5.39306581724982</v>
      </c>
      <c r="G1440" s="10" t="n">
        <f aca="false">IF(OR(F1440="",C1440=""),0,(F1440-C1440)*0.9)</f>
        <v>0.59846923552484</v>
      </c>
      <c r="H1440" s="26" t="n">
        <f aca="false">IF(A1440&lt;Resumen!$B$11,"",IF(H1439="",0,H1439)+G1440/Resumen!$B$9)</f>
        <v>1.27495105290913</v>
      </c>
      <c r="I1440" s="26" t="n">
        <f aca="false">IF(H1440="","",H1440-AVERAGE(H1392:H1488))</f>
        <v>0.0241049287115438</v>
      </c>
      <c r="J1440" s="27" t="n">
        <f aca="false">IF(I1440="","",Resumen!$B$10-(MAX(I1392:I1488)-I1440))</f>
        <v>1.81057007977356</v>
      </c>
    </row>
    <row r="1441" customFormat="false" ht="15" hidden="false" customHeight="false" outlineLevel="0" collapsed="false">
      <c r="A1441" s="24" t="n">
        <v>46276.3854166667</v>
      </c>
      <c r="B1441" s="10" t="n">
        <v>6.2781</v>
      </c>
      <c r="C1441" s="10" t="n">
        <v>4.3586</v>
      </c>
      <c r="D1441" s="10" t="n">
        <f aca="false">IF(OR(B1441="",C1441="",B1441&lt;=0.05,C1441&lt;=0.05),0,1)</f>
        <v>1</v>
      </c>
      <c r="E1441" s="25" t="n">
        <f aca="false">IF(OR(A1441&lt;Resumen!$B$6,A1441&gt;=Resumen!$B$7),0,MAX(0,AVERAGEIFS(B1393:B1489,D1393:D1489,1)-Resumen!$B$5*AVERAGEIFS(C1393:C1489,D1393:D1489,1)))</f>
        <v>0.634675911340206</v>
      </c>
      <c r="F1441" s="10" t="n">
        <f aca="false">IF(B1441="","",(B1441-E1441)/Resumen!$B$5)</f>
        <v>4.48246551918967</v>
      </c>
      <c r="G1441" s="10" t="n">
        <f aca="false">IF(OR(F1441="",C1441=""),0,(F1441-C1441)*0.9)</f>
        <v>0.111478967270702</v>
      </c>
      <c r="H1441" s="26" t="n">
        <f aca="false">IF(A1441&lt;Resumen!$B$11,"",IF(H1440="",0,H1440)+G1441/Resumen!$B$9)</f>
        <v>1.28022053993715</v>
      </c>
      <c r="I1441" s="26" t="n">
        <f aca="false">IF(H1441="","",H1441-AVERAGE(H1393:H1489))</f>
        <v>0.0297811728127031</v>
      </c>
      <c r="J1441" s="27" t="n">
        <f aca="false">IF(I1441="","",Resumen!$B$10-(MAX(I1393:I1489)-I1441))</f>
        <v>1.81624632387472</v>
      </c>
    </row>
    <row r="1442" customFormat="false" ht="15" hidden="false" customHeight="false" outlineLevel="0" collapsed="false">
      <c r="A1442" s="24" t="n">
        <v>46276.3958333333</v>
      </c>
      <c r="B1442" s="10" t="n">
        <v>5.268</v>
      </c>
      <c r="C1442" s="10" t="n">
        <v>4.1333</v>
      </c>
      <c r="D1442" s="10" t="n">
        <f aca="false">IF(OR(B1442="",C1442="",B1442&lt;=0.05,C1442&lt;=0.05),0,1)</f>
        <v>1</v>
      </c>
      <c r="E1442" s="25" t="n">
        <f aca="false">IF(OR(A1442&lt;Resumen!$B$6,A1442&gt;=Resumen!$B$7),0,MAX(0,AVERAGEIFS(B1394:B1490,D1394:D1490,1)-Resumen!$B$5*AVERAGEIFS(C1394:C1490,D1394:D1490,1)))</f>
        <v>0.628112278350515</v>
      </c>
      <c r="F1442" s="10" t="n">
        <f aca="false">IF(B1442="","",(B1442-E1442)/Resumen!$B$5)</f>
        <v>3.68537547390745</v>
      </c>
      <c r="G1442" s="10" t="n">
        <f aca="false">IF(OR(F1442="",C1442=""),0,(F1442-C1442)*0.9)</f>
        <v>-0.403132073483291</v>
      </c>
      <c r="H1442" s="26" t="n">
        <f aca="false">IF(A1442&lt;Resumen!$B$11,"",IF(H1441="",0,H1441)+G1442/Resumen!$B$9)</f>
        <v>1.26116493434799</v>
      </c>
      <c r="I1442" s="26" t="n">
        <f aca="false">IF(H1442="","",H1442-AVERAGE(H1394:H1490))</f>
        <v>0.0113865646412028</v>
      </c>
      <c r="J1442" s="27" t="n">
        <f aca="false">IF(I1442="","",Resumen!$B$10-(MAX(I1394:I1490)-I1442))</f>
        <v>1.79785171570322</v>
      </c>
    </row>
    <row r="1443" customFormat="false" ht="15" hidden="false" customHeight="false" outlineLevel="0" collapsed="false">
      <c r="A1443" s="24" t="n">
        <v>46276.40625</v>
      </c>
      <c r="B1443" s="10" t="n">
        <v>4.9314</v>
      </c>
      <c r="C1443" s="10" t="n">
        <v>4.6503</v>
      </c>
      <c r="D1443" s="10" t="n">
        <f aca="false">IF(OR(B1443="",C1443="",B1443&lt;=0.05,C1443&lt;=0.05),0,1)</f>
        <v>1</v>
      </c>
      <c r="E1443" s="25" t="n">
        <f aca="false">IF(OR(A1443&lt;Resumen!$B$6,A1443&gt;=Resumen!$B$7),0,MAX(0,AVERAGEIFS(B1395:B1491,D1395:D1491,1)-Resumen!$B$5*AVERAGEIFS(C1395:C1491,D1395:D1491,1)))</f>
        <v>0.636524188659795</v>
      </c>
      <c r="F1443" s="10" t="n">
        <f aca="false">IF(B1443="","",(B1443-E1443)/Resumen!$B$5)</f>
        <v>3.41133900821303</v>
      </c>
      <c r="G1443" s="10" t="n">
        <f aca="false">IF(OR(F1443="",C1443=""),0,(F1443-C1443)*0.9)</f>
        <v>-1.11506489260827</v>
      </c>
      <c r="H1443" s="26" t="n">
        <f aca="false">IF(A1443&lt;Resumen!$B$11,"",IF(H1442="",0,H1442)+G1443/Resumen!$B$9)</f>
        <v>1.20845705472864</v>
      </c>
      <c r="I1443" s="26" t="n">
        <f aca="false">IF(H1443="","",H1443-AVERAGE(H1395:H1491))</f>
        <v>-0.0409053183900976</v>
      </c>
      <c r="J1443" s="27" t="n">
        <f aca="false">IF(I1443="","",Resumen!$B$10-(MAX(I1395:I1491)-I1443))</f>
        <v>1.74555983267192</v>
      </c>
    </row>
    <row r="1444" customFormat="false" ht="15" hidden="false" customHeight="false" outlineLevel="0" collapsed="false">
      <c r="A1444" s="24" t="n">
        <v>46276.4166666667</v>
      </c>
      <c r="B1444" s="10" t="n">
        <v>4.6741</v>
      </c>
      <c r="C1444" s="10" t="n">
        <v>3.3928</v>
      </c>
      <c r="D1444" s="10" t="n">
        <f aca="false">IF(OR(B1444="",C1444="",B1444&lt;=0.05,C1444&lt;=0.05),0,1)</f>
        <v>1</v>
      </c>
      <c r="E1444" s="25" t="n">
        <f aca="false">IF(OR(A1444&lt;Resumen!$B$6,A1444&gt;=Resumen!$B$7),0,MAX(0,AVERAGEIFS(B1396:B1492,D1396:D1492,1)-Resumen!$B$5*AVERAGEIFS(C1396:C1492,D1396:D1492,1)))</f>
        <v>0.630629656701031</v>
      </c>
      <c r="F1444" s="10" t="n">
        <f aca="false">IF(B1444="","",(B1444-E1444)/Resumen!$B$5)</f>
        <v>3.21165237752102</v>
      </c>
      <c r="G1444" s="10" t="n">
        <f aca="false">IF(OR(F1444="",C1444=""),0,(F1444-C1444)*0.9)</f>
        <v>-0.163032860231078</v>
      </c>
      <c r="H1444" s="26" t="n">
        <f aca="false">IF(A1444&lt;Resumen!$B$11,"",IF(H1443="",0,H1443)+G1444/Resumen!$B$9)</f>
        <v>1.20075067241133</v>
      </c>
      <c r="I1444" s="26" t="n">
        <f aca="false">IF(H1444="","",H1444-AVERAGE(H1396:H1492))</f>
        <v>-0.0479451585670028</v>
      </c>
      <c r="J1444" s="27" t="n">
        <f aca="false">IF(I1444="","",Resumen!$B$10-(MAX(I1396:I1492)-I1444))</f>
        <v>1.73851999249501</v>
      </c>
    </row>
    <row r="1445" customFormat="false" ht="15" hidden="false" customHeight="false" outlineLevel="0" collapsed="false">
      <c r="A1445" s="24" t="n">
        <v>46276.4270833333</v>
      </c>
      <c r="B1445" s="10" t="n">
        <v>5.3197</v>
      </c>
      <c r="C1445" s="10" t="n">
        <v>3.5604</v>
      </c>
      <c r="D1445" s="10" t="n">
        <f aca="false">IF(OR(B1445="",C1445="",B1445&lt;=0.05,C1445&lt;=0.05),0,1)</f>
        <v>1</v>
      </c>
      <c r="E1445" s="25" t="n">
        <f aca="false">IF(OR(A1445&lt;Resumen!$B$6,A1445&gt;=Resumen!$B$7),0,MAX(0,AVERAGEIFS(B1397:B1493,D1397:D1493,1)-Resumen!$B$5*AVERAGEIFS(C1397:C1493,D1397:D1493,1)))</f>
        <v>0.634745519587629</v>
      </c>
      <c r="F1445" s="10" t="n">
        <f aca="false">IF(B1445="","",(B1445-E1445)/Resumen!$B$5)</f>
        <v>3.72117115203524</v>
      </c>
      <c r="G1445" s="10" t="n">
        <f aca="false">IF(OR(F1445="",C1445=""),0,(F1445-C1445)*0.9)</f>
        <v>0.144694036831719</v>
      </c>
      <c r="H1445" s="26" t="n">
        <f aca="false">IF(A1445&lt;Resumen!$B$11,"",IF(H1444="",0,H1444)+G1445/Resumen!$B$9)</f>
        <v>1.20759019890483</v>
      </c>
      <c r="I1445" s="26" t="n">
        <f aca="false">IF(H1445="","",H1445-AVERAGE(H1397:H1493))</f>
        <v>-0.040527396737186</v>
      </c>
      <c r="J1445" s="27" t="n">
        <f aca="false">IF(I1445="","",Resumen!$B$10-(MAX(I1397:I1493)-I1445))</f>
        <v>1.74593775432483</v>
      </c>
    </row>
    <row r="1446" customFormat="false" ht="15" hidden="false" customHeight="false" outlineLevel="0" collapsed="false">
      <c r="A1446" s="24" t="n">
        <v>46276.4375</v>
      </c>
      <c r="B1446" s="10" t="n">
        <v>5.0604</v>
      </c>
      <c r="C1446" s="10" t="n">
        <v>3.4052</v>
      </c>
      <c r="D1446" s="10" t="n">
        <f aca="false">IF(OR(B1446="",C1446="",B1446&lt;=0.05,C1446&lt;=0.05),0,1)</f>
        <v>1</v>
      </c>
      <c r="E1446" s="25" t="n">
        <f aca="false">IF(OR(A1446&lt;Resumen!$B$6,A1446&gt;=Resumen!$B$7),0,MAX(0,AVERAGEIFS(B1398:B1494,D1398:D1494,1)-Resumen!$B$5*AVERAGEIFS(C1398:C1494,D1398:D1494,1)))</f>
        <v>0.631154049484536</v>
      </c>
      <c r="F1446" s="10" t="n">
        <f aca="false">IF(B1446="","",(B1446-E1446)/Resumen!$B$5)</f>
        <v>3.51806668031411</v>
      </c>
      <c r="G1446" s="10" t="n">
        <f aca="false">IF(OR(F1446="",C1446=""),0,(F1446-C1446)*0.9)</f>
        <v>0.101580012282699</v>
      </c>
      <c r="H1446" s="26" t="n">
        <f aca="false">IF(A1446&lt;Resumen!$B$11,"",IF(H1445="",0,H1445)+G1446/Resumen!$B$9)</f>
        <v>1.21239177331957</v>
      </c>
      <c r="I1446" s="26" t="n">
        <f aca="false">IF(H1446="","",H1446-AVERAGE(H1398:H1494))</f>
        <v>-0.0349786019095291</v>
      </c>
      <c r="J1446" s="27" t="n">
        <f aca="false">IF(I1446="","",Resumen!$B$10-(MAX(I1398:I1494)-I1446))</f>
        <v>1.75148654915249</v>
      </c>
    </row>
    <row r="1447" customFormat="false" ht="15" hidden="false" customHeight="false" outlineLevel="0" collapsed="false">
      <c r="A1447" s="24" t="n">
        <v>46276.4479166667</v>
      </c>
      <c r="B1447" s="10" t="n">
        <v>5.5612</v>
      </c>
      <c r="C1447" s="10" t="n">
        <v>4.2962</v>
      </c>
      <c r="D1447" s="10" t="n">
        <f aca="false">IF(OR(B1447="",C1447="",B1447&lt;=0.05,C1447&lt;=0.05),0,1)</f>
        <v>1</v>
      </c>
      <c r="E1447" s="25" t="n">
        <f aca="false">IF(OR(A1447&lt;Resumen!$B$6,A1447&gt;=Resumen!$B$7),0,MAX(0,AVERAGEIFS(B1399:B1495,D1399:D1495,1)-Resumen!$B$5*AVERAGEIFS(C1399:C1495,D1399:D1495,1)))</f>
        <v>0.634842462886598</v>
      </c>
      <c r="F1447" s="10" t="n">
        <f aca="false">IF(B1447="","",(B1447-E1447)/Resumen!$B$5)</f>
        <v>3.91291305568976</v>
      </c>
      <c r="G1447" s="10" t="n">
        <f aca="false">IF(OR(F1447="",C1447=""),0,(F1447-C1447)*0.9)</f>
        <v>-0.34495824987922</v>
      </c>
      <c r="H1447" s="26" t="n">
        <f aca="false">IF(A1447&lt;Resumen!$B$11,"",IF(H1446="",0,H1446)+G1447/Resumen!$B$9)</f>
        <v>1.19608597979234</v>
      </c>
      <c r="I1447" s="26" t="n">
        <f aca="false">IF(H1447="","",H1447-AVERAGE(H1399:H1495))</f>
        <v>-0.0506120397949945</v>
      </c>
      <c r="J1447" s="27" t="n">
        <f aca="false">IF(I1447="","",Resumen!$B$10-(MAX(I1399:I1495)-I1447))</f>
        <v>1.73585311126702</v>
      </c>
    </row>
    <row r="1448" customFormat="false" ht="15" hidden="false" customHeight="false" outlineLevel="0" collapsed="false">
      <c r="A1448" s="24" t="n">
        <v>46276.4583333333</v>
      </c>
      <c r="B1448" s="10" t="n">
        <v>5.0045</v>
      </c>
      <c r="C1448" s="10" t="n">
        <v>3.2297</v>
      </c>
      <c r="D1448" s="10" t="n">
        <f aca="false">IF(OR(B1448="",C1448="",B1448&lt;=0.05,C1448&lt;=0.05),0,1)</f>
        <v>1</v>
      </c>
      <c r="E1448" s="25" t="n">
        <f aca="false">IF(OR(A1448&lt;Resumen!$B$6,A1448&gt;=Resumen!$B$7),0,MAX(0,AVERAGEIFS(B1400:B1496,D1400:D1496,1)-Resumen!$B$5*AVERAGEIFS(C1400:C1496,D1400:D1496,1)))</f>
        <v>0.636381001030928</v>
      </c>
      <c r="F1448" s="10" t="n">
        <f aca="false">IF(B1448="","",(B1448-E1448)/Resumen!$B$5)</f>
        <v>3.4695146933829</v>
      </c>
      <c r="G1448" s="10" t="n">
        <f aca="false">IF(OR(F1448="",C1448=""),0,(F1448-C1448)*0.9)</f>
        <v>0.215833224044611</v>
      </c>
      <c r="H1448" s="26" t="n">
        <f aca="false">IF(A1448&lt;Resumen!$B$11,"",IF(H1447="",0,H1447)+G1448/Resumen!$B$9)</f>
        <v>1.20628817669246</v>
      </c>
      <c r="I1448" s="26" t="n">
        <f aca="false">IF(H1448="","",H1448-AVERAGE(H1400:H1496))</f>
        <v>-0.0397403539869232</v>
      </c>
      <c r="J1448" s="27" t="n">
        <f aca="false">IF(I1448="","",Resumen!$B$10-(MAX(I1400:I1496)-I1448))</f>
        <v>1.74672479707509</v>
      </c>
    </row>
    <row r="1449" customFormat="false" ht="15" hidden="false" customHeight="false" outlineLevel="0" collapsed="false">
      <c r="A1449" s="24" t="n">
        <v>46276.46875</v>
      </c>
      <c r="B1449" s="10" t="n">
        <v>5.2191</v>
      </c>
      <c r="C1449" s="10" t="n">
        <v>3.1787</v>
      </c>
      <c r="D1449" s="10" t="n">
        <f aca="false">IF(OR(B1449="",C1449="",B1449&lt;=0.05,C1449&lt;=0.05),0,1)</f>
        <v>1</v>
      </c>
      <c r="E1449" s="25" t="n">
        <f aca="false">IF(OR(A1449&lt;Resumen!$B$6,A1449&gt;=Resumen!$B$7),0,MAX(0,AVERAGEIFS(B1401:B1497,D1401:D1497,1)-Resumen!$B$5*AVERAGEIFS(C1401:C1497,D1401:D1497,1)))</f>
        <v>0.638993871134021</v>
      </c>
      <c r="F1449" s="10" t="n">
        <f aca="false">IF(B1449="","",(B1449-E1449)/Resumen!$B$5)</f>
        <v>3.63789208011595</v>
      </c>
      <c r="G1449" s="10" t="n">
        <f aca="false">IF(OR(F1449="",C1449=""),0,(F1449-C1449)*0.9)</f>
        <v>0.413272872104354</v>
      </c>
      <c r="H1449" s="26" t="n">
        <f aca="false">IF(A1449&lt;Resumen!$B$11,"",IF(H1448="",0,H1448)+G1449/Resumen!$B$9)</f>
        <v>1.22582312657494</v>
      </c>
      <c r="I1449" s="26" t="n">
        <f aca="false">IF(H1449="","",H1449-AVERAGE(H1401:H1497))</f>
        <v>-0.0195788312050142</v>
      </c>
      <c r="J1449" s="27" t="n">
        <f aca="false">IF(I1449="","",Resumen!$B$10-(MAX(I1401:I1497)-I1449))</f>
        <v>1.766886319857</v>
      </c>
    </row>
    <row r="1450" customFormat="false" ht="15" hidden="false" customHeight="false" outlineLevel="0" collapsed="false">
      <c r="A1450" s="24" t="n">
        <v>46276.4791666667</v>
      </c>
      <c r="B1450" s="10" t="n">
        <v>5.9859</v>
      </c>
      <c r="C1450" s="10" t="n">
        <v>3.1371</v>
      </c>
      <c r="D1450" s="10" t="n">
        <f aca="false">IF(OR(B1450="",C1450="",B1450&lt;=0.05,C1450&lt;=0.05),0,1)</f>
        <v>1</v>
      </c>
      <c r="E1450" s="25" t="n">
        <f aca="false">IF(OR(A1450&lt;Resumen!$B$6,A1450&gt;=Resumen!$B$7),0,MAX(0,AVERAGEIFS(B1402:B1498,D1402:D1498,1)-Resumen!$B$5*AVERAGEIFS(C1402:C1498,D1402:D1498,1)))</f>
        <v>0.639882392783505</v>
      </c>
      <c r="F1450" s="10" t="n">
        <f aca="false">IF(B1450="","",(B1450-E1450)/Resumen!$B$5)</f>
        <v>4.24624114949682</v>
      </c>
      <c r="G1450" s="10" t="n">
        <f aca="false">IF(OR(F1450="",C1450=""),0,(F1450-C1450)*0.9)</f>
        <v>0.998227034547137</v>
      </c>
      <c r="H1450" s="26" t="n">
        <f aca="false">IF(A1450&lt;Resumen!$B$11,"",IF(H1449="",0,H1449)+G1450/Resumen!$B$9)</f>
        <v>1.27300821034761</v>
      </c>
      <c r="I1450" s="26" t="n">
        <f aca="false">IF(H1450="","",H1450-AVERAGE(H1402:H1498))</f>
        <v>0.0282451038201352</v>
      </c>
      <c r="J1450" s="27" t="n">
        <f aca="false">IF(I1450="","",Resumen!$B$10-(MAX(I1402:I1498)-I1450))</f>
        <v>1.81471025488215</v>
      </c>
    </row>
    <row r="1451" customFormat="false" ht="15" hidden="false" customHeight="false" outlineLevel="0" collapsed="false">
      <c r="A1451" s="24" t="n">
        <v>46276.4895833333</v>
      </c>
      <c r="B1451" s="10" t="n">
        <v>4.5731</v>
      </c>
      <c r="C1451" s="10" t="n">
        <v>3.855</v>
      </c>
      <c r="D1451" s="10" t="n">
        <f aca="false">IF(OR(B1451="",C1451="",B1451&lt;=0.05,C1451&lt;=0.05),0,1)</f>
        <v>1</v>
      </c>
      <c r="E1451" s="25" t="n">
        <f aca="false">IF(OR(A1451&lt;Resumen!$B$6,A1451&gt;=Resumen!$B$7),0,MAX(0,AVERAGEIFS(B1403:B1499,D1403:D1499,1)-Resumen!$B$5*AVERAGEIFS(C1403:C1499,D1403:D1499,1)))</f>
        <v>0.63709102371134</v>
      </c>
      <c r="F1451" s="10" t="n">
        <f aca="false">IF(B1451="","",(B1451-E1451)/Resumen!$B$5)</f>
        <v>3.12629783660736</v>
      </c>
      <c r="G1451" s="10" t="n">
        <f aca="false">IF(OR(F1451="",C1451=""),0,(F1451-C1451)*0.9)</f>
        <v>-0.65583194705338</v>
      </c>
      <c r="H1451" s="26" t="n">
        <f aca="false">IF(A1451&lt;Resumen!$B$11,"",IF(H1450="",0,H1450)+G1451/Resumen!$B$9)</f>
        <v>1.24200776226162</v>
      </c>
      <c r="I1451" s="26" t="n">
        <f aca="false">IF(H1451="","",H1451-AVERAGE(H1403:H1499))</f>
        <v>-0.00199186540928853</v>
      </c>
      <c r="J1451" s="27" t="n">
        <f aca="false">IF(I1451="","",Resumen!$B$10-(MAX(I1403:I1499)-I1451))</f>
        <v>1.78447328565273</v>
      </c>
    </row>
    <row r="1452" customFormat="false" ht="15" hidden="false" customHeight="false" outlineLevel="0" collapsed="false">
      <c r="A1452" s="24" t="n">
        <v>46276.5</v>
      </c>
      <c r="B1452" s="10" t="n">
        <v>5.0925</v>
      </c>
      <c r="C1452" s="10" t="n">
        <v>3.4477</v>
      </c>
      <c r="D1452" s="10" t="n">
        <f aca="false">IF(OR(B1452="",C1452="",B1452&lt;=0.05,C1452&lt;=0.05),0,1)</f>
        <v>1</v>
      </c>
      <c r="E1452" s="25" t="n">
        <f aca="false">IF(OR(A1452&lt;Resumen!$B$6,A1452&gt;=Resumen!$B$7),0,MAX(0,AVERAGEIFS(B1404:B1500,D1404:D1500,1)-Resumen!$B$5*AVERAGEIFS(C1404:C1500,D1404:D1500,1)))</f>
        <v>0.643340831958764</v>
      </c>
      <c r="F1452" s="10" t="n">
        <f aca="false">IF(B1452="","",(B1452-E1452)/Resumen!$B$5)</f>
        <v>3.53388337413919</v>
      </c>
      <c r="G1452" s="10" t="n">
        <f aca="false">IF(OR(F1452="",C1452=""),0,(F1452-C1452)*0.9)</f>
        <v>0.0775650367252686</v>
      </c>
      <c r="H1452" s="26" t="n">
        <f aca="false">IF(A1452&lt;Resumen!$B$11,"",IF(H1451="",0,H1451)+G1452/Resumen!$B$9)</f>
        <v>1.24567417544124</v>
      </c>
      <c r="I1452" s="26" t="n">
        <f aca="false">IF(H1452="","",H1452-AVERAGE(H1404:H1500))</f>
        <v>0.0022651832807854</v>
      </c>
      <c r="J1452" s="27" t="n">
        <f aca="false">IF(I1452="","",Resumen!$B$10-(MAX(I1404:I1500)-I1452))</f>
        <v>1.7887303343428</v>
      </c>
    </row>
    <row r="1453" customFormat="false" ht="15" hidden="false" customHeight="false" outlineLevel="0" collapsed="false">
      <c r="A1453" s="24" t="n">
        <v>46276.5104166667</v>
      </c>
      <c r="B1453" s="10" t="n">
        <v>4.8915</v>
      </c>
      <c r="C1453" s="10" t="n">
        <v>3.4659</v>
      </c>
      <c r="D1453" s="10" t="n">
        <f aca="false">IF(OR(B1453="",C1453="",B1453&lt;=0.05,C1453&lt;=0.05),0,1)</f>
        <v>1</v>
      </c>
      <c r="E1453" s="25" t="n">
        <f aca="false">IF(OR(A1453&lt;Resumen!$B$6,A1453&gt;=Resumen!$B$7),0,MAX(0,AVERAGEIFS(B1405:B1501,D1405:D1501,1)-Resumen!$B$5*AVERAGEIFS(C1405:C1501,D1405:D1501,1)))</f>
        <v>0.639619661855671</v>
      </c>
      <c r="F1453" s="10" t="n">
        <f aca="false">IF(B1453="","",(B1453-E1453)/Resumen!$B$5)</f>
        <v>3.37718851322028</v>
      </c>
      <c r="G1453" s="10" t="n">
        <f aca="false">IF(OR(F1453="",C1453=""),0,(F1453-C1453)*0.9)</f>
        <v>-0.0798403381017509</v>
      </c>
      <c r="H1453" s="26" t="n">
        <f aca="false">IF(A1453&lt;Resumen!$B$11,"",IF(H1452="",0,H1452)+G1453/Resumen!$B$9)</f>
        <v>1.24190021129141</v>
      </c>
      <c r="I1453" s="26" t="n">
        <f aca="false">IF(H1453="","",H1453-AVERAGE(H1405:H1501))</f>
        <v>-0.00075455802569846</v>
      </c>
      <c r="J1453" s="27" t="n">
        <f aca="false">IF(I1453="","",Resumen!$B$10-(MAX(I1405:I1501)-I1453))</f>
        <v>1.78571059303632</v>
      </c>
    </row>
    <row r="1454" customFormat="false" ht="15" hidden="false" customHeight="false" outlineLevel="0" collapsed="false">
      <c r="A1454" s="24" t="n">
        <v>46276.5208333333</v>
      </c>
      <c r="B1454" s="10" t="n">
        <v>4.545</v>
      </c>
      <c r="C1454" s="10" t="n">
        <v>3.0385</v>
      </c>
      <c r="D1454" s="10" t="n">
        <f aca="false">IF(OR(B1454="",C1454="",B1454&lt;=0.05,C1454&lt;=0.05),0,1)</f>
        <v>1</v>
      </c>
      <c r="E1454" s="25" t="n">
        <f aca="false">IF(OR(A1454&lt;Resumen!$B$6,A1454&gt;=Resumen!$B$7),0,MAX(0,AVERAGEIFS(B1406:B1502,D1406:D1502,1)-Resumen!$B$5*AVERAGEIFS(C1406:C1502,D1406:D1502,1)))</f>
        <v>0.640818295876289</v>
      </c>
      <c r="F1454" s="10" t="n">
        <f aca="false">IF(B1454="","",(B1454-E1454)/Resumen!$B$5)</f>
        <v>3.10101803345807</v>
      </c>
      <c r="G1454" s="10" t="n">
        <f aca="false">IF(OR(F1454="",C1454=""),0,(F1454-C1454)*0.9)</f>
        <v>0.0562662301122642</v>
      </c>
      <c r="H1454" s="26" t="n">
        <f aca="false">IF(A1454&lt;Resumen!$B$11,"",IF(H1453="",0,H1453)+G1454/Resumen!$B$9)</f>
        <v>1.24455985352663</v>
      </c>
      <c r="I1454" s="26" t="n">
        <f aca="false">IF(H1454="","",H1454-AVERAGE(H1406:H1502))</f>
        <v>0.00265627323604045</v>
      </c>
      <c r="J1454" s="27" t="n">
        <f aca="false">IF(I1454="","",Resumen!$B$10-(MAX(I1406:I1502)-I1454))</f>
        <v>1.78912142429805</v>
      </c>
    </row>
    <row r="1455" customFormat="false" ht="15" hidden="false" customHeight="false" outlineLevel="0" collapsed="false">
      <c r="A1455" s="24" t="n">
        <v>46276.53125</v>
      </c>
      <c r="B1455" s="10" t="n">
        <v>5.9165</v>
      </c>
      <c r="C1455" s="10" t="n">
        <v>4.2063</v>
      </c>
      <c r="D1455" s="10" t="n">
        <f aca="false">IF(OR(B1455="",C1455="",B1455&lt;=0.05,C1455&lt;=0.05),0,1)</f>
        <v>1</v>
      </c>
      <c r="E1455" s="25" t="n">
        <f aca="false">IF(OR(A1455&lt;Resumen!$B$6,A1455&gt;=Resumen!$B$7),0,MAX(0,AVERAGEIFS(B1407:B1503,D1407:D1503,1)-Resumen!$B$5*AVERAGEIFS(C1407:C1503,D1407:D1503,1)))</f>
        <v>0.645327132989691</v>
      </c>
      <c r="F1455" s="10" t="n">
        <f aca="false">IF(B1455="","",(B1455-E1455)/Resumen!$B$5)</f>
        <v>4.18679338126315</v>
      </c>
      <c r="G1455" s="10" t="n">
        <f aca="false">IF(OR(F1455="",C1455=""),0,(F1455-C1455)*0.9)</f>
        <v>-0.0175559568631626</v>
      </c>
      <c r="H1455" s="26" t="n">
        <f aca="false">IF(A1455&lt;Resumen!$B$11,"",IF(H1454="",0,H1454)+G1455/Resumen!$B$9)</f>
        <v>1.2437300029349</v>
      </c>
      <c r="I1455" s="26" t="n">
        <f aca="false">IF(H1455="","",H1455-AVERAGE(H1407:H1503))</f>
        <v>0.00246051105214962</v>
      </c>
      <c r="J1455" s="27" t="n">
        <f aca="false">IF(I1455="","",Resumen!$B$10-(MAX(I1407:I1503)-I1455))</f>
        <v>1.78892566211416</v>
      </c>
    </row>
    <row r="1456" customFormat="false" ht="15" hidden="false" customHeight="false" outlineLevel="0" collapsed="false">
      <c r="A1456" s="24" t="n">
        <v>46276.5416666667</v>
      </c>
      <c r="B1456" s="10" t="n">
        <v>5.0199</v>
      </c>
      <c r="C1456" s="10" t="n">
        <v>3.2423</v>
      </c>
      <c r="D1456" s="10" t="n">
        <f aca="false">IF(OR(B1456="",C1456="",B1456&lt;=0.05,C1456&lt;=0.05),0,1)</f>
        <v>1</v>
      </c>
      <c r="E1456" s="25" t="n">
        <f aca="false">IF(OR(A1456&lt;Resumen!$B$6,A1456&gt;=Resumen!$B$7),0,MAX(0,AVERAGEIFS(B1408:B1504,D1408:D1504,1)-Resumen!$B$5*AVERAGEIFS(C1408:C1504,D1408:D1504,1)))</f>
        <v>0.646241729896908</v>
      </c>
      <c r="F1456" s="10" t="n">
        <f aca="false">IF(B1456="","",(B1456-E1456)/Resumen!$B$5)</f>
        <v>3.47391443217084</v>
      </c>
      <c r="G1456" s="10" t="n">
        <f aca="false">IF(OR(F1456="",C1456=""),0,(F1456-C1456)*0.9)</f>
        <v>0.20845298895376</v>
      </c>
      <c r="H1456" s="26" t="n">
        <f aca="false">IF(A1456&lt;Resumen!$B$11,"",IF(H1455="",0,H1455)+G1456/Resumen!$B$9)</f>
        <v>1.25358334431521</v>
      </c>
      <c r="I1456" s="26" t="n">
        <f aca="false">IF(H1456="","",H1456-AVERAGE(H1408:H1504))</f>
        <v>0.0129512297202756</v>
      </c>
      <c r="J1456" s="27" t="n">
        <f aca="false">IF(I1456="","",Resumen!$B$10-(MAX(I1408:I1504)-I1456))</f>
        <v>1.79941638078229</v>
      </c>
    </row>
    <row r="1457" customFormat="false" ht="15" hidden="false" customHeight="false" outlineLevel="0" collapsed="false">
      <c r="A1457" s="24" t="n">
        <v>46276.5520833333</v>
      </c>
      <c r="B1457" s="10" t="n">
        <v>5.4773</v>
      </c>
      <c r="C1457" s="10" t="n">
        <v>2.8541</v>
      </c>
      <c r="D1457" s="10" t="n">
        <f aca="false">IF(OR(B1457="",C1457="",B1457&lt;=0.05,C1457&lt;=0.05),0,1)</f>
        <v>1</v>
      </c>
      <c r="E1457" s="25" t="n">
        <f aca="false">IF(OR(A1457&lt;Resumen!$B$6,A1457&gt;=Resumen!$B$7),0,MAX(0,AVERAGEIFS(B1409:B1505,D1409:D1505,1)-Resumen!$B$5*AVERAGEIFS(C1409:C1505,D1409:D1505,1)))</f>
        <v>0.649147102061856</v>
      </c>
      <c r="F1457" s="10" t="n">
        <f aca="false">IF(B1457="","",(B1457-E1457)/Resumen!$B$5)</f>
        <v>3.83491095944253</v>
      </c>
      <c r="G1457" s="10" t="n">
        <f aca="false">IF(OR(F1457="",C1457=""),0,(F1457-C1457)*0.9)</f>
        <v>0.882729863498277</v>
      </c>
      <c r="H1457" s="26" t="n">
        <f aca="false">IF(A1457&lt;Resumen!$B$11,"",IF(H1456="",0,H1456)+G1457/Resumen!$B$9)</f>
        <v>1.29530900502796</v>
      </c>
      <c r="I1457" s="26" t="n">
        <f aca="false">IF(H1457="","",H1457-AVERAGE(H1409:H1505))</f>
        <v>0.0552472192450193</v>
      </c>
      <c r="J1457" s="27" t="n">
        <f aca="false">IF(I1457="","",Resumen!$B$10-(MAX(I1409:I1505)-I1457))</f>
        <v>1.84171237030703</v>
      </c>
    </row>
    <row r="1458" customFormat="false" ht="15" hidden="false" customHeight="false" outlineLevel="0" collapsed="false">
      <c r="A1458" s="24" t="n">
        <v>46276.5625</v>
      </c>
      <c r="B1458" s="10" t="n">
        <v>5.2109</v>
      </c>
      <c r="C1458" s="10" t="n">
        <v>3.5585</v>
      </c>
      <c r="D1458" s="10" t="n">
        <f aca="false">IF(OR(B1458="",C1458="",B1458&lt;=0.05,C1458&lt;=0.05),0,1)</f>
        <v>1</v>
      </c>
      <c r="E1458" s="25" t="n">
        <f aca="false">IF(OR(A1458&lt;Resumen!$B$6,A1458&gt;=Resumen!$B$7),0,MAX(0,AVERAGEIFS(B1410:B1506,D1410:D1506,1)-Resumen!$B$5*AVERAGEIFS(C1410:C1506,D1410:D1506,1)))</f>
        <v>0.643835653608247</v>
      </c>
      <c r="F1458" s="10" t="n">
        <f aca="false">IF(B1458="","",(B1458-E1458)/Resumen!$B$5)</f>
        <v>3.62753323780123</v>
      </c>
      <c r="G1458" s="10" t="n">
        <f aca="false">IF(OR(F1458="",C1458=""),0,(F1458-C1458)*0.9)</f>
        <v>0.0621299140211101</v>
      </c>
      <c r="H1458" s="26" t="n">
        <f aca="false">IF(A1458&lt;Resumen!$B$11,"",IF(H1457="",0,H1457)+G1458/Resumen!$B$9)</f>
        <v>1.29824581709217</v>
      </c>
      <c r="I1458" s="26" t="n">
        <f aca="false">IF(H1458="","",H1458-AVERAGE(H1410:H1506))</f>
        <v>0.0589550086555073</v>
      </c>
      <c r="J1458" s="27" t="n">
        <f aca="false">IF(I1458="","",Resumen!$B$10-(MAX(I1410:I1506)-I1458))</f>
        <v>1.84542015971752</v>
      </c>
    </row>
    <row r="1459" customFormat="false" ht="15" hidden="false" customHeight="false" outlineLevel="0" collapsed="false">
      <c r="A1459" s="24" t="n">
        <v>46276.5729166667</v>
      </c>
      <c r="B1459" s="10" t="n">
        <v>5.3766</v>
      </c>
      <c r="C1459" s="10" t="n">
        <v>4.1021</v>
      </c>
      <c r="D1459" s="10" t="n">
        <f aca="false">IF(OR(B1459="",C1459="",B1459&lt;=0.05,C1459&lt;=0.05),0,1)</f>
        <v>1</v>
      </c>
      <c r="E1459" s="25" t="n">
        <f aca="false">IF(OR(A1459&lt;Resumen!$B$6,A1459&gt;=Resumen!$B$7),0,MAX(0,AVERAGEIFS(B1411:B1507,D1411:D1507,1)-Resumen!$B$5*AVERAGEIFS(C1411:C1507,D1411:D1507,1)))</f>
        <v>0.648283681443299</v>
      </c>
      <c r="F1459" s="10" t="n">
        <f aca="false">IF(B1459="","",(B1459-E1459)/Resumen!$B$5)</f>
        <v>3.75561264380993</v>
      </c>
      <c r="G1459" s="10" t="n">
        <f aca="false">IF(OR(F1459="",C1459=""),0,(F1459-C1459)*0.9)</f>
        <v>-0.311838620571064</v>
      </c>
      <c r="H1459" s="26" t="n">
        <f aca="false">IF(A1459&lt;Resumen!$B$11,"",IF(H1458="",0,H1458)+G1459/Resumen!$B$9)</f>
        <v>1.28350555167562</v>
      </c>
      <c r="I1459" s="26" t="n">
        <f aca="false">IF(H1459="","",H1459-AVERAGE(H1411:H1507))</f>
        <v>0.0448561531297265</v>
      </c>
      <c r="J1459" s="27" t="n">
        <f aca="false">IF(I1459="","",Resumen!$B$10-(MAX(I1411:I1507)-I1459))</f>
        <v>1.83132130419174</v>
      </c>
    </row>
    <row r="1460" customFormat="false" ht="15" hidden="false" customHeight="false" outlineLevel="0" collapsed="false">
      <c r="A1460" s="24" t="n">
        <v>46276.5833333333</v>
      </c>
      <c r="B1460" s="10" t="n">
        <v>4.9813</v>
      </c>
      <c r="C1460" s="10" t="n">
        <v>3.6884</v>
      </c>
      <c r="D1460" s="10" t="n">
        <f aca="false">IF(OR(B1460="",C1460="",B1460&lt;=0.05,C1460&lt;=0.05),0,1)</f>
        <v>1</v>
      </c>
      <c r="E1460" s="25" t="n">
        <f aca="false">IF(OR(A1460&lt;Resumen!$B$6,A1460&gt;=Resumen!$B$7),0,MAX(0,AVERAGEIFS(B1412:B1508,D1412:D1508,1)-Resumen!$B$5*AVERAGEIFS(C1412:C1508,D1412:D1508,1)))</f>
        <v>0.648005148453609</v>
      </c>
      <c r="F1460" s="10" t="n">
        <f aca="false">IF(B1460="","",(B1460-E1460)/Resumen!$B$5)</f>
        <v>3.44185452863097</v>
      </c>
      <c r="G1460" s="10" t="n">
        <f aca="false">IF(OR(F1460="",C1460=""),0,(F1460-C1460)*0.9)</f>
        <v>-0.221890924232127</v>
      </c>
      <c r="H1460" s="26" t="n">
        <f aca="false">IF(A1460&lt;Resumen!$B$11,"",IF(H1459="",0,H1459)+G1460/Resumen!$B$9)</f>
        <v>1.2730170140124</v>
      </c>
      <c r="I1460" s="26" t="n">
        <f aca="false">IF(H1460="","",H1460-AVERAGE(H1412:H1508))</f>
        <v>0.035045654726843</v>
      </c>
      <c r="J1460" s="27" t="n">
        <f aca="false">IF(I1460="","",Resumen!$B$10-(MAX(I1412:I1508)-I1460))</f>
        <v>1.82151080578886</v>
      </c>
    </row>
    <row r="1461" customFormat="false" ht="15" hidden="false" customHeight="false" outlineLevel="0" collapsed="false">
      <c r="A1461" s="24" t="n">
        <v>46276.59375</v>
      </c>
      <c r="B1461" s="10" t="n">
        <v>5.1314</v>
      </c>
      <c r="C1461" s="10" t="n">
        <v>3.5372</v>
      </c>
      <c r="D1461" s="10" t="n">
        <f aca="false">IF(OR(B1461="",C1461="",B1461&lt;=0.05,C1461&lt;=0.05),0,1)</f>
        <v>1</v>
      </c>
      <c r="E1461" s="25" t="n">
        <f aca="false">IF(OR(A1461&lt;Resumen!$B$6,A1461&gt;=Resumen!$B$7),0,MAX(0,AVERAGEIFS(B1413:B1509,D1413:D1509,1)-Resumen!$B$5*AVERAGEIFS(C1413:C1509,D1413:D1509,1)))</f>
        <v>0.64815375257732</v>
      </c>
      <c r="F1461" s="10" t="n">
        <f aca="false">IF(B1461="","",(B1461-E1461)/Resumen!$B$5)</f>
        <v>3.56095809962087</v>
      </c>
      <c r="G1461" s="10" t="n">
        <f aca="false">IF(OR(F1461="",C1461=""),0,(F1461-C1461)*0.9)</f>
        <v>0.0213822896587871</v>
      </c>
      <c r="H1461" s="26" t="n">
        <f aca="false">IF(A1461&lt;Resumen!$B$11,"",IF(H1460="",0,H1460)+G1461/Resumen!$B$9)</f>
        <v>1.2740277311077</v>
      </c>
      <c r="I1461" s="26" t="n">
        <f aca="false">IF(H1461="","",H1461-AVERAGE(H1413:H1509))</f>
        <v>0.0367573953421587</v>
      </c>
      <c r="J1461" s="27" t="n">
        <f aca="false">IF(I1461="","",Resumen!$B$10-(MAX(I1413:I1509)-I1461))</f>
        <v>1.82322254640417</v>
      </c>
    </row>
    <row r="1462" customFormat="false" ht="15" hidden="false" customHeight="false" outlineLevel="0" collapsed="false">
      <c r="A1462" s="24" t="n">
        <v>46276.6041666667</v>
      </c>
      <c r="B1462" s="10" t="n">
        <v>4.1213</v>
      </c>
      <c r="C1462" s="10" t="n">
        <v>2.8772</v>
      </c>
      <c r="D1462" s="10" t="n">
        <f aca="false">IF(OR(B1462="",C1462="",B1462&lt;=0.05,C1462&lt;=0.05),0,1)</f>
        <v>1</v>
      </c>
      <c r="E1462" s="25" t="n">
        <f aca="false">IF(OR(A1462&lt;Resumen!$B$6,A1462&gt;=Resumen!$B$7),0,MAX(0,AVERAGEIFS(B1414:B1510,D1414:D1510,1)-Resumen!$B$5*AVERAGEIFS(C1414:C1510,D1414:D1510,1)))</f>
        <v>0.651788630927835</v>
      </c>
      <c r="F1462" s="10" t="n">
        <f aca="false">IF(B1462="","",(B1462-E1462)/Resumen!$B$5)</f>
        <v>2.75576756876264</v>
      </c>
      <c r="G1462" s="10" t="n">
        <f aca="false">IF(OR(F1462="",C1462=""),0,(F1462-C1462)*0.9)</f>
        <v>-0.109289188113623</v>
      </c>
      <c r="H1462" s="26" t="n">
        <f aca="false">IF(A1462&lt;Resumen!$B$11,"",IF(H1461="",0,H1461)+G1462/Resumen!$B$9)</f>
        <v>1.26886175250952</v>
      </c>
      <c r="I1462" s="26" t="n">
        <f aca="false">IF(H1462="","",H1462-AVERAGE(H1414:H1510))</f>
        <v>0.0322011246207685</v>
      </c>
      <c r="J1462" s="27" t="n">
        <f aca="false">IF(I1462="","",Resumen!$B$10-(MAX(I1414:I1510)-I1462))</f>
        <v>1.81866627568278</v>
      </c>
    </row>
    <row r="1463" customFormat="false" ht="15" hidden="false" customHeight="false" outlineLevel="0" collapsed="false">
      <c r="A1463" s="24" t="n">
        <v>46276.6145833333</v>
      </c>
      <c r="B1463" s="10" t="n">
        <v>4.6224</v>
      </c>
      <c r="C1463" s="10" t="n">
        <v>3.3929</v>
      </c>
      <c r="D1463" s="10" t="n">
        <f aca="false">IF(OR(B1463="",C1463="",B1463&lt;=0.05,C1463&lt;=0.05),0,1)</f>
        <v>1</v>
      </c>
      <c r="E1463" s="25" t="n">
        <f aca="false">IF(OR(A1463&lt;Resumen!$B$6,A1463&gt;=Resumen!$B$7),0,MAX(0,AVERAGEIFS(B1415:B1511,D1415:D1511,1)-Resumen!$B$5*AVERAGEIFS(C1415:C1511,D1415:D1511,1)))</f>
        <v>0.654653968041237</v>
      </c>
      <c r="F1463" s="10" t="n">
        <f aca="false">IF(B1463="","",(B1463-E1463)/Resumen!$B$5)</f>
        <v>3.15150598249306</v>
      </c>
      <c r="G1463" s="10" t="n">
        <f aca="false">IF(OR(F1463="",C1463=""),0,(F1463-C1463)*0.9)</f>
        <v>-0.217254615756245</v>
      </c>
      <c r="H1463" s="26" t="n">
        <f aca="false">IF(A1463&lt;Resumen!$B$11,"",IF(H1462="",0,H1462)+G1463/Resumen!$B$9)</f>
        <v>1.25859236800111</v>
      </c>
      <c r="I1463" s="26" t="n">
        <f aca="false">IF(H1463="","",H1463-AVERAGE(H1415:H1511))</f>
        <v>0.0224800395804872</v>
      </c>
      <c r="J1463" s="27" t="n">
        <f aca="false">IF(I1463="","",Resumen!$B$10-(MAX(I1415:I1511)-I1463))</f>
        <v>1.8089451906425</v>
      </c>
    </row>
    <row r="1464" customFormat="false" ht="15" hidden="false" customHeight="false" outlineLevel="0" collapsed="false">
      <c r="A1464" s="24" t="n">
        <v>46276.625</v>
      </c>
      <c r="B1464" s="10" t="n">
        <v>4.6326</v>
      </c>
      <c r="C1464" s="10" t="n">
        <v>3.5994</v>
      </c>
      <c r="D1464" s="10" t="n">
        <f aca="false">IF(OR(B1464="",C1464="",B1464&lt;=0.05,C1464&lt;=0.05),0,1)</f>
        <v>1</v>
      </c>
      <c r="E1464" s="25" t="n">
        <f aca="false">IF(OR(A1464&lt;Resumen!$B$6,A1464&gt;=Resumen!$B$7),0,MAX(0,AVERAGEIFS(B1416:B1512,D1416:D1512,1)-Resumen!$B$5*AVERAGEIFS(C1416:C1512,D1416:D1512,1)))</f>
        <v>0.654643248453609</v>
      </c>
      <c r="F1464" s="10" t="n">
        <f aca="false">IF(B1464="","",(B1464-E1464)/Resumen!$B$5)</f>
        <v>3.15961616485019</v>
      </c>
      <c r="G1464" s="10" t="n">
        <f aca="false">IF(OR(F1464="",C1464=""),0,(F1464-C1464)*0.9)</f>
        <v>-0.395805451634827</v>
      </c>
      <c r="H1464" s="26" t="n">
        <f aca="false">IF(A1464&lt;Resumen!$B$11,"",IF(H1463="",0,H1463)+G1464/Resumen!$B$9)</f>
        <v>1.23988308369331</v>
      </c>
      <c r="I1464" s="26" t="n">
        <f aca="false">IF(H1464="","",H1464-AVERAGE(H1416:H1512))</f>
        <v>0.00435605894904279</v>
      </c>
      <c r="J1464" s="27" t="n">
        <f aca="false">IF(I1464="","",Resumen!$B$10-(MAX(I1416:I1512)-I1464))</f>
        <v>1.79082121001106</v>
      </c>
    </row>
    <row r="1465" customFormat="false" ht="15" hidden="false" customHeight="false" outlineLevel="0" collapsed="false">
      <c r="A1465" s="24" t="n">
        <v>46276.6354166667</v>
      </c>
      <c r="B1465" s="10" t="n">
        <v>5.535</v>
      </c>
      <c r="C1465" s="10" t="n">
        <v>3.044</v>
      </c>
      <c r="D1465" s="10" t="n">
        <f aca="false">IF(OR(B1465="",C1465="",B1465&lt;=0.05,C1465&lt;=0.05),0,1)</f>
        <v>1</v>
      </c>
      <c r="E1465" s="25" t="n">
        <f aca="false">IF(OR(A1465&lt;Resumen!$B$6,A1465&gt;=Resumen!$B$7),0,MAX(0,AVERAGEIFS(B1417:B1513,D1417:D1513,1)-Resumen!$B$5*AVERAGEIFS(C1417:C1513,D1417:D1513,1)))</f>
        <v>0.654004700000001</v>
      </c>
      <c r="F1465" s="10" t="n">
        <f aca="false">IF(B1465="","",(B1465-E1465)/Resumen!$B$5)</f>
        <v>3.87688268467037</v>
      </c>
      <c r="G1465" s="10" t="n">
        <f aca="false">IF(OR(F1465="",C1465=""),0,(F1465-C1465)*0.9)</f>
        <v>0.749594416203336</v>
      </c>
      <c r="H1465" s="26" t="n">
        <f aca="false">IF(A1465&lt;Resumen!$B$11,"",IF(H1464="",0,H1464)+G1465/Resumen!$B$9)</f>
        <v>1.27531557960856</v>
      </c>
      <c r="I1465" s="26" t="n">
        <f aca="false">IF(H1465="","",H1465-AVERAGE(H1417:H1513))</f>
        <v>0.0404366729135124</v>
      </c>
      <c r="J1465" s="27" t="n">
        <f aca="false">IF(I1465="","",Resumen!$B$10-(MAX(I1417:I1513)-I1465))</f>
        <v>1.82690182397553</v>
      </c>
    </row>
    <row r="1466" customFormat="false" ht="15" hidden="false" customHeight="false" outlineLevel="0" collapsed="false">
      <c r="A1466" s="24" t="n">
        <v>46276.6458333333</v>
      </c>
      <c r="B1466" s="10" t="n">
        <v>3.9385</v>
      </c>
      <c r="C1466" s="10" t="n">
        <v>2.9614</v>
      </c>
      <c r="D1466" s="10" t="n">
        <f aca="false">IF(OR(B1466="",C1466="",B1466&lt;=0.05,C1466&lt;=0.05),0,1)</f>
        <v>1</v>
      </c>
      <c r="E1466" s="25" t="n">
        <f aca="false">IF(OR(A1466&lt;Resumen!$B$6,A1466&gt;=Resumen!$B$7),0,MAX(0,AVERAGEIFS(B1418:B1514,D1418:D1514,1)-Resumen!$B$5*AVERAGEIFS(C1418:C1514,D1418:D1514,1)))</f>
        <v>0.648683964948453</v>
      </c>
      <c r="F1466" s="10" t="n">
        <f aca="false">IF(B1466="","",(B1466-E1466)/Resumen!$B$5)</f>
        <v>2.61303894761839</v>
      </c>
      <c r="G1466" s="10" t="n">
        <f aca="false">IF(OR(F1466="",C1466=""),0,(F1466-C1466)*0.9)</f>
        <v>-0.313524947143453</v>
      </c>
      <c r="H1466" s="26" t="n">
        <f aca="false">IF(A1466&lt;Resumen!$B$11,"",IF(H1465="",0,H1465)+G1466/Resumen!$B$9)</f>
        <v>1.26049560340696</v>
      </c>
      <c r="I1466" s="26" t="n">
        <f aca="false">IF(H1466="","",H1466-AVERAGE(H1418:H1514))</f>
        <v>0.0264772647529437</v>
      </c>
      <c r="J1466" s="27" t="n">
        <f aca="false">IF(I1466="","",Resumen!$B$10-(MAX(I1418:I1514)-I1466))</f>
        <v>1.81294241581496</v>
      </c>
    </row>
    <row r="1467" customFormat="false" ht="15" hidden="false" customHeight="false" outlineLevel="0" collapsed="false">
      <c r="A1467" s="24" t="n">
        <v>46276.65625</v>
      </c>
      <c r="B1467" s="10" t="n">
        <v>3.9531</v>
      </c>
      <c r="C1467" s="10" t="n">
        <v>2.636</v>
      </c>
      <c r="D1467" s="10" t="n">
        <f aca="false">IF(OR(B1467="",C1467="",B1467&lt;=0.05,C1467&lt;=0.05),0,1)</f>
        <v>1</v>
      </c>
      <c r="E1467" s="25" t="n">
        <f aca="false">IF(OR(A1467&lt;Resumen!$B$6,A1467&gt;=Resumen!$B$7),0,MAX(0,AVERAGEIFS(B1419:B1515,D1419:D1515,1)-Resumen!$B$5*AVERAGEIFS(C1419:C1515,D1419:D1515,1)))</f>
        <v>0.651626635051547</v>
      </c>
      <c r="F1467" s="10" t="n">
        <f aca="false">IF(B1467="","",(B1467-E1467)/Resumen!$B$5)</f>
        <v>2.62229814531251</v>
      </c>
      <c r="G1467" s="10" t="n">
        <f aca="false">IF(OR(F1467="",C1467=""),0,(F1467-C1467)*0.9)</f>
        <v>-0.0123316692187389</v>
      </c>
      <c r="H1467" s="26" t="n">
        <f aca="false">IF(A1467&lt;Resumen!$B$11,"",IF(H1466="",0,H1466)+G1467/Resumen!$B$9)</f>
        <v>1.2599126990926</v>
      </c>
      <c r="I1467" s="26" t="n">
        <f aca="false">IF(H1467="","",H1467-AVERAGE(H1419:H1515))</f>
        <v>0.0266899800814757</v>
      </c>
      <c r="J1467" s="27" t="n">
        <f aca="false">IF(I1467="","",Resumen!$B$10-(MAX(I1419:I1515)-I1467))</f>
        <v>1.81315513114349</v>
      </c>
    </row>
    <row r="1468" customFormat="false" ht="15" hidden="false" customHeight="false" outlineLevel="0" collapsed="false">
      <c r="A1468" s="24" t="n">
        <v>46276.6666666667</v>
      </c>
      <c r="B1468" s="10" t="n">
        <v>4.6328</v>
      </c>
      <c r="C1468" s="10" t="n">
        <v>3.2131</v>
      </c>
      <c r="D1468" s="10" t="n">
        <f aca="false">IF(OR(B1468="",C1468="",B1468&lt;=0.05,C1468&lt;=0.05),0,1)</f>
        <v>1</v>
      </c>
      <c r="E1468" s="25" t="n">
        <f aca="false">IF(OR(A1468&lt;Resumen!$B$6,A1468&gt;=Resumen!$B$7),0,MAX(0,AVERAGEIFS(B1420:B1516,D1420:D1516,1)-Resumen!$B$5*AVERAGEIFS(C1420:C1516,D1420:D1516,1)))</f>
        <v>0.653005895876289</v>
      </c>
      <c r="F1468" s="10" t="n">
        <f aca="false">IF(B1468="","",(B1468-E1468)/Resumen!$B$5)</f>
        <v>3.16107553941518</v>
      </c>
      <c r="G1468" s="10" t="n">
        <f aca="false">IF(OR(F1468="",C1468=""),0,(F1468-C1468)*0.9)</f>
        <v>-0.0468220145263383</v>
      </c>
      <c r="H1468" s="26" t="n">
        <f aca="false">IF(A1468&lt;Resumen!$B$11,"",IF(H1467="",0,H1467)+G1468/Resumen!$B$9)</f>
        <v>1.25769947444393</v>
      </c>
      <c r="I1468" s="26" t="n">
        <f aca="false">IF(H1468="","",H1468-AVERAGE(H1420:H1516))</f>
        <v>0.0252587860762605</v>
      </c>
      <c r="J1468" s="27" t="n">
        <f aca="false">IF(I1468="","",Resumen!$B$10-(MAX(I1420:I1516)-I1468))</f>
        <v>1.81172393713827</v>
      </c>
    </row>
    <row r="1469" customFormat="false" ht="15" hidden="false" customHeight="false" outlineLevel="0" collapsed="false">
      <c r="A1469" s="24" t="n">
        <v>46276.6770833333</v>
      </c>
      <c r="B1469" s="10" t="n">
        <v>4.3131</v>
      </c>
      <c r="C1469" s="10" t="n">
        <v>2.7905</v>
      </c>
      <c r="D1469" s="10" t="n">
        <f aca="false">IF(OR(B1469="",C1469="",B1469&lt;=0.05,C1469&lt;=0.05),0,1)</f>
        <v>1</v>
      </c>
      <c r="E1469" s="25" t="n">
        <f aca="false">IF(OR(A1469&lt;Resumen!$B$6,A1469&gt;=Resumen!$B$7),0,MAX(0,AVERAGEIFS(B1421:B1517,D1421:D1517,1)-Resumen!$B$5*AVERAGEIFS(C1421:C1517,D1421:D1517,1)))</f>
        <v>0.655849513402062</v>
      </c>
      <c r="F1469" s="10" t="n">
        <f aca="false">IF(B1469="","",(B1469-E1469)/Resumen!$B$5)</f>
        <v>2.90488521572513</v>
      </c>
      <c r="G1469" s="10" t="n">
        <f aca="false">IF(OR(F1469="",C1469=""),0,(F1469-C1469)*0.9)</f>
        <v>0.102946694152617</v>
      </c>
      <c r="H1469" s="26" t="n">
        <f aca="false">IF(A1469&lt;Resumen!$B$11,"",IF(H1468="",0,H1468)+G1469/Resumen!$B$9)</f>
        <v>1.26256565039349</v>
      </c>
      <c r="I1469" s="26" t="n">
        <f aca="false">IF(H1469="","",H1469-AVERAGE(H1421:H1517))</f>
        <v>0.0308431089295054</v>
      </c>
      <c r="J1469" s="27" t="n">
        <f aca="false">IF(I1469="","",Resumen!$B$10-(MAX(I1421:I1517)-I1469))</f>
        <v>1.81730825999152</v>
      </c>
    </row>
    <row r="1470" customFormat="false" ht="15" hidden="false" customHeight="false" outlineLevel="0" collapsed="false">
      <c r="A1470" s="24" t="n">
        <v>46276.6875</v>
      </c>
      <c r="B1470" s="10" t="n">
        <v>4.4257</v>
      </c>
      <c r="C1470" s="10" t="n">
        <v>3.6036</v>
      </c>
      <c r="D1470" s="10" t="n">
        <f aca="false">IF(OR(B1470="",C1470="",B1470&lt;=0.05,C1470&lt;=0.05),0,1)</f>
        <v>1</v>
      </c>
      <c r="E1470" s="25" t="n">
        <f aca="false">IF(OR(A1470&lt;Resumen!$B$6,A1470&gt;=Resumen!$B$7),0,MAX(0,AVERAGEIFS(B1422:B1518,D1422:D1518,1)-Resumen!$B$5*AVERAGEIFS(C1422:C1518,D1422:D1518,1)))</f>
        <v>0.651768694845361</v>
      </c>
      <c r="F1470" s="10" t="n">
        <f aca="false">IF(B1470="","",(B1470-E1470)/Resumen!$B$5)</f>
        <v>2.99756259345086</v>
      </c>
      <c r="G1470" s="10" t="n">
        <f aca="false">IF(OR(F1470="",C1470=""),0,(F1470-C1470)*0.9)</f>
        <v>-0.545433665894222</v>
      </c>
      <c r="H1470" s="26" t="n">
        <f aca="false">IF(A1470&lt;Resumen!$B$11,"",IF(H1469="",0,H1469)+G1470/Resumen!$B$9)</f>
        <v>1.23678360650271</v>
      </c>
      <c r="I1470" s="26" t="n">
        <f aca="false">IF(H1470="","",H1470-AVERAGE(H1422:H1518))</f>
        <v>0.00594479233763434</v>
      </c>
      <c r="J1470" s="27" t="n">
        <f aca="false">IF(I1470="","",Resumen!$B$10-(MAX(I1422:I1518)-I1470))</f>
        <v>1.79240994339965</v>
      </c>
    </row>
    <row r="1471" customFormat="false" ht="15" hidden="false" customHeight="false" outlineLevel="0" collapsed="false">
      <c r="A1471" s="24" t="n">
        <v>46276.6979166667</v>
      </c>
      <c r="B1471" s="10" t="n">
        <v>5.3843</v>
      </c>
      <c r="C1471" s="10" t="n">
        <v>3.0304</v>
      </c>
      <c r="D1471" s="10" t="n">
        <f aca="false">IF(OR(B1471="",C1471="",B1471&lt;=0.05,C1471&lt;=0.05),0,1)</f>
        <v>1</v>
      </c>
      <c r="E1471" s="25" t="n">
        <f aca="false">IF(OR(A1471&lt;Resumen!$B$6,A1471&gt;=Resumen!$B$7),0,MAX(0,AVERAGEIFS(B1423:B1519,D1423:D1519,1)-Resumen!$B$5*AVERAGEIFS(C1423:C1519,D1423:D1519,1)))</f>
        <v>0.660480052577319</v>
      </c>
      <c r="F1471" s="10" t="n">
        <f aca="false">IF(B1471="","",(B1471-E1471)/Resumen!$B$5)</f>
        <v>3.75204126085995</v>
      </c>
      <c r="G1471" s="10" t="n">
        <f aca="false">IF(OR(F1471="",C1471=""),0,(F1471-C1471)*0.9)</f>
        <v>0.649477134773958</v>
      </c>
      <c r="H1471" s="26" t="n">
        <f aca="false">IF(A1471&lt;Resumen!$B$11,"",IF(H1470="",0,H1470)+G1471/Resumen!$B$9)</f>
        <v>1.26748366966685</v>
      </c>
      <c r="I1471" s="26" t="n">
        <f aca="false">IF(H1471="","",H1471-AVERAGE(H1423:H1519))</f>
        <v>0.0372667251257626</v>
      </c>
      <c r="J1471" s="27" t="n">
        <f aca="false">IF(I1471="","",Resumen!$B$10-(MAX(I1423:I1519)-I1471))</f>
        <v>1.82373187618778</v>
      </c>
    </row>
    <row r="1472" customFormat="false" ht="15" hidden="false" customHeight="false" outlineLevel="0" collapsed="false">
      <c r="A1472" s="24" t="n">
        <v>46276.7083333333</v>
      </c>
      <c r="B1472" s="10" t="n">
        <v>3.9238</v>
      </c>
      <c r="C1472" s="10" t="n">
        <v>3.2309</v>
      </c>
      <c r="D1472" s="10" t="n">
        <f aca="false">IF(OR(B1472="",C1472="",B1472&lt;=0.05,C1472&lt;=0.05),0,1)</f>
        <v>1</v>
      </c>
      <c r="E1472" s="25" t="n">
        <f aca="false">IF(OR(A1472&lt;Resumen!$B$6,A1472&gt;=Resumen!$B$7),0,MAX(0,AVERAGEIFS(B1424:B1520,D1424:D1520,1)-Resumen!$B$5*AVERAGEIFS(C1424:C1520,D1424:D1520,1)))</f>
        <v>0.661039739175258</v>
      </c>
      <c r="F1472" s="10" t="n">
        <f aca="false">IF(B1472="","",(B1472-E1472)/Resumen!$B$5)</f>
        <v>2.59154905546048</v>
      </c>
      <c r="G1472" s="10" t="n">
        <f aca="false">IF(OR(F1472="",C1472=""),0,(F1472-C1472)*0.9)</f>
        <v>-0.57541585008557</v>
      </c>
      <c r="H1472" s="26" t="n">
        <f aca="false">IF(A1472&lt;Resumen!$B$11,"",IF(H1471="",0,H1471)+G1472/Resumen!$B$9)</f>
        <v>1.24028440121312</v>
      </c>
      <c r="I1472" s="26" t="n">
        <f aca="false">IF(H1472="","",H1472-AVERAGE(H1424:H1520))</f>
        <v>0.0106992186204111</v>
      </c>
      <c r="J1472" s="27" t="n">
        <f aca="false">IF(I1472="","",Resumen!$B$10-(MAX(I1424:I1520)-I1472))</f>
        <v>1.79716436968243</v>
      </c>
    </row>
    <row r="1473" customFormat="false" ht="15" hidden="false" customHeight="false" outlineLevel="0" collapsed="false">
      <c r="A1473" s="24" t="n">
        <v>46276.71875</v>
      </c>
      <c r="B1473" s="10" t="n">
        <v>4.1903</v>
      </c>
      <c r="C1473" s="10" t="n">
        <v>2.5621</v>
      </c>
      <c r="D1473" s="10" t="n">
        <f aca="false">IF(OR(B1473="",C1473="",B1473&lt;=0.05,C1473&lt;=0.05),0,1)</f>
        <v>1</v>
      </c>
      <c r="E1473" s="25" t="n">
        <f aca="false">IF(OR(A1473&lt;Resumen!$B$6,A1473&gt;=Resumen!$B$7),0,MAX(0,AVERAGEIFS(B1425:B1521,D1425:D1521,1)-Resumen!$B$5*AVERAGEIFS(C1425:C1521,D1425:D1521,1)))</f>
        <v>0.669630911340207</v>
      </c>
      <c r="F1473" s="10" t="n">
        <f aca="false">IF(B1473="","",(B1473-E1473)/Resumen!$B$5)</f>
        <v>2.79640118241445</v>
      </c>
      <c r="G1473" s="10" t="n">
        <f aca="false">IF(OR(F1473="",C1473=""),0,(F1473-C1473)*0.9)</f>
        <v>0.210871064173005</v>
      </c>
      <c r="H1473" s="26" t="n">
        <f aca="false">IF(A1473&lt;Resumen!$B$11,"",IF(H1472="",0,H1472)+G1473/Resumen!$B$9)</f>
        <v>1.2502520423247</v>
      </c>
      <c r="I1473" s="26" t="n">
        <f aca="false">IF(H1473="","",H1473-AVERAGE(H1425:H1521))</f>
        <v>0.0210421256920252</v>
      </c>
      <c r="J1473" s="27" t="n">
        <f aca="false">IF(I1473="","",Resumen!$B$10-(MAX(I1425:I1521)-I1473))</f>
        <v>1.80750727675404</v>
      </c>
    </row>
    <row r="1474" customFormat="false" ht="15" hidden="false" customHeight="false" outlineLevel="0" collapsed="false">
      <c r="A1474" s="24" t="n">
        <v>46276.7291666667</v>
      </c>
      <c r="B1474" s="10" t="n">
        <v>5.5436</v>
      </c>
      <c r="C1474" s="10" t="n">
        <v>2.855</v>
      </c>
      <c r="D1474" s="10" t="n">
        <f aca="false">IF(OR(B1474="",C1474="",B1474&lt;=0.05,C1474&lt;=0.05),0,1)</f>
        <v>1</v>
      </c>
      <c r="E1474" s="25" t="n">
        <f aca="false">IF(OR(A1474&lt;Resumen!$B$6,A1474&gt;=Resumen!$B$7),0,MAX(0,AVERAGEIFS(B1426:B1522,D1426:D1522,1)-Resumen!$B$5*AVERAGEIFS(C1426:C1522,D1426:D1522,1)))</f>
        <v>0.686595036082474</v>
      </c>
      <c r="F1474" s="10" t="n">
        <f aca="false">IF(B1474="","",(B1474-E1474)/Resumen!$B$5)</f>
        <v>3.85782761232528</v>
      </c>
      <c r="G1474" s="10" t="n">
        <f aca="false">IF(OR(F1474="",C1474=""),0,(F1474-C1474)*0.9)</f>
        <v>0.902544851092751</v>
      </c>
      <c r="H1474" s="26" t="n">
        <f aca="false">IF(A1474&lt;Resumen!$B$11,"",IF(H1473="",0,H1473)+G1474/Resumen!$B$9)</f>
        <v>1.29291433550405</v>
      </c>
      <c r="I1474" s="26" t="n">
        <f aca="false">IF(H1474="","",H1474-AVERAGE(H1426:H1522))</f>
        <v>0.0635348489379861</v>
      </c>
      <c r="J1474" s="27" t="n">
        <f aca="false">IF(I1474="","",Resumen!$B$10-(MAX(I1426:I1522)-I1474))</f>
        <v>1.85</v>
      </c>
    </row>
    <row r="1475" customFormat="false" ht="15" hidden="false" customHeight="false" outlineLevel="0" collapsed="false">
      <c r="A1475" s="24" t="n">
        <v>46276.7395833333</v>
      </c>
      <c r="B1475" s="10" t="n">
        <v>4.5326</v>
      </c>
      <c r="C1475" s="10" t="n">
        <v>3.2291</v>
      </c>
      <c r="D1475" s="10" t="n">
        <f aca="false">IF(OR(B1475="",C1475="",B1475&lt;=0.05,C1475&lt;=0.05),0,1)</f>
        <v>1</v>
      </c>
      <c r="E1475" s="25" t="n">
        <f aca="false">IF(OR(A1475&lt;Resumen!$B$6,A1475&gt;=Resumen!$B$7),0,MAX(0,AVERAGEIFS(B1427:B1523,D1427:D1523,1)-Resumen!$B$5*AVERAGEIFS(C1427:C1523,D1427:D1523,1)))</f>
        <v>0.684230956701031</v>
      </c>
      <c r="F1475" s="10" t="n">
        <f aca="false">IF(B1475="","",(B1475-E1475)/Resumen!$B$5)</f>
        <v>3.0566870876084</v>
      </c>
      <c r="G1475" s="10" t="n">
        <f aca="false">IF(OR(F1475="",C1475=""),0,(F1475-C1475)*0.9)</f>
        <v>-0.155171621152444</v>
      </c>
      <c r="H1475" s="26" t="n">
        <f aca="false">IF(A1475&lt;Resumen!$B$11,"",IF(H1474="",0,H1474)+G1475/Resumen!$B$9)</f>
        <v>1.28557954523107</v>
      </c>
      <c r="I1475" s="26" t="n">
        <f aca="false">IF(H1475="","",H1475-AVERAGE(H1427:H1523))</f>
        <v>0.0561278848279196</v>
      </c>
      <c r="J1475" s="27" t="n">
        <f aca="false">IF(I1475="","",Resumen!$B$10-(MAX(I1427:I1523)-I1475))</f>
        <v>1.84259303588993</v>
      </c>
    </row>
    <row r="1476" customFormat="false" ht="15" hidden="false" customHeight="false" outlineLevel="0" collapsed="false">
      <c r="A1476" s="24" t="n">
        <v>46276.75</v>
      </c>
      <c r="B1476" s="10" t="n">
        <v>3.8229</v>
      </c>
      <c r="C1476" s="10" t="n">
        <v>2.5563</v>
      </c>
      <c r="D1476" s="10" t="n">
        <f aca="false">IF(OR(B1476="",C1476="",B1476&lt;=0.05,C1476&lt;=0.05),0,1)</f>
        <v>1</v>
      </c>
      <c r="E1476" s="25" t="n">
        <f aca="false">IF(OR(A1476&lt;Resumen!$B$6,A1476&gt;=Resumen!$B$7),0,MAX(0,AVERAGEIFS(B1428:B1524,D1428:D1524,1)-Resumen!$B$5*AVERAGEIFS(C1428:C1524,D1428:D1524,1)))</f>
        <v>0.69948694329897</v>
      </c>
      <c r="F1476" s="10" t="n">
        <f aca="false">IF(B1476="","",(B1476-E1476)/Resumen!$B$5)</f>
        <v>2.48086819436142</v>
      </c>
      <c r="G1476" s="10" t="n">
        <f aca="false">IF(OR(F1476="",C1476=""),0,(F1476-C1476)*0.9)</f>
        <v>-0.0678886250747199</v>
      </c>
      <c r="H1476" s="26" t="n">
        <f aca="false">IF(A1476&lt;Resumen!$B$11,"",IF(H1475="",0,H1475)+G1476/Resumen!$B$9)</f>
        <v>1.28237052528821</v>
      </c>
      <c r="I1476" s="26" t="n">
        <f aca="false">IF(H1476="","",H1476-AVERAGE(H1428:H1524))</f>
        <v>0.052352004300622</v>
      </c>
      <c r="J1476" s="27" t="n">
        <f aca="false">IF(I1476="","",Resumen!$B$10-(MAX(I1428:I1524)-I1476))</f>
        <v>1.82964518677763</v>
      </c>
    </row>
    <row r="1477" customFormat="false" ht="15" hidden="false" customHeight="false" outlineLevel="0" collapsed="false">
      <c r="A1477" s="24" t="n">
        <v>46276.7604166667</v>
      </c>
      <c r="B1477" s="10" t="n">
        <v>3.4798</v>
      </c>
      <c r="C1477" s="10" t="n">
        <v>2.3112</v>
      </c>
      <c r="D1477" s="10" t="n">
        <f aca="false">IF(OR(B1477="",C1477="",B1477&lt;=0.05,C1477&lt;=0.05),0,1)</f>
        <v>1</v>
      </c>
      <c r="E1477" s="25" t="n">
        <f aca="false">IF(OR(A1477&lt;Resumen!$B$6,A1477&gt;=Resumen!$B$7),0,MAX(0,AVERAGEIFS(B1429:B1525,D1429:D1525,1)-Resumen!$B$5*AVERAGEIFS(C1429:C1525,D1429:D1525,1)))</f>
        <v>0.701716903092784</v>
      </c>
      <c r="F1477" s="10" t="n">
        <f aca="false">IF(B1477="","",(B1477-E1477)/Resumen!$B$5)</f>
        <v>2.20657910794854</v>
      </c>
      <c r="G1477" s="10" t="n">
        <f aca="false">IF(OR(F1477="",C1477=""),0,(F1477-C1477)*0.9)</f>
        <v>-0.0941588028463112</v>
      </c>
      <c r="H1477" s="26" t="n">
        <f aca="false">IF(A1477&lt;Resumen!$B$11,"",IF(H1476="",0,H1476)+G1477/Resumen!$B$9)</f>
        <v>1.2779197432051</v>
      </c>
      <c r="I1477" s="26" t="n">
        <f aca="false">IF(H1477="","",H1477-AVERAGE(H1429:H1525))</f>
        <v>0.0472781459817198</v>
      </c>
      <c r="J1477" s="27" t="n">
        <f aca="false">IF(I1477="","",Resumen!$B$10-(MAX(I1429:I1525)-I1477))</f>
        <v>1.81669467466027</v>
      </c>
    </row>
    <row r="1478" customFormat="false" ht="15" hidden="false" customHeight="false" outlineLevel="0" collapsed="false">
      <c r="A1478" s="24" t="n">
        <v>46276.7708333333</v>
      </c>
      <c r="B1478" s="10" t="n">
        <v>3.2544</v>
      </c>
      <c r="C1478" s="10" t="n">
        <v>2.0806</v>
      </c>
      <c r="D1478" s="10" t="n">
        <f aca="false">IF(OR(B1478="",C1478="",B1478&lt;=0.05,C1478&lt;=0.05),0,1)</f>
        <v>1</v>
      </c>
      <c r="E1478" s="25" t="n">
        <f aca="false">IF(OR(A1478&lt;Resumen!$B$6,A1478&gt;=Resumen!$B$7),0,MAX(0,AVERAGEIFS(B1430:B1526,D1430:D1526,1)-Resumen!$B$5*AVERAGEIFS(C1430:C1526,D1430:D1526,1)))</f>
        <v>0.712376930927836</v>
      </c>
      <c r="F1478" s="10" t="n">
        <f aca="false">IF(B1478="","",(B1478-E1478)/Resumen!$B$5)</f>
        <v>2.01908107154262</v>
      </c>
      <c r="G1478" s="10" t="n">
        <f aca="false">IF(OR(F1478="",C1478=""),0,(F1478-C1478)*0.9)</f>
        <v>-0.0553670356116379</v>
      </c>
      <c r="H1478" s="26" t="n">
        <f aca="false">IF(A1478&lt;Resumen!$B$11,"",IF(H1477="",0,H1477)+G1478/Resumen!$B$9)</f>
        <v>1.27530260489572</v>
      </c>
      <c r="I1478" s="26" t="n">
        <f aca="false">IF(H1478="","",H1478-AVERAGE(H1430:H1526))</f>
        <v>0.0437016200349349</v>
      </c>
      <c r="J1478" s="27" t="n">
        <f aca="false">IF(I1478="","",Resumen!$B$10-(MAX(I1430:I1526)-I1478))</f>
        <v>1.78269094300138</v>
      </c>
    </row>
    <row r="1479" customFormat="false" ht="15" hidden="false" customHeight="false" outlineLevel="0" collapsed="false">
      <c r="A1479" s="24" t="n">
        <v>46276.78125</v>
      </c>
      <c r="B1479" s="10" t="n">
        <v>3.438</v>
      </c>
      <c r="C1479" s="10" t="n">
        <v>2.7633</v>
      </c>
      <c r="D1479" s="10" t="n">
        <f aca="false">IF(OR(B1479="",C1479="",B1479&lt;=0.05,C1479&lt;=0.05),0,1)</f>
        <v>1</v>
      </c>
      <c r="E1479" s="25" t="n">
        <f aca="false">IF(OR(A1479&lt;Resumen!$B$6,A1479&gt;=Resumen!$B$7),0,MAX(0,AVERAGEIFS(B1431:B1527,D1431:D1527,1)-Resumen!$B$5*AVERAGEIFS(C1431:C1527,D1431:D1527,1)))</f>
        <v>0.71780605257732</v>
      </c>
      <c r="F1479" s="10" t="n">
        <f aca="false">IF(B1479="","",(B1479-E1479)/Resumen!$B$5)</f>
        <v>2.16059884624518</v>
      </c>
      <c r="G1479" s="10" t="n">
        <f aca="false">IF(OR(F1479="",C1479=""),0,(F1479-C1479)*0.9)</f>
        <v>-0.542431038379339</v>
      </c>
      <c r="H1479" s="26" t="n">
        <f aca="false">IF(A1479&lt;Resumen!$B$11,"",IF(H1478="",0,H1478)+G1479/Resumen!$B$9)</f>
        <v>1.2496624918743</v>
      </c>
      <c r="I1479" s="26" t="n">
        <f aca="false">IF(H1479="","",H1479-AVERAGE(H1431:H1527))</f>
        <v>0.0169410363290063</v>
      </c>
      <c r="J1479" s="27" t="n">
        <f aca="false">IF(I1479="","",Resumen!$B$10-(MAX(I1431:I1527)-I1479))</f>
        <v>1.73683015251117</v>
      </c>
    </row>
    <row r="1480" customFormat="false" ht="15" hidden="false" customHeight="false" outlineLevel="0" collapsed="false">
      <c r="A1480" s="24" t="n">
        <v>46276.7916666667</v>
      </c>
      <c r="B1480" s="10" t="n">
        <v>4.1443</v>
      </c>
      <c r="C1480" s="10" t="n">
        <v>2.7888</v>
      </c>
      <c r="D1480" s="10" t="n">
        <f aca="false">IF(OR(B1480="",C1480="",B1480&lt;=0.05,C1480&lt;=0.05),0,1)</f>
        <v>1</v>
      </c>
      <c r="E1480" s="25" t="n">
        <f aca="false">IF(OR(A1480&lt;Resumen!$B$6,A1480&gt;=Resumen!$B$7),0,MAX(0,AVERAGEIFS(B1432:B1528,D1432:D1528,1)-Resumen!$B$5*AVERAGEIFS(C1432:C1528,D1432:D1528,1)))</f>
        <v>0.724375237113403</v>
      </c>
      <c r="F1480" s="10" t="n">
        <f aca="false">IF(B1480="","",(B1480-E1480)/Resumen!$B$5)</f>
        <v>2.71638186091072</v>
      </c>
      <c r="G1480" s="10" t="n">
        <f aca="false">IF(OR(F1480="",C1480=""),0,(F1480-C1480)*0.9)</f>
        <v>-0.0651763251803508</v>
      </c>
      <c r="H1480" s="26" t="n">
        <f aca="false">IF(A1480&lt;Resumen!$B$11,"",IF(H1479="",0,H1479)+G1480/Resumen!$B$9)</f>
        <v>1.24658167933647</v>
      </c>
      <c r="I1480" s="26" t="n">
        <f aca="false">IF(H1480="","",H1480-AVERAGE(H1432:H1528))</f>
        <v>0.0125486748265187</v>
      </c>
      <c r="J1480" s="27" t="n">
        <f aca="false">IF(I1480="","",Resumen!$B$10-(MAX(I1432:I1528)-I1480))</f>
        <v>1.71929501304748</v>
      </c>
    </row>
    <row r="1481" customFormat="false" ht="15" hidden="false" customHeight="false" outlineLevel="0" collapsed="false">
      <c r="A1481" s="24" t="n">
        <v>46276.8020833333</v>
      </c>
      <c r="B1481" s="10" t="n">
        <v>3.7982</v>
      </c>
      <c r="C1481" s="10" t="n">
        <v>2.5899</v>
      </c>
      <c r="D1481" s="10" t="n">
        <f aca="false">IF(OR(B1481="",C1481="",B1481&lt;=0.05,C1481&lt;=0.05),0,1)</f>
        <v>1</v>
      </c>
      <c r="E1481" s="25" t="n">
        <f aca="false">IF(OR(A1481&lt;Resumen!$B$6,A1481&gt;=Resumen!$B$7),0,MAX(0,AVERAGEIFS(B1433:B1529,D1433:D1529,1)-Resumen!$B$5*AVERAGEIFS(C1433:C1529,D1433:D1529,1)))</f>
        <v>0.71789614742268</v>
      </c>
      <c r="F1481" s="10" t="n">
        <f aca="false">IF(B1481="","",(B1481-E1481)/Resumen!$B$5)</f>
        <v>2.44662736503361</v>
      </c>
      <c r="G1481" s="10" t="n">
        <f aca="false">IF(OR(F1481="",C1481=""),0,(F1481-C1481)*0.9)</f>
        <v>-0.128945371469748</v>
      </c>
      <c r="H1481" s="26" t="n">
        <f aca="false">IF(A1481&lt;Resumen!$B$11,"",IF(H1480="",0,H1480)+G1481/Resumen!$B$9)</f>
        <v>1.24048657477175</v>
      </c>
      <c r="I1481" s="26" t="n">
        <f aca="false">IF(H1481="","",H1481-AVERAGE(H1433:H1529))</f>
        <v>0.00538867374245644</v>
      </c>
      <c r="J1481" s="27" t="n">
        <f aca="false">IF(I1481="","",Resumen!$B$10-(MAX(I1433:I1529)-I1481))</f>
        <v>1.71213501196342</v>
      </c>
    </row>
    <row r="1482" customFormat="false" ht="15" hidden="false" customHeight="false" outlineLevel="0" collapsed="false">
      <c r="A1482" s="24" t="n">
        <v>46276.8125</v>
      </c>
      <c r="B1482" s="10" t="n">
        <v>4.1717</v>
      </c>
      <c r="C1482" s="10" t="n">
        <v>2.8724</v>
      </c>
      <c r="D1482" s="10" t="n">
        <f aca="false">IF(OR(B1482="",C1482="",B1482&lt;=0.05,C1482&lt;=0.05),0,1)</f>
        <v>1</v>
      </c>
      <c r="E1482" s="25" t="n">
        <f aca="false">IF(OR(A1482&lt;Resumen!$B$6,A1482&gt;=Resumen!$B$7),0,MAX(0,AVERAGEIFS(B1434:B1530,D1434:D1530,1)-Resumen!$B$5*AVERAGEIFS(C1434:C1530,D1434:D1530,1)))</f>
        <v>0.712237379381445</v>
      </c>
      <c r="F1482" s="10" t="n">
        <f aca="false">IF(B1482="","",(B1482-E1482)/Resumen!$B$5)</f>
        <v>2.74778603702824</v>
      </c>
      <c r="G1482" s="10" t="n">
        <f aca="false">IF(OR(F1482="",C1482=""),0,(F1482-C1482)*0.9)</f>
        <v>-0.112152566674583</v>
      </c>
      <c r="H1482" s="26" t="n">
        <f aca="false">IF(A1482&lt;Resumen!$B$11,"",IF(H1481="",0,H1481)+G1482/Resumen!$B$9)</f>
        <v>1.23518524744768</v>
      </c>
      <c r="I1482" s="26" t="n">
        <f aca="false">IF(H1482="","",H1482-AVERAGE(H1434:H1530))</f>
        <v>-0.000759412710382046</v>
      </c>
      <c r="J1482" s="27" t="n">
        <f aca="false">IF(I1482="","",Resumen!$B$10-(MAX(I1434:I1530)-I1482))</f>
        <v>1.70598692551058</v>
      </c>
    </row>
    <row r="1483" customFormat="false" ht="15" hidden="false" customHeight="false" outlineLevel="0" collapsed="false">
      <c r="A1483" s="24" t="n">
        <v>46276.8229166667</v>
      </c>
      <c r="B1483" s="10" t="n">
        <v>3.469</v>
      </c>
      <c r="C1483" s="10" t="n">
        <v>2.3484</v>
      </c>
      <c r="D1483" s="10" t="n">
        <f aca="false">IF(OR(B1483="",C1483="",B1483&lt;=0.05,C1483&lt;=0.05),0,1)</f>
        <v>1</v>
      </c>
      <c r="E1483" s="25" t="n">
        <f aca="false">IF(OR(A1483&lt;Resumen!$B$6,A1483&gt;=Resumen!$B$7),0,MAX(0,AVERAGEIFS(B1435:B1531,D1435:D1531,1)-Resumen!$B$5*AVERAGEIFS(C1435:C1531,D1435:D1531,1)))</f>
        <v>0.712189995876289</v>
      </c>
      <c r="F1483" s="10" t="n">
        <f aca="false">IF(B1483="","",(B1483-E1483)/Resumen!$B$5)</f>
        <v>2.18968229080517</v>
      </c>
      <c r="G1483" s="10" t="n">
        <f aca="false">IF(OR(F1483="",C1483=""),0,(F1483-C1483)*0.9)</f>
        <v>-0.142845938275346</v>
      </c>
      <c r="H1483" s="26" t="n">
        <f aca="false">IF(A1483&lt;Resumen!$B$11,"",IF(H1482="",0,H1482)+G1483/Resumen!$B$9)</f>
        <v>1.22843307852134</v>
      </c>
      <c r="I1483" s="26" t="n">
        <f aca="false">IF(H1483="","",H1483-AVERAGE(H1435:H1531))</f>
        <v>-0.00833275146788726</v>
      </c>
      <c r="J1483" s="27" t="n">
        <f aca="false">IF(I1483="","",Resumen!$B$10-(MAX(I1435:I1531)-I1483))</f>
        <v>1.69841358675308</v>
      </c>
    </row>
    <row r="1484" customFormat="false" ht="15" hidden="false" customHeight="false" outlineLevel="0" collapsed="false">
      <c r="A1484" s="24" t="n">
        <v>46276.8333333333</v>
      </c>
      <c r="B1484" s="10" t="n">
        <v>3.285</v>
      </c>
      <c r="C1484" s="10" t="n">
        <v>2.4941</v>
      </c>
      <c r="D1484" s="10" t="n">
        <f aca="false">IF(OR(B1484="",C1484="",B1484&lt;=0.05,C1484&lt;=0.05),0,1)</f>
        <v>1</v>
      </c>
      <c r="E1484" s="25" t="n">
        <f aca="false">IF(OR(A1484&lt;Resumen!$B$6,A1484&gt;=Resumen!$B$7),0,MAX(0,AVERAGEIFS(B1436:B1532,D1436:D1532,1)-Resumen!$B$5*AVERAGEIFS(C1436:C1532,D1436:D1532,1)))</f>
        <v>0.712721971134021</v>
      </c>
      <c r="F1484" s="10" t="n">
        <f aca="false">IF(B1484="","",(B1484-E1484)/Resumen!$B$5)</f>
        <v>2.04311201657346</v>
      </c>
      <c r="G1484" s="10" t="n">
        <f aca="false">IF(OR(F1484="",C1484=""),0,(F1484-C1484)*0.9)</f>
        <v>-0.405889185083891</v>
      </c>
      <c r="H1484" s="26" t="n">
        <f aca="false">IF(A1484&lt;Resumen!$B$11,"",IF(H1483="",0,H1483)+G1484/Resumen!$B$9)</f>
        <v>1.20924714732754</v>
      </c>
      <c r="I1484" s="26" t="n">
        <f aca="false">IF(H1484="","",H1484-AVERAGE(H1436:H1532))</f>
        <v>-0.028332454093406</v>
      </c>
      <c r="J1484" s="27" t="n">
        <f aca="false">IF(I1484="","",Resumen!$B$10-(MAX(I1436:I1532)-I1484))</f>
        <v>1.67841388412756</v>
      </c>
    </row>
    <row r="1485" customFormat="false" ht="15" hidden="false" customHeight="false" outlineLevel="0" collapsed="false">
      <c r="A1485" s="24" t="n">
        <v>46276.84375</v>
      </c>
      <c r="B1485" s="10" t="n">
        <v>3.5386</v>
      </c>
      <c r="C1485" s="10" t="n">
        <v>2.1218</v>
      </c>
      <c r="D1485" s="10" t="n">
        <f aca="false">IF(OR(B1485="",C1485="",B1485&lt;=0.05,C1485&lt;=0.05),0,1)</f>
        <v>1</v>
      </c>
      <c r="E1485" s="25" t="n">
        <f aca="false">IF(OR(A1485&lt;Resumen!$B$6,A1485&gt;=Resumen!$B$7),0,MAX(0,AVERAGEIFS(B1437:B1533,D1437:D1533,1)-Resumen!$B$5*AVERAGEIFS(C1437:C1533,D1437:D1533,1)))</f>
        <v>0.704245770103093</v>
      </c>
      <c r="F1485" s="10" t="n">
        <f aca="false">IF(B1485="","",(B1485-E1485)/Resumen!$B$5)</f>
        <v>2.25127420960835</v>
      </c>
      <c r="G1485" s="10" t="n">
        <f aca="false">IF(OR(F1485="",C1485=""),0,(F1485-C1485)*0.9)</f>
        <v>0.116526788647511</v>
      </c>
      <c r="H1485" s="26" t="n">
        <f aca="false">IF(A1485&lt;Resumen!$B$11,"",IF(H1484="",0,H1484)+G1485/Resumen!$B$9)</f>
        <v>1.21475523926836</v>
      </c>
      <c r="I1485" s="26" t="n">
        <f aca="false">IF(H1485="","",H1485-AVERAGE(H1437:H1533))</f>
        <v>-0.0233237697869899</v>
      </c>
      <c r="J1485" s="27" t="n">
        <f aca="false">IF(I1485="","",Resumen!$B$10-(MAX(I1437:I1533)-I1485))</f>
        <v>1.68342256843398</v>
      </c>
    </row>
    <row r="1486" customFormat="false" ht="15" hidden="false" customHeight="false" outlineLevel="0" collapsed="false">
      <c r="A1486" s="24" t="n">
        <v>46276.8541666667</v>
      </c>
      <c r="B1486" s="10" t="n">
        <v>3.5722</v>
      </c>
      <c r="C1486" s="10" t="n">
        <v>2.3382</v>
      </c>
      <c r="D1486" s="10" t="n">
        <f aca="false">IF(OR(B1486="",C1486="",B1486&lt;=0.05,C1486&lt;=0.05),0,1)</f>
        <v>1</v>
      </c>
      <c r="E1486" s="25" t="n">
        <f aca="false">IF(OR(A1486&lt;Resumen!$B$6,A1486&gt;=Resumen!$B$7),0,MAX(0,AVERAGEIFS(B1438:B1534,D1438:D1534,1)-Resumen!$B$5*AVERAGEIFS(C1438:C1534,D1438:D1534,1)))</f>
        <v>0.715640509278351</v>
      </c>
      <c r="F1486" s="10" t="n">
        <f aca="false">IF(B1486="","",(B1486-E1486)/Resumen!$B$5)</f>
        <v>2.26891143027931</v>
      </c>
      <c r="G1486" s="10" t="n">
        <f aca="false">IF(OR(F1486="",C1486=""),0,(F1486-C1486)*0.9)</f>
        <v>-0.0623597127486226</v>
      </c>
      <c r="H1486" s="26" t="n">
        <f aca="false">IF(A1486&lt;Resumen!$B$11,"",IF(H1485="",0,H1485)+G1486/Resumen!$B$9)</f>
        <v>1.21180756487341</v>
      </c>
      <c r="I1486" s="26" t="n">
        <f aca="false">IF(H1486="","",H1486-AVERAGE(H1438:H1534))</f>
        <v>-0.0271284969985557</v>
      </c>
      <c r="J1486" s="27" t="n">
        <f aca="false">IF(I1486="","",Resumen!$B$10-(MAX(I1438:I1534)-I1486))</f>
        <v>1.67961784122241</v>
      </c>
    </row>
    <row r="1487" customFormat="false" ht="15" hidden="false" customHeight="false" outlineLevel="0" collapsed="false">
      <c r="A1487" s="24" t="n">
        <v>46276.8645833333</v>
      </c>
      <c r="B1487" s="10" t="n">
        <v>3.7278</v>
      </c>
      <c r="C1487" s="10" t="n">
        <v>2.3676</v>
      </c>
      <c r="D1487" s="10" t="n">
        <f aca="false">IF(OR(B1487="",C1487="",B1487&lt;=0.05,C1487&lt;=0.05),0,1)</f>
        <v>1</v>
      </c>
      <c r="E1487" s="25" t="n">
        <f aca="false">IF(OR(A1487&lt;Resumen!$B$6,A1487&gt;=Resumen!$B$7),0,MAX(0,AVERAGEIFS(B1439:B1535,D1439:D1535,1)-Resumen!$B$5*AVERAGEIFS(C1439:C1535,D1439:D1535,1)))</f>
        <v>0.7065901</v>
      </c>
      <c r="F1487" s="10" t="n">
        <f aca="false">IF(B1487="","",(B1487-E1487)/Resumen!$B$5)</f>
        <v>2.39969015091342</v>
      </c>
      <c r="G1487" s="10" t="n">
        <f aca="false">IF(OR(F1487="",C1487=""),0,(F1487-C1487)*0.9)</f>
        <v>0.0288811358220813</v>
      </c>
      <c r="H1487" s="26" t="n">
        <f aca="false">IF(A1487&lt;Resumen!$B$11,"",IF(H1486="",0,H1486)+G1487/Resumen!$B$9)</f>
        <v>1.21317274410223</v>
      </c>
      <c r="I1487" s="26" t="n">
        <f aca="false">IF(H1487="","",H1487-AVERAGE(H1439:H1535))</f>
        <v>-0.0262898860431244</v>
      </c>
      <c r="J1487" s="27" t="n">
        <f aca="false">IF(I1487="","",Resumen!$B$10-(MAX(I1439:I1535)-I1487))</f>
        <v>1.68045645217784</v>
      </c>
    </row>
    <row r="1488" customFormat="false" ht="15" hidden="false" customHeight="false" outlineLevel="0" collapsed="false">
      <c r="A1488" s="24" t="n">
        <v>46276.875</v>
      </c>
      <c r="B1488" s="10" t="n">
        <v>3.6379</v>
      </c>
      <c r="C1488" s="10" t="n">
        <v>2.2819</v>
      </c>
      <c r="D1488" s="10" t="n">
        <f aca="false">IF(OR(B1488="",C1488="",B1488&lt;=0.05,C1488&lt;=0.05),0,1)</f>
        <v>1</v>
      </c>
      <c r="E1488" s="25" t="n">
        <f aca="false">IF(OR(A1488&lt;Resumen!$B$6,A1488&gt;=Resumen!$B$7),0,MAX(0,AVERAGEIFS(B1440:B1536,D1440:D1536,1)-Resumen!$B$5*AVERAGEIFS(C1440:C1536,D1440:D1536,1)))</f>
        <v>0.707322006185567</v>
      </c>
      <c r="F1488" s="10" t="n">
        <f aca="false">IF(B1488="","",(B1488-E1488)/Resumen!$B$5)</f>
        <v>2.32770293392727</v>
      </c>
      <c r="G1488" s="10" t="n">
        <f aca="false">IF(OR(F1488="",C1488=""),0,(F1488-C1488)*0.9)</f>
        <v>0.0412226405345437</v>
      </c>
      <c r="H1488" s="26" t="n">
        <f aca="false">IF(A1488&lt;Resumen!$B$11,"",IF(H1487="",0,H1487)+G1488/Resumen!$B$9)</f>
        <v>1.21512129255828</v>
      </c>
      <c r="I1488" s="26" t="n">
        <f aca="false">IF(H1488="","",H1488-AVERAGE(H1440:H1536))</f>
        <v>-0.0248682791225527</v>
      </c>
      <c r="J1488" s="27" t="n">
        <f aca="false">IF(I1488="","",Resumen!$B$10-(MAX(I1440:I1536)-I1488))</f>
        <v>1.68187805909841</v>
      </c>
    </row>
    <row r="1489" customFormat="false" ht="15" hidden="false" customHeight="false" outlineLevel="0" collapsed="false">
      <c r="A1489" s="24" t="n">
        <v>46276.8854166667</v>
      </c>
      <c r="B1489" s="10" t="n">
        <v>3.625</v>
      </c>
      <c r="C1489" s="10" t="n">
        <v>2.8334</v>
      </c>
      <c r="D1489" s="10" t="n">
        <f aca="false">IF(OR(B1489="",C1489="",B1489&lt;=0.05,C1489&lt;=0.05),0,1)</f>
        <v>1</v>
      </c>
      <c r="E1489" s="25" t="n">
        <f aca="false">IF(OR(A1489&lt;Resumen!$B$6,A1489&gt;=Resumen!$B$7),0,MAX(0,AVERAGEIFS(B1441:B1537,D1441:D1537,1)-Resumen!$B$5*AVERAGEIFS(C1441:C1537,D1441:D1537,1)))</f>
        <v>0.702933097938145</v>
      </c>
      <c r="F1489" s="10" t="n">
        <f aca="false">IF(B1489="","",(B1489-E1489)/Resumen!$B$5)</f>
        <v>2.32094273396494</v>
      </c>
      <c r="G1489" s="10" t="n">
        <f aca="false">IF(OR(F1489="",C1489=""),0,(F1489-C1489)*0.9)</f>
        <v>-0.461211539431557</v>
      </c>
      <c r="H1489" s="26" t="n">
        <f aca="false">IF(A1489&lt;Resumen!$B$11,"",IF(H1488="",0,H1488)+G1489/Resumen!$B$9)</f>
        <v>1.19332033508885</v>
      </c>
      <c r="I1489" s="26" t="n">
        <f aca="false">IF(H1489="","",H1489-AVERAGE(H1441:H1537))</f>
        <v>-0.0470235736115876</v>
      </c>
      <c r="J1489" s="27" t="n">
        <f aca="false">IF(I1489="","",Resumen!$B$10-(MAX(I1441:I1537)-I1489))</f>
        <v>1.65972276460938</v>
      </c>
    </row>
    <row r="1490" customFormat="false" ht="15" hidden="false" customHeight="false" outlineLevel="0" collapsed="false">
      <c r="A1490" s="24" t="n">
        <v>46276.8958333333</v>
      </c>
      <c r="B1490" s="10" t="n">
        <v>3.3928</v>
      </c>
      <c r="C1490" s="10" t="n">
        <v>2.2857</v>
      </c>
      <c r="D1490" s="10" t="n">
        <f aca="false">IF(OR(B1490="",C1490="",B1490&lt;=0.05,C1490&lt;=0.05),0,1)</f>
        <v>1</v>
      </c>
      <c r="E1490" s="25" t="n">
        <f aca="false">IF(OR(A1490&lt;Resumen!$B$6,A1490&gt;=Resumen!$B$7),0,MAX(0,AVERAGEIFS(B1442:B1538,D1442:D1538,1)-Resumen!$B$5*AVERAGEIFS(C1442:C1538,D1442:D1538,1)))</f>
        <v>0.701645227835052</v>
      </c>
      <c r="F1490" s="10" t="n">
        <f aca="false">IF(B1490="","",(B1490-E1490)/Resumen!$B$5)</f>
        <v>2.13753357598487</v>
      </c>
      <c r="G1490" s="10" t="n">
        <f aca="false">IF(OR(F1490="",C1490=""),0,(F1490-C1490)*0.9)</f>
        <v>-0.133349781613619</v>
      </c>
      <c r="H1490" s="26" t="n">
        <f aca="false">IF(A1490&lt;Resumen!$B$11,"",IF(H1489="",0,H1489)+G1490/Resumen!$B$9)</f>
        <v>1.18701703894604</v>
      </c>
      <c r="I1490" s="26" t="n">
        <f aca="false">IF(H1490="","",H1490-AVERAGE(H1442:H1538))</f>
        <v>-0.053609317847509</v>
      </c>
      <c r="J1490" s="27" t="n">
        <f aca="false">IF(I1490="","",Resumen!$B$10-(MAX(I1442:I1538)-I1490))</f>
        <v>1.65313702037346</v>
      </c>
    </row>
    <row r="1491" customFormat="false" ht="15" hidden="false" customHeight="false" outlineLevel="0" collapsed="false">
      <c r="A1491" s="24" t="n">
        <v>46276.90625</v>
      </c>
      <c r="B1491" s="10" t="n">
        <v>3.3031</v>
      </c>
      <c r="C1491" s="10" t="n">
        <v>1.7588</v>
      </c>
      <c r="D1491" s="10" t="n">
        <f aca="false">IF(OR(B1491="",C1491="",B1491&lt;=0.05,C1491&lt;=0.05),0,1)</f>
        <v>1</v>
      </c>
      <c r="E1491" s="25" t="n">
        <f aca="false">IF(OR(A1491&lt;Resumen!$B$6,A1491&gt;=Resumen!$B$7),0,MAX(0,AVERAGEIFS(B1443:B1539,D1443:D1539,1)-Resumen!$B$5*AVERAGEIFS(C1443:C1539,D1443:D1539,1)))</f>
        <v>0.706528987628866</v>
      </c>
      <c r="F1491" s="10" t="n">
        <f aca="false">IF(B1491="","",(B1491-E1491)/Resumen!$B$5)</f>
        <v>2.06240747606921</v>
      </c>
      <c r="G1491" s="10" t="n">
        <f aca="false">IF(OR(F1491="",C1491=""),0,(F1491-C1491)*0.9)</f>
        <v>0.273246728462288</v>
      </c>
      <c r="H1491" s="26" t="n">
        <f aca="false">IF(A1491&lt;Resumen!$B$11,"",IF(H1490="",0,H1490)+G1491/Resumen!$B$9)</f>
        <v>1.19993310846419</v>
      </c>
      <c r="I1491" s="26" t="n">
        <f aca="false">IF(H1491="","",H1491-AVERAGE(H1443:H1539))</f>
        <v>-0.0411071431152092</v>
      </c>
      <c r="J1491" s="27" t="n">
        <f aca="false">IF(I1491="","",Resumen!$B$10-(MAX(I1443:I1539)-I1491))</f>
        <v>1.66563919510576</v>
      </c>
    </row>
    <row r="1492" customFormat="false" ht="15" hidden="false" customHeight="false" outlineLevel="0" collapsed="false">
      <c r="A1492" s="24" t="n">
        <v>46276.9166666667</v>
      </c>
      <c r="B1492" s="10" t="n">
        <v>3.204</v>
      </c>
      <c r="C1492" s="10" t="n">
        <v>1.9942</v>
      </c>
      <c r="D1492" s="10" t="n">
        <f aca="false">IF(OR(B1492="",C1492="",B1492&lt;=0.05,C1492&lt;=0.05),0,1)</f>
        <v>1</v>
      </c>
      <c r="E1492" s="25" t="n">
        <f aca="false">IF(OR(A1492&lt;Resumen!$B$6,A1492&gt;=Resumen!$B$7),0,MAX(0,AVERAGEIFS(B1444:B1540,D1444:D1540,1)-Resumen!$B$5*AVERAGEIFS(C1444:C1540,D1444:D1540,1)))</f>
        <v>0.725143720618557</v>
      </c>
      <c r="F1492" s="10" t="n">
        <f aca="false">IF(B1492="","",(B1492-E1492)/Resumen!$B$5)</f>
        <v>1.96890887957223</v>
      </c>
      <c r="G1492" s="10" t="n">
        <f aca="false">IF(OR(F1492="",C1492=""),0,(F1492-C1492)*0.9)</f>
        <v>-0.0227620083849887</v>
      </c>
      <c r="H1492" s="26" t="n">
        <f aca="false">IF(A1492&lt;Resumen!$B$11,"",IF(H1491="",0,H1491)+G1492/Resumen!$B$9)</f>
        <v>1.19885717359636</v>
      </c>
      <c r="I1492" s="26" t="n">
        <f aca="false">IF(H1492="","",H1492-AVERAGE(H1444:H1540))</f>
        <v>-0.0431967077567692</v>
      </c>
      <c r="J1492" s="27" t="n">
        <f aca="false">IF(I1492="","",Resumen!$B$10-(MAX(I1444:I1540)-I1492))</f>
        <v>1.6635496304642</v>
      </c>
    </row>
    <row r="1493" customFormat="false" ht="15" hidden="false" customHeight="false" outlineLevel="0" collapsed="false">
      <c r="A1493" s="24" t="n">
        <v>46276.9270833333</v>
      </c>
      <c r="B1493" s="10" t="n">
        <v>3.3094</v>
      </c>
      <c r="C1493" s="10" t="n">
        <v>2.0953</v>
      </c>
      <c r="D1493" s="10" t="n">
        <f aca="false">IF(OR(B1493="",C1493="",B1493&lt;=0.05,C1493&lt;=0.05),0,1)</f>
        <v>1</v>
      </c>
      <c r="E1493" s="25" t="n">
        <f aca="false">IF(OR(A1493&lt;Resumen!$B$6,A1493&gt;=Resumen!$B$7),0,MAX(0,AVERAGEIFS(B1445:B1541,D1445:D1541,1)-Resumen!$B$5*AVERAGEIFS(C1445:C1541,D1445:D1541,1)))</f>
        <v>0.729236891752578</v>
      </c>
      <c r="F1493" s="10" t="n">
        <f aca="false">IF(B1493="","",(B1493-E1493)/Resumen!$B$5)</f>
        <v>2.04937498669374</v>
      </c>
      <c r="G1493" s="10" t="n">
        <f aca="false">IF(OR(F1493="",C1493=""),0,(F1493-C1493)*0.9)</f>
        <v>-0.0413325119756313</v>
      </c>
      <c r="H1493" s="26" t="n">
        <f aca="false">IF(A1493&lt;Resumen!$B$11,"",IF(H1492="",0,H1492)+G1493/Resumen!$B$9)</f>
        <v>1.19690343163926</v>
      </c>
      <c r="I1493" s="26" t="n">
        <f aca="false">IF(H1493="","",H1493-AVERAGE(H1445:H1541))</f>
        <v>-0.046271254482158</v>
      </c>
      <c r="J1493" s="27" t="n">
        <f aca="false">IF(I1493="","",Resumen!$B$10-(MAX(I1445:I1541)-I1493))</f>
        <v>1.66047508373881</v>
      </c>
    </row>
    <row r="1494" customFormat="false" ht="15" hidden="false" customHeight="false" outlineLevel="0" collapsed="false">
      <c r="A1494" s="24" t="n">
        <v>46276.9375</v>
      </c>
      <c r="B1494" s="10" t="n">
        <v>3.0808</v>
      </c>
      <c r="C1494" s="10" t="n">
        <v>2.4703</v>
      </c>
      <c r="D1494" s="10" t="n">
        <f aca="false">IF(OR(B1494="",C1494="",B1494&lt;=0.05,C1494&lt;=0.05),0,1)</f>
        <v>1</v>
      </c>
      <c r="E1494" s="25" t="n">
        <f aca="false">IF(OR(A1494&lt;Resumen!$B$6,A1494&gt;=Resumen!$B$7),0,MAX(0,AVERAGEIFS(B1446:B1542,D1446:D1542,1)-Resumen!$B$5*AVERAGEIFS(C1446:C1542,D1446:D1542,1)))</f>
        <v>0.727451329896907</v>
      </c>
      <c r="F1494" s="10" t="n">
        <f aca="false">IF(B1494="","",(B1494-E1494)/Resumen!$B$5)</f>
        <v>1.8692205481359</v>
      </c>
      <c r="G1494" s="10" t="n">
        <f aca="false">IF(OR(F1494="",C1494=""),0,(F1494-C1494)*0.9)</f>
        <v>-0.540971506677693</v>
      </c>
      <c r="H1494" s="26" t="n">
        <f aca="false">IF(A1494&lt;Resumen!$B$11,"",IF(H1493="",0,H1493)+G1494/Resumen!$B$9)</f>
        <v>1.17133230906112</v>
      </c>
      <c r="I1494" s="26" t="n">
        <f aca="false">IF(H1494="","",H1494-AVERAGE(H1446:H1542))</f>
        <v>-0.07287104593014</v>
      </c>
      <c r="J1494" s="27" t="n">
        <f aca="false">IF(I1494="","",Resumen!$B$10-(MAX(I1446:I1542)-I1494))</f>
        <v>1.63387529229083</v>
      </c>
    </row>
    <row r="1495" customFormat="false" ht="15" hidden="false" customHeight="false" outlineLevel="0" collapsed="false">
      <c r="A1495" s="24" t="n">
        <v>46276.9479166667</v>
      </c>
      <c r="B1495" s="10" t="n">
        <v>3.109</v>
      </c>
      <c r="C1495" s="10" t="n">
        <v>1.7399</v>
      </c>
      <c r="D1495" s="10" t="n">
        <f aca="false">IF(OR(B1495="",C1495="",B1495&lt;=0.05,C1495&lt;=0.05),0,1)</f>
        <v>1</v>
      </c>
      <c r="E1495" s="25" t="n">
        <f aca="false">IF(OR(A1495&lt;Resumen!$B$6,A1495&gt;=Resumen!$B$7),0,MAX(0,AVERAGEIFS(B1447:B1543,D1447:D1543,1)-Resumen!$B$5*AVERAGEIFS(C1447:C1543,D1447:D1543,1)))</f>
        <v>0.73121456185567</v>
      </c>
      <c r="F1495" s="10" t="n">
        <f aca="false">IF(B1495="","",(B1495-E1495)/Resumen!$B$5)</f>
        <v>1.88863021298199</v>
      </c>
      <c r="G1495" s="10" t="n">
        <f aca="false">IF(OR(F1495="",C1495=""),0,(F1495-C1495)*0.9)</f>
        <v>0.133857191683794</v>
      </c>
      <c r="H1495" s="26" t="n">
        <f aca="false">IF(A1495&lt;Resumen!$B$11,"",IF(H1494="",0,H1494)+G1495/Resumen!$B$9)</f>
        <v>1.17765958991466</v>
      </c>
      <c r="I1495" s="26" t="n">
        <f aca="false">IF(H1495="","",H1495-AVERAGE(H1447:H1543))</f>
        <v>-0.067664562692507</v>
      </c>
      <c r="J1495" s="27" t="n">
        <f aca="false">IF(I1495="","",Resumen!$B$10-(MAX(I1447:I1543)-I1495))</f>
        <v>1.63908177552846</v>
      </c>
    </row>
    <row r="1496" customFormat="false" ht="15" hidden="false" customHeight="false" outlineLevel="0" collapsed="false">
      <c r="A1496" s="24" t="n">
        <v>46276.9583333333</v>
      </c>
      <c r="B1496" s="10" t="n">
        <v>3.1169</v>
      </c>
      <c r="C1496" s="10" t="n">
        <v>1.8996</v>
      </c>
      <c r="D1496" s="10" t="n">
        <f aca="false">IF(OR(B1496="",C1496="",B1496&lt;=0.05,C1496&lt;=0.05),0,1)</f>
        <v>1</v>
      </c>
      <c r="E1496" s="25" t="n">
        <f aca="false">IF(OR(A1496&lt;Resumen!$B$6,A1496&gt;=Resumen!$B$7),0,MAX(0,AVERAGEIFS(B1448:B1544,D1448:D1544,1)-Resumen!$B$5*AVERAGEIFS(C1448:C1544,D1448:D1544,1)))</f>
        <v>0.72787131443299</v>
      </c>
      <c r="F1496" s="10" t="n">
        <f aca="false">IF(B1496="","",(B1496-E1496)/Resumen!$B$5)</f>
        <v>1.89756051276172</v>
      </c>
      <c r="G1496" s="10" t="n">
        <f aca="false">IF(OR(F1496="",C1496=""),0,(F1496-C1496)*0.9)</f>
        <v>-0.00183553851444866</v>
      </c>
      <c r="H1496" s="26" t="n">
        <f aca="false">IF(A1496&lt;Resumen!$B$11,"",IF(H1495="",0,H1495)+G1496/Resumen!$B$9)</f>
        <v>1.17757282604674</v>
      </c>
      <c r="I1496" s="26" t="n">
        <f aca="false">IF(H1496="","",H1496-AVERAGE(H1448:H1544))</f>
        <v>-0.0687235489916991</v>
      </c>
      <c r="J1496" s="27" t="n">
        <f aca="false">IF(I1496="","",Resumen!$B$10-(MAX(I1448:I1544)-I1496))</f>
        <v>1.63802278922927</v>
      </c>
    </row>
    <row r="1497" customFormat="false" ht="15" hidden="false" customHeight="false" outlineLevel="0" collapsed="false">
      <c r="A1497" s="24" t="n">
        <v>46276.96875</v>
      </c>
      <c r="B1497" s="10" t="n">
        <v>3.4254</v>
      </c>
      <c r="C1497" s="10" t="n">
        <v>2.0823</v>
      </c>
      <c r="D1497" s="10" t="n">
        <f aca="false">IF(OR(B1497="",C1497="",B1497&lt;=0.05,C1497&lt;=0.05),0,1)</f>
        <v>1</v>
      </c>
      <c r="E1497" s="25" t="n">
        <f aca="false">IF(OR(A1497&lt;Resumen!$B$6,A1497&gt;=Resumen!$B$7),0,MAX(0,AVERAGEIFS(B1449:B1545,D1449:D1545,1)-Resumen!$B$5*AVERAGEIFS(C1449:C1545,D1449:D1545,1)))</f>
        <v>0.729225202061856</v>
      </c>
      <c r="F1497" s="10" t="n">
        <f aca="false">IF(B1497="","",(B1497-E1497)/Resumen!$B$5)</f>
        <v>2.14152088795722</v>
      </c>
      <c r="G1497" s="10" t="n">
        <f aca="false">IF(OR(F1497="",C1497=""),0,(F1497-C1497)*0.9)</f>
        <v>0.0532987991615012</v>
      </c>
      <c r="H1497" s="26" t="n">
        <f aca="false">IF(A1497&lt;Resumen!$B$11,"",IF(H1496="",0,H1496)+G1497/Resumen!$B$9)</f>
        <v>1.18009220111512</v>
      </c>
      <c r="I1497" s="26" t="n">
        <f aca="false">IF(H1497="","",H1497-AVERAGE(H1449:H1545))</f>
        <v>-0.0671874688970624</v>
      </c>
      <c r="J1497" s="27" t="n">
        <f aca="false">IF(I1497="","",Resumen!$B$10-(MAX(I1449:I1545)-I1497))</f>
        <v>1.6395588693239</v>
      </c>
    </row>
    <row r="1498" customFormat="false" ht="15" hidden="false" customHeight="false" outlineLevel="0" collapsed="false">
      <c r="A1498" s="24" t="n">
        <v>46276.9791666667</v>
      </c>
      <c r="B1498" s="10" t="n">
        <v>2.2891</v>
      </c>
      <c r="C1498" s="10" t="n">
        <v>1.6155</v>
      </c>
      <c r="D1498" s="10" t="n">
        <f aca="false">IF(OR(B1498="",C1498="",B1498&lt;=0.05,C1498&lt;=0.05),0,1)</f>
        <v>1</v>
      </c>
      <c r="E1498" s="25" t="n">
        <f aca="false">IF(OR(A1498&lt;Resumen!$B$6,A1498&gt;=Resumen!$B$7),0,MAX(0,AVERAGEIFS(B1450:B1546,D1450:D1546,1)-Resumen!$B$5*AVERAGEIFS(C1450:C1546,D1450:D1546,1)))</f>
        <v>0.725013126804124</v>
      </c>
      <c r="F1498" s="10" t="n">
        <f aca="false">IF(B1498="","",(B1498-E1498)/Resumen!$B$5)</f>
        <v>1.24232476028267</v>
      </c>
      <c r="G1498" s="10" t="n">
        <f aca="false">IF(OR(F1498="",C1498=""),0,(F1498-C1498)*0.9)</f>
        <v>-0.335857715745601</v>
      </c>
      <c r="H1498" s="26" t="n">
        <f aca="false">IF(A1498&lt;Resumen!$B$11,"",IF(H1497="",0,H1497)+G1498/Resumen!$B$9)</f>
        <v>1.16421657973371</v>
      </c>
      <c r="I1498" s="26" t="n">
        <f aca="false">IF(H1498="","",H1498-AVERAGE(H1450:H1546))</f>
        <v>-0.0838677254135758</v>
      </c>
      <c r="J1498" s="27" t="n">
        <f aca="false">IF(I1498="","",Resumen!$B$10-(MAX(I1450:I1546)-I1498))</f>
        <v>1.62287861280739</v>
      </c>
    </row>
    <row r="1499" customFormat="false" ht="15" hidden="false" customHeight="false" outlineLevel="0" collapsed="false">
      <c r="A1499" s="24" t="n">
        <v>46276.9895833333</v>
      </c>
      <c r="B1499" s="10" t="n">
        <v>3.2952</v>
      </c>
      <c r="C1499" s="10" t="n">
        <v>2.2361</v>
      </c>
      <c r="D1499" s="10" t="n">
        <f aca="false">IF(OR(B1499="",C1499="",B1499&lt;=0.05,C1499&lt;=0.05),0,1)</f>
        <v>1</v>
      </c>
      <c r="E1499" s="25" t="n">
        <f aca="false">IF(OR(A1499&lt;Resumen!$B$6,A1499&gt;=Resumen!$B$7),0,MAX(0,AVERAGEIFS(B1451:B1547,D1451:D1547,1)-Resumen!$B$5*AVERAGEIFS(C1451:C1547,D1451:D1547,1)))</f>
        <v>0.707726349484537</v>
      </c>
      <c r="F1499" s="10" t="n">
        <f aca="false">IF(B1499="","",(B1499-E1499)/Resumen!$B$5)</f>
        <v>2.05518161280021</v>
      </c>
      <c r="G1499" s="10" t="n">
        <f aca="false">IF(OR(F1499="",C1499=""),0,(F1499-C1499)*0.9)</f>
        <v>-0.162826548479812</v>
      </c>
      <c r="H1499" s="26" t="n">
        <f aca="false">IF(A1499&lt;Resumen!$B$11,"",IF(H1498="",0,H1498)+G1499/Resumen!$B$9)</f>
        <v>1.15651994954385</v>
      </c>
      <c r="I1499" s="26" t="n">
        <f aca="false">IF(H1499="","",H1499-AVERAGE(H1451:H1547))</f>
        <v>-0.0917464401085379</v>
      </c>
      <c r="J1499" s="27" t="n">
        <f aca="false">IF(I1499="","",Resumen!$B$10-(MAX(I1451:I1547)-I1499))</f>
        <v>1.61499989811243</v>
      </c>
    </row>
    <row r="1500" customFormat="false" ht="15" hidden="false" customHeight="false" outlineLevel="0" collapsed="false">
      <c r="A1500" s="24" t="n">
        <v>46277</v>
      </c>
      <c r="B1500" s="10" t="n">
        <v>2.9219</v>
      </c>
      <c r="C1500" s="10" t="n">
        <v>1.5818</v>
      </c>
      <c r="D1500" s="10" t="n">
        <f aca="false">IF(OR(B1500="",C1500="",B1500&lt;=0.05,C1500&lt;=0.05),0,1)</f>
        <v>1</v>
      </c>
      <c r="E1500" s="25" t="n">
        <f aca="false">IF(OR(A1500&lt;Resumen!$B$6,A1500&gt;=Resumen!$B$7),0,MAX(0,AVERAGEIFS(B1452:B1548,D1452:D1548,1)-Resumen!$B$5*AVERAGEIFS(C1452:C1548,D1452:D1548,1)))</f>
        <v>0.719722124742268</v>
      </c>
      <c r="F1500" s="10" t="n">
        <f aca="false">IF(B1500="","",(B1500-E1500)/Resumen!$B$5)</f>
        <v>1.74914843149939</v>
      </c>
      <c r="G1500" s="10" t="n">
        <f aca="false">IF(OR(F1500="",C1500=""),0,(F1500-C1500)*0.9)</f>
        <v>0.150613588349451</v>
      </c>
      <c r="H1500" s="26" t="n">
        <f aca="false">IF(A1500&lt;Resumen!$B$11,"",IF(H1499="",0,H1499)+G1500/Resumen!$B$9)</f>
        <v>1.16363928666619</v>
      </c>
      <c r="I1500" s="26" t="n">
        <f aca="false">IF(H1500="","",H1500-AVERAGE(H1452:H1548))</f>
        <v>-0.0851747576968549</v>
      </c>
      <c r="J1500" s="27" t="n">
        <f aca="false">IF(I1500="","",Resumen!$B$10-(MAX(I1452:I1548)-I1500))</f>
        <v>1.62157158052411</v>
      </c>
    </row>
    <row r="1501" customFormat="false" ht="15" hidden="false" customHeight="false" outlineLevel="0" collapsed="false">
      <c r="A1501" s="24" t="n">
        <v>46277.0104166667</v>
      </c>
      <c r="B1501" s="10" t="n">
        <v>2.4982</v>
      </c>
      <c r="C1501" s="10" t="n">
        <v>1.7078</v>
      </c>
      <c r="D1501" s="10" t="n">
        <f aca="false">IF(OR(B1501="",C1501="",B1501&lt;=0.05,C1501&lt;=0.05),0,1)</f>
        <v>1</v>
      </c>
      <c r="E1501" s="25" t="n">
        <f aca="false">IF(OR(A1501&lt;Resumen!$B$6,A1501&gt;=Resumen!$B$7),0,MAX(0,AVERAGEIFS(B1453:B1549,D1453:D1549,1)-Resumen!$B$5*AVERAGEIFS(C1453:C1549,D1453:D1549,1)))</f>
        <v>0.716960420618557</v>
      </c>
      <c r="F1501" s="10" t="n">
        <f aca="false">IF(B1501="","",(B1501-E1501)/Resumen!$B$5)</f>
        <v>1.41480506702259</v>
      </c>
      <c r="G1501" s="10" t="n">
        <f aca="false">IF(OR(F1501="",C1501=""),0,(F1501-C1501)*0.9)</f>
        <v>-0.263695439679667</v>
      </c>
      <c r="H1501" s="26" t="n">
        <f aca="false">IF(A1501&lt;Resumen!$B$11,"",IF(H1500="",0,H1500)+G1501/Resumen!$B$9)</f>
        <v>1.15117469596573</v>
      </c>
      <c r="I1501" s="26" t="n">
        <f aca="false">IF(H1501="","",H1501-AVERAGE(H1453:H1549))</f>
        <v>-0.098056037676306</v>
      </c>
      <c r="J1501" s="27" t="n">
        <f aca="false">IF(I1501="","",Resumen!$B$10-(MAX(I1453:I1549)-I1501))</f>
        <v>1.60869030054466</v>
      </c>
    </row>
    <row r="1502" customFormat="false" ht="15" hidden="false" customHeight="false" outlineLevel="0" collapsed="false">
      <c r="A1502" s="24" t="n">
        <v>46277.0208333333</v>
      </c>
      <c r="B1502" s="10" t="n">
        <v>2.7536</v>
      </c>
      <c r="C1502" s="10" t="n">
        <v>1.5434</v>
      </c>
      <c r="D1502" s="10" t="n">
        <f aca="false">IF(OR(B1502="",C1502="",B1502&lt;=0.05,C1502&lt;=0.05),0,1)</f>
        <v>1</v>
      </c>
      <c r="E1502" s="25" t="n">
        <f aca="false">IF(OR(A1502&lt;Resumen!$B$6,A1502&gt;=Resumen!$B$7),0,MAX(0,AVERAGEIFS(B1454:B1550,D1454:D1550,1)-Resumen!$B$5*AVERAGEIFS(C1454:C1550,D1454:D1550,1)))</f>
        <v>0.72066467628866</v>
      </c>
      <c r="F1502" s="10" t="n">
        <f aca="false">IF(B1502="","",(B1502-E1502)/Resumen!$B$5)</f>
        <v>1.61472225870639</v>
      </c>
      <c r="G1502" s="10" t="n">
        <f aca="false">IF(OR(F1502="",C1502=""),0,(F1502-C1502)*0.9)</f>
        <v>0.0641900328357478</v>
      </c>
      <c r="H1502" s="26" t="n">
        <f aca="false">IF(A1502&lt;Resumen!$B$11,"",IF(H1501="",0,H1501)+G1502/Resumen!$B$9)</f>
        <v>1.15420888755933</v>
      </c>
      <c r="I1502" s="26" t="n">
        <f aca="false">IF(H1502="","",H1502-AVERAGE(H1454:H1550))</f>
        <v>-0.0955233252739474</v>
      </c>
      <c r="J1502" s="27" t="n">
        <f aca="false">IF(I1502="","",Resumen!$B$10-(MAX(I1454:I1550)-I1502))</f>
        <v>1.61122301294702</v>
      </c>
    </row>
    <row r="1503" customFormat="false" ht="15" hidden="false" customHeight="false" outlineLevel="0" collapsed="false">
      <c r="A1503" s="24" t="n">
        <v>46277.03125</v>
      </c>
      <c r="B1503" s="10" t="n">
        <v>2.9739</v>
      </c>
      <c r="C1503" s="10" t="n">
        <v>1.6518</v>
      </c>
      <c r="D1503" s="10" t="n">
        <f aca="false">IF(OR(B1503="",C1503="",B1503&lt;=0.05,C1503&lt;=0.05),0,1)</f>
        <v>1</v>
      </c>
      <c r="E1503" s="25" t="n">
        <f aca="false">IF(OR(A1503&lt;Resumen!$B$6,A1503&gt;=Resumen!$B$7),0,MAX(0,AVERAGEIFS(B1455:B1551,D1455:D1551,1)-Resumen!$B$5*AVERAGEIFS(C1455:C1551,D1455:D1551,1)))</f>
        <v>0.715972698969073</v>
      </c>
      <c r="F1503" s="10" t="n">
        <f aca="false">IF(B1503="","",(B1503-E1503)/Resumen!$B$5)</f>
        <v>1.79342915093799</v>
      </c>
      <c r="G1503" s="10" t="n">
        <f aca="false">IF(OR(F1503="",C1503=""),0,(F1503-C1503)*0.9)</f>
        <v>0.12746623584419</v>
      </c>
      <c r="H1503" s="26" t="n">
        <f aca="false">IF(A1503&lt;Resumen!$B$11,"",IF(H1502="",0,H1502)+G1503/Resumen!$B$9)</f>
        <v>1.16023407502505</v>
      </c>
      <c r="I1503" s="26" t="n">
        <f aca="false">IF(H1503="","",H1503-AVERAGE(H1455:H1551))</f>
        <v>-0.0898000339933678</v>
      </c>
      <c r="J1503" s="27" t="n">
        <f aca="false">IF(I1503="","",Resumen!$B$10-(MAX(I1455:I1551)-I1503))</f>
        <v>1.6169463042276</v>
      </c>
    </row>
    <row r="1504" customFormat="false" ht="15" hidden="false" customHeight="false" outlineLevel="0" collapsed="false">
      <c r="A1504" s="24" t="n">
        <v>46277.0416666667</v>
      </c>
      <c r="B1504" s="10" t="n">
        <v>2.8567</v>
      </c>
      <c r="C1504" s="10" t="n">
        <v>1.5291</v>
      </c>
      <c r="D1504" s="10" t="n">
        <f aca="false">IF(OR(B1504="",C1504="",B1504&lt;=0.05,C1504&lt;=0.05),0,1)</f>
        <v>1</v>
      </c>
      <c r="E1504" s="25" t="n">
        <f aca="false">IF(OR(A1504&lt;Resumen!$B$6,A1504&gt;=Resumen!$B$7),0,MAX(0,AVERAGEIFS(B1456:B1552,D1456:D1552,1)-Resumen!$B$5*AVERAGEIFS(C1456:C1552,D1456:D1552,1)))</f>
        <v>0.713079785567011</v>
      </c>
      <c r="F1504" s="10" t="n">
        <f aca="false">IF(B1504="","",(B1504-E1504)/Resumen!$B$5)</f>
        <v>1.70263718382287</v>
      </c>
      <c r="G1504" s="10" t="n">
        <f aca="false">IF(OR(F1504="",C1504=""),0,(F1504-C1504)*0.9)</f>
        <v>0.15618346544058</v>
      </c>
      <c r="H1504" s="26" t="n">
        <f aca="false">IF(A1504&lt;Resumen!$B$11,"",IF(H1503="",0,H1503)+G1504/Resumen!$B$9)</f>
        <v>1.16761669405426</v>
      </c>
      <c r="I1504" s="26" t="n">
        <f aca="false">IF(H1504="","",H1504-AVERAGE(H1456:H1552))</f>
        <v>-0.0825811533554248</v>
      </c>
      <c r="J1504" s="27" t="n">
        <f aca="false">IF(I1504="","",Resumen!$B$10-(MAX(I1456:I1552)-I1504))</f>
        <v>1.62416518486554</v>
      </c>
    </row>
    <row r="1505" customFormat="false" ht="15" hidden="false" customHeight="false" outlineLevel="0" collapsed="false">
      <c r="A1505" s="24" t="n">
        <v>46277.0520833333</v>
      </c>
      <c r="B1505" s="10" t="n">
        <v>3.0755</v>
      </c>
      <c r="C1505" s="10" t="n">
        <v>1.6353</v>
      </c>
      <c r="D1505" s="10" t="n">
        <f aca="false">IF(OR(B1505="",C1505="",B1505&lt;=0.05,C1505&lt;=0.05),0,1)</f>
        <v>1</v>
      </c>
      <c r="E1505" s="25" t="n">
        <f aca="false">IF(OR(A1505&lt;Resumen!$B$6,A1505&gt;=Resumen!$B$7),0,MAX(0,AVERAGEIFS(B1457:B1553,D1457:D1553,1)-Resumen!$B$5*AVERAGEIFS(C1457:C1553,D1457:D1553,1)))</f>
        <v>0.710111204123711</v>
      </c>
      <c r="F1505" s="10" t="n">
        <f aca="false">IF(B1505="","",(B1505-E1505)/Resumen!$B$5)</f>
        <v>1.87878379338863</v>
      </c>
      <c r="G1505" s="10" t="n">
        <f aca="false">IF(OR(F1505="",C1505=""),0,(F1505-C1505)*0.9)</f>
        <v>0.21913541404977</v>
      </c>
      <c r="H1505" s="26" t="n">
        <f aca="false">IF(A1505&lt;Resumen!$B$11,"",IF(H1504="",0,H1504)+G1505/Resumen!$B$9)</f>
        <v>1.1779749818101</v>
      </c>
      <c r="I1505" s="26" t="n">
        <f aca="false">IF(H1505="","",H1505-AVERAGE(H1457:H1553))</f>
        <v>-0.0722480230844023</v>
      </c>
      <c r="J1505" s="27" t="n">
        <f aca="false">IF(I1505="","",Resumen!$B$10-(MAX(I1457:I1553)-I1505))</f>
        <v>1.63449831513656</v>
      </c>
    </row>
    <row r="1506" customFormat="false" ht="15" hidden="false" customHeight="false" outlineLevel="0" collapsed="false">
      <c r="A1506" s="24" t="n">
        <v>46277.0625</v>
      </c>
      <c r="B1506" s="10" t="n">
        <v>2.0333</v>
      </c>
      <c r="C1506" s="10" t="n">
        <v>1.4597</v>
      </c>
      <c r="D1506" s="10" t="n">
        <f aca="false">IF(OR(B1506="",C1506="",B1506&lt;=0.05,C1506&lt;=0.05),0,1)</f>
        <v>1</v>
      </c>
      <c r="E1506" s="25" t="n">
        <f aca="false">IF(OR(A1506&lt;Resumen!$B$6,A1506&gt;=Resumen!$B$7),0,MAX(0,AVERAGEIFS(B1458:B1554,D1458:D1554,1)-Resumen!$B$5*AVERAGEIFS(C1458:C1554,D1458:D1554,1)))</f>
        <v>0.69790646701031</v>
      </c>
      <c r="F1506" s="10" t="n">
        <f aca="false">IF(B1506="","",(B1506-E1506)/Resumen!$B$5)</f>
        <v>1.06067794518641</v>
      </c>
      <c r="G1506" s="10" t="n">
        <f aca="false">IF(OR(F1506="",C1506=""),0,(F1506-C1506)*0.9)</f>
        <v>-0.359119849332231</v>
      </c>
      <c r="H1506" s="26" t="n">
        <f aca="false">IF(A1506&lt;Resumen!$B$11,"",IF(H1505="",0,H1505)+G1506/Resumen!$B$9)</f>
        <v>1.16099978519778</v>
      </c>
      <c r="I1506" s="26" t="n">
        <f aca="false">IF(H1506="","",H1506-AVERAGE(H1458:H1554))</f>
        <v>-0.0888008756309937</v>
      </c>
      <c r="J1506" s="27" t="n">
        <f aca="false">IF(I1506="","",Resumen!$B$10-(MAX(I1458:I1554)-I1506))</f>
        <v>1.61794546258997</v>
      </c>
    </row>
    <row r="1507" customFormat="false" ht="15" hidden="false" customHeight="false" outlineLevel="0" collapsed="false">
      <c r="A1507" s="24" t="n">
        <v>46277.0729166667</v>
      </c>
      <c r="B1507" s="10" t="n">
        <v>3.0021</v>
      </c>
      <c r="C1507" s="10" t="n">
        <v>1.5404</v>
      </c>
      <c r="D1507" s="10" t="n">
        <f aca="false">IF(OR(B1507="",C1507="",B1507&lt;=0.05,C1507&lt;=0.05),0,1)</f>
        <v>1</v>
      </c>
      <c r="E1507" s="25" t="n">
        <f aca="false">IF(OR(A1507&lt;Resumen!$B$6,A1507&gt;=Resumen!$B$7),0,MAX(0,AVERAGEIFS(B1459:B1555,D1459:D1555,1)-Resumen!$B$5*AVERAGEIFS(C1459:C1555,D1459:D1555,1)))</f>
        <v>0.698440715463918</v>
      </c>
      <c r="F1507" s="10" t="n">
        <f aca="false">IF(B1507="","",(B1507-E1507)/Resumen!$B$5)</f>
        <v>1.82975320455606</v>
      </c>
      <c r="G1507" s="10" t="n">
        <f aca="false">IF(OR(F1507="",C1507=""),0,(F1507-C1507)*0.9)</f>
        <v>0.260417884100456</v>
      </c>
      <c r="H1507" s="26" t="n">
        <f aca="false">IF(A1507&lt;Resumen!$B$11,"",IF(H1506="",0,H1506)+G1507/Resumen!$B$9)</f>
        <v>1.17330944948448</v>
      </c>
      <c r="I1507" s="26" t="n">
        <f aca="false">IF(H1507="","",H1507-AVERAGE(H1459:H1555))</f>
        <v>-0.0760472402663666</v>
      </c>
      <c r="J1507" s="27" t="n">
        <f aca="false">IF(I1507="","",Resumen!$B$10-(MAX(I1459:I1555)-I1507))</f>
        <v>1.6306990979546</v>
      </c>
    </row>
    <row r="1508" customFormat="false" ht="15" hidden="false" customHeight="false" outlineLevel="0" collapsed="false">
      <c r="A1508" s="24" t="n">
        <v>46277.0833333333</v>
      </c>
      <c r="B1508" s="10" t="n">
        <v>2.7433</v>
      </c>
      <c r="C1508" s="10" t="n">
        <v>1.652</v>
      </c>
      <c r="D1508" s="10" t="n">
        <f aca="false">IF(OR(B1508="",C1508="",B1508&lt;=0.05,C1508&lt;=0.05),0,1)</f>
        <v>1</v>
      </c>
      <c r="E1508" s="25" t="n">
        <f aca="false">IF(OR(A1508&lt;Resumen!$B$6,A1508&gt;=Resumen!$B$7),0,MAX(0,AVERAGEIFS(B1460:B1556,D1460:D1556,1)-Resumen!$B$5*AVERAGEIFS(C1460:C1556,D1460:D1556,1)))</f>
        <v>0.708362312371135</v>
      </c>
      <c r="F1508" s="10" t="n">
        <f aca="false">IF(B1508="","",(B1508-E1508)/Resumen!$B$5)</f>
        <v>1.61631269867265</v>
      </c>
      <c r="G1508" s="10" t="n">
        <f aca="false">IF(OR(F1508="",C1508=""),0,(F1508-C1508)*0.9)</f>
        <v>-0.0321185711946154</v>
      </c>
      <c r="H1508" s="26" t="n">
        <f aca="false">IF(A1508&lt;Resumen!$B$11,"",IF(H1507="",0,H1507)+G1508/Resumen!$B$9)</f>
        <v>1.17179124027953</v>
      </c>
      <c r="I1508" s="26" t="n">
        <f aca="false">IF(H1508="","",H1508-AVERAGE(H1460:H1556))</f>
        <v>-0.0774193452235219</v>
      </c>
      <c r="J1508" s="27" t="n">
        <f aca="false">IF(I1508="","",Resumen!$B$10-(MAX(I1460:I1556)-I1508))</f>
        <v>1.62932699299744</v>
      </c>
    </row>
    <row r="1509" customFormat="false" ht="15" hidden="false" customHeight="false" outlineLevel="0" collapsed="false">
      <c r="A1509" s="24" t="n">
        <v>46277.09375</v>
      </c>
      <c r="B1509" s="10" t="n">
        <v>2.915</v>
      </c>
      <c r="C1509" s="10" t="n">
        <v>1.5979</v>
      </c>
      <c r="D1509" s="10" t="n">
        <f aca="false">IF(OR(B1509="",C1509="",B1509&lt;=0.05,C1509&lt;=0.05),0,1)</f>
        <v>1</v>
      </c>
      <c r="E1509" s="25" t="n">
        <f aca="false">IF(OR(A1509&lt;Resumen!$B$6,A1509&gt;=Resumen!$B$7),0,MAX(0,AVERAGEIFS(B1461:B1557,D1461:D1557,1)-Resumen!$B$5*AVERAGEIFS(C1461:C1557,D1461:D1557,1)))</f>
        <v>0.714041454639176</v>
      </c>
      <c r="F1509" s="10" t="n">
        <f aca="false">IF(B1509="","",(B1509-E1509)/Resumen!$B$5)</f>
        <v>1.74817994071551</v>
      </c>
      <c r="G1509" s="10" t="n">
        <f aca="false">IF(OR(F1509="",C1509=""),0,(F1509-C1509)*0.9)</f>
        <v>0.135251946643957</v>
      </c>
      <c r="H1509" s="26" t="n">
        <f aca="false">IF(A1509&lt;Resumen!$B$11,"",IF(H1508="",0,H1508)+G1509/Resumen!$B$9)</f>
        <v>1.17818444965169</v>
      </c>
      <c r="I1509" s="26" t="n">
        <f aca="false">IF(H1509="","",H1509-AVERAGE(H1461:H1557))</f>
        <v>-0.071033090276136</v>
      </c>
      <c r="J1509" s="27" t="n">
        <f aca="false">IF(I1509="","",Resumen!$B$10-(MAX(I1461:I1557)-I1509))</f>
        <v>1.63571324794483</v>
      </c>
    </row>
    <row r="1510" customFormat="false" ht="15" hidden="false" customHeight="false" outlineLevel="0" collapsed="false">
      <c r="A1510" s="24" t="n">
        <v>46277.1041666667</v>
      </c>
      <c r="B1510" s="10" t="n">
        <v>2.9845</v>
      </c>
      <c r="C1510" s="10" t="n">
        <v>1.4919</v>
      </c>
      <c r="D1510" s="10" t="n">
        <f aca="false">IF(OR(B1510="",C1510="",B1510&lt;=0.05,C1510&lt;=0.05),0,1)</f>
        <v>1</v>
      </c>
      <c r="E1510" s="25" t="n">
        <f aca="false">IF(OR(A1510&lt;Resumen!$B$6,A1510&gt;=Resumen!$B$7),0,MAX(0,AVERAGEIFS(B1462:B1558,D1462:D1558,1)-Resumen!$B$5*AVERAGEIFS(C1462:C1558,D1462:D1558,1)))</f>
        <v>0.717853669072165</v>
      </c>
      <c r="F1510" s="10" t="n">
        <f aca="false">IF(B1510="","",(B1510-E1510)/Resumen!$B$5)</f>
        <v>1.80035451225404</v>
      </c>
      <c r="G1510" s="10" t="n">
        <f aca="false">IF(OR(F1510="",C1510=""),0,(F1510-C1510)*0.9)</f>
        <v>0.277609061028636</v>
      </c>
      <c r="H1510" s="26" t="n">
        <f aca="false">IF(A1510&lt;Resumen!$B$11,"",IF(H1509="",0,H1509)+G1510/Resumen!$B$9)</f>
        <v>1.19130672178754</v>
      </c>
      <c r="I1510" s="26" t="n">
        <f aca="false">IF(H1510="","",H1510-AVERAGE(H1462:H1558))</f>
        <v>-0.0580067971606075</v>
      </c>
      <c r="J1510" s="27" t="n">
        <f aca="false">IF(I1510="","",Resumen!$B$10-(MAX(I1462:I1558)-I1510))</f>
        <v>1.64873954106036</v>
      </c>
    </row>
    <row r="1511" customFormat="false" ht="15" hidden="false" customHeight="false" outlineLevel="0" collapsed="false">
      <c r="A1511" s="24" t="n">
        <v>46277.1145833333</v>
      </c>
      <c r="B1511" s="10" t="n">
        <v>3.0354</v>
      </c>
      <c r="C1511" s="10" t="n">
        <v>1.4583</v>
      </c>
      <c r="D1511" s="10" t="n">
        <f aca="false">IF(OR(B1511="",C1511="",B1511&lt;=0.05,C1511&lt;=0.05),0,1)</f>
        <v>1</v>
      </c>
      <c r="E1511" s="25" t="n">
        <f aca="false">IF(OR(A1511&lt;Resumen!$B$6,A1511&gt;=Resumen!$B$7),0,MAX(0,AVERAGEIFS(B1463:B1559,D1463:D1559,1)-Resumen!$B$5*AVERAGEIFS(C1463:C1559,D1463:D1559,1)))</f>
        <v>0.721426145360825</v>
      </c>
      <c r="F1511" s="10" t="n">
        <f aca="false">IF(B1511="","",(B1511-E1511)/Resumen!$B$5)</f>
        <v>1.8379458734227</v>
      </c>
      <c r="G1511" s="10" t="n">
        <f aca="false">IF(OR(F1511="",C1511=""),0,(F1511-C1511)*0.9)</f>
        <v>0.341681286080427</v>
      </c>
      <c r="H1511" s="26" t="n">
        <f aca="false">IF(A1511&lt;Resumen!$B$11,"",IF(H1510="",0,H1510)+G1511/Resumen!$B$9)</f>
        <v>1.20745761687382</v>
      </c>
      <c r="I1511" s="26" t="n">
        <f aca="false">IF(H1511="","",H1511-AVERAGE(H1463:H1559))</f>
        <v>-0.0420335340841889</v>
      </c>
      <c r="J1511" s="27" t="n">
        <f aca="false">IF(I1511="","",Resumen!$B$10-(MAX(I1463:I1559)-I1511))</f>
        <v>1.66471280413678</v>
      </c>
    </row>
    <row r="1512" customFormat="false" ht="15" hidden="false" customHeight="false" outlineLevel="0" collapsed="false">
      <c r="A1512" s="24" t="n">
        <v>46277.125</v>
      </c>
      <c r="B1512" s="10" t="n">
        <v>2.8587</v>
      </c>
      <c r="C1512" s="10" t="n">
        <v>1.7388</v>
      </c>
      <c r="D1512" s="10" t="n">
        <f aca="false">IF(OR(B1512="",C1512="",B1512&lt;=0.05,C1512&lt;=0.05),0,1)</f>
        <v>1</v>
      </c>
      <c r="E1512" s="25" t="n">
        <f aca="false">IF(OR(A1512&lt;Resumen!$B$6,A1512&gt;=Resumen!$B$7),0,MAX(0,AVERAGEIFS(B1464:B1560,D1464:D1560,1)-Resumen!$B$5*AVERAGEIFS(C1464:C1560,D1464:D1560,1)))</f>
        <v>0.727864479381444</v>
      </c>
      <c r="F1512" s="10" t="n">
        <f aca="false">IF(B1512="","",(B1512-E1512)/Resumen!$B$5)</f>
        <v>1.69248254219107</v>
      </c>
      <c r="G1512" s="10" t="n">
        <f aca="false">IF(OR(F1512="",C1512=""),0,(F1512-C1512)*0.9)</f>
        <v>-0.0416857120280376</v>
      </c>
      <c r="H1512" s="26" t="n">
        <f aca="false">IF(A1512&lt;Resumen!$B$11,"",IF(H1511="",0,H1511)+G1512/Resumen!$B$9)</f>
        <v>1.20548717954234</v>
      </c>
      <c r="I1512" s="26" t="n">
        <f aca="false">IF(H1512="","",H1512-AVERAGE(H1464:H1560))</f>
        <v>-0.0443614574587747</v>
      </c>
      <c r="J1512" s="27" t="n">
        <f aca="false">IF(I1512="","",Resumen!$B$10-(MAX(I1464:I1560)-I1512))</f>
        <v>1.66238488076219</v>
      </c>
    </row>
    <row r="1513" customFormat="false" ht="15" hidden="false" customHeight="false" outlineLevel="0" collapsed="false">
      <c r="A1513" s="24" t="n">
        <v>46277.1354166667</v>
      </c>
      <c r="B1513" s="10" t="n">
        <v>2.7973</v>
      </c>
      <c r="C1513" s="10" t="n">
        <v>1.6126</v>
      </c>
      <c r="D1513" s="10" t="n">
        <f aca="false">IF(OR(B1513="",C1513="",B1513&lt;=0.05,C1513&lt;=0.05),0,1)</f>
        <v>1</v>
      </c>
      <c r="E1513" s="25" t="n">
        <f aca="false">IF(OR(A1513&lt;Resumen!$B$6,A1513&gt;=Resumen!$B$7),0,MAX(0,AVERAGEIFS(B1465:B1561,D1465:D1561,1)-Resumen!$B$5*AVERAGEIFS(C1465:C1561,D1465:D1561,1)))</f>
        <v>0.734921878350515</v>
      </c>
      <c r="F1513" s="10" t="n">
        <f aca="false">IF(B1513="","",(B1513-E1513)/Resumen!$B$5)</f>
        <v>1.63810811886377</v>
      </c>
      <c r="G1513" s="10" t="n">
        <f aca="false">IF(OR(F1513="",C1513=""),0,(F1513-C1513)*0.9)</f>
        <v>0.022957306977392</v>
      </c>
      <c r="H1513" s="26" t="n">
        <f aca="false">IF(A1513&lt;Resumen!$B$11,"",IF(H1512="",0,H1512)+G1513/Resumen!$B$9)</f>
        <v>1.20657234595783</v>
      </c>
      <c r="I1513" s="26" t="n">
        <f aca="false">IF(H1513="","",H1513-AVERAGE(H1465:H1561))</f>
        <v>-0.0438319160101153</v>
      </c>
      <c r="J1513" s="27" t="n">
        <f aca="false">IF(I1513="","",Resumen!$B$10-(MAX(I1465:I1561)-I1513))</f>
        <v>1.66291442221085</v>
      </c>
    </row>
    <row r="1514" customFormat="false" ht="15" hidden="false" customHeight="false" outlineLevel="0" collapsed="false">
      <c r="A1514" s="24" t="n">
        <v>46277.1458333333</v>
      </c>
      <c r="B1514" s="10" t="n">
        <v>2.2587</v>
      </c>
      <c r="C1514" s="10" t="n">
        <v>1.5571</v>
      </c>
      <c r="D1514" s="10" t="n">
        <f aca="false">IF(OR(B1514="",C1514="",B1514&lt;=0.05,C1514&lt;=0.05),0,1)</f>
        <v>1</v>
      </c>
      <c r="E1514" s="25" t="n">
        <f aca="false">IF(OR(A1514&lt;Resumen!$B$6,A1514&gt;=Resumen!$B$7),0,MAX(0,AVERAGEIFS(B1466:B1562,D1466:D1562,1)-Resumen!$B$5*AVERAGEIFS(C1466:C1562,D1466:D1562,1)))</f>
        <v>0.722113731958763</v>
      </c>
      <c r="F1514" s="10" t="n">
        <f aca="false">IF(B1514="","",(B1514-E1514)/Resumen!$B$5)</f>
        <v>1.22048154729248</v>
      </c>
      <c r="G1514" s="10" t="n">
        <f aca="false">IF(OR(F1514="",C1514=""),0,(F1514-C1514)*0.9)</f>
        <v>-0.302956607436765</v>
      </c>
      <c r="H1514" s="26" t="n">
        <f aca="false">IF(A1514&lt;Resumen!$B$11,"",IF(H1513="",0,H1513)+G1514/Resumen!$B$9)</f>
        <v>1.19225192344205</v>
      </c>
      <c r="I1514" s="26" t="n">
        <f aca="false">IF(H1514="","",H1514-AVERAGE(H1466:H1562))</f>
        <v>-0.0582342984933497</v>
      </c>
      <c r="J1514" s="27" t="n">
        <f aca="false">IF(I1514="","",Resumen!$B$10-(MAX(I1466:I1562)-I1514))</f>
        <v>1.64851203972762</v>
      </c>
    </row>
    <row r="1515" customFormat="false" ht="15" hidden="false" customHeight="false" outlineLevel="0" collapsed="false">
      <c r="A1515" s="24" t="n">
        <v>46277.15625</v>
      </c>
      <c r="B1515" s="10" t="n">
        <v>2.8176</v>
      </c>
      <c r="C1515" s="10" t="n">
        <v>1.5269</v>
      </c>
      <c r="D1515" s="10" t="n">
        <f aca="false">IF(OR(B1515="",C1515="",B1515&lt;=0.05,C1515&lt;=0.05),0,1)</f>
        <v>1</v>
      </c>
      <c r="E1515" s="25" t="n">
        <f aca="false">IF(OR(A1515&lt;Resumen!$B$6,A1515&gt;=Resumen!$B$7),0,MAX(0,AVERAGEIFS(B1467:B1563,D1467:D1563,1)-Resumen!$B$5*AVERAGEIFS(C1467:C1563,D1467:D1563,1)))</f>
        <v>0.724992248453608</v>
      </c>
      <c r="F1515" s="10" t="n">
        <f aca="false">IF(B1515="","",(B1515-E1515)/Resumen!$B$5)</f>
        <v>1.66211894483431</v>
      </c>
      <c r="G1515" s="10" t="n">
        <f aca="false">IF(OR(F1515="",C1515=""),0,(F1515-C1515)*0.9)</f>
        <v>0.121697050350876</v>
      </c>
      <c r="H1515" s="26" t="n">
        <f aca="false">IF(A1515&lt;Resumen!$B$11,"",IF(H1514="",0,H1514)+G1515/Resumen!$B$9)</f>
        <v>1.19800440791398</v>
      </c>
      <c r="I1515" s="26" t="n">
        <f aca="false">IF(H1515="","",H1515-AVERAGE(H1467:H1563))</f>
        <v>-0.0526149505776681</v>
      </c>
      <c r="J1515" s="27" t="n">
        <f aca="false">IF(I1515="","",Resumen!$B$10-(MAX(I1467:I1563)-I1515))</f>
        <v>1.6541313876433</v>
      </c>
    </row>
    <row r="1516" customFormat="false" ht="15" hidden="false" customHeight="false" outlineLevel="0" collapsed="false">
      <c r="A1516" s="24" t="n">
        <v>46277.1666666667</v>
      </c>
      <c r="B1516" s="10" t="n">
        <v>2.72</v>
      </c>
      <c r="C1516" s="10" t="n">
        <v>1.5676</v>
      </c>
      <c r="D1516" s="10" t="n">
        <f aca="false">IF(OR(B1516="",C1516="",B1516&lt;=0.05,C1516&lt;=0.05),0,1)</f>
        <v>1</v>
      </c>
      <c r="E1516" s="25" t="n">
        <f aca="false">IF(OR(A1516&lt;Resumen!$B$6,A1516&gt;=Resumen!$B$7),0,MAX(0,AVERAGEIFS(B1468:B1564,D1468:D1564,1)-Resumen!$B$5*AVERAGEIFS(C1468:C1564,D1468:D1564,1)))</f>
        <v>0.727500221649485</v>
      </c>
      <c r="F1516" s="10" t="n">
        <f aca="false">IF(B1516="","",(B1516-E1516)/Resumen!$B$5)</f>
        <v>1.58260506620375</v>
      </c>
      <c r="G1516" s="10" t="n">
        <f aca="false">IF(OR(F1516="",C1516=""),0,(F1516-C1516)*0.9)</f>
        <v>0.013504559583371</v>
      </c>
      <c r="H1516" s="26" t="n">
        <f aca="false">IF(A1516&lt;Resumen!$B$11,"",IF(H1515="",0,H1515)+G1516/Resumen!$B$9)</f>
        <v>1.19864275345382</v>
      </c>
      <c r="I1516" s="26" t="n">
        <f aca="false">IF(H1516="","",H1516-AVERAGE(H1468:H1564))</f>
        <v>-0.0521468655562438</v>
      </c>
      <c r="J1516" s="27" t="n">
        <f aca="false">IF(I1516="","",Resumen!$B$10-(MAX(I1468:I1564)-I1516))</f>
        <v>1.65459947266472</v>
      </c>
    </row>
    <row r="1517" customFormat="false" ht="15" hidden="false" customHeight="false" outlineLevel="0" collapsed="false">
      <c r="A1517" s="24" t="n">
        <v>46277.1770833333</v>
      </c>
      <c r="B1517" s="10" t="n">
        <v>2.72</v>
      </c>
      <c r="C1517" s="10" t="n">
        <v>1.4922</v>
      </c>
      <c r="D1517" s="10" t="n">
        <f aca="false">IF(OR(B1517="",C1517="",B1517&lt;=0.05,C1517&lt;=0.05),0,1)</f>
        <v>1</v>
      </c>
      <c r="E1517" s="25" t="n">
        <f aca="false">IF(OR(A1517&lt;Resumen!$B$6,A1517&gt;=Resumen!$B$7),0,MAX(0,AVERAGEIFS(B1469:B1565,D1469:D1565,1)-Resumen!$B$5*AVERAGEIFS(C1469:C1565,D1469:D1565,1)))</f>
        <v>0.729386011340206</v>
      </c>
      <c r="F1517" s="10" t="n">
        <f aca="false">IF(B1517="","",(B1517-E1517)/Resumen!$B$5)</f>
        <v>1.58110721895139</v>
      </c>
      <c r="G1517" s="10" t="n">
        <f aca="false">IF(OR(F1517="",C1517=""),0,(F1517-C1517)*0.9)</f>
        <v>0.0800164970562468</v>
      </c>
      <c r="H1517" s="26" t="n">
        <f aca="false">IF(A1517&lt;Resumen!$B$11,"",IF(H1516="",0,H1516)+G1517/Resumen!$B$9)</f>
        <v>1.20242504444187</v>
      </c>
      <c r="I1517" s="26" t="n">
        <f aca="false">IF(H1517="","",H1517-AVERAGE(H1469:H1565))</f>
        <v>-0.0485528868358067</v>
      </c>
      <c r="J1517" s="27" t="n">
        <f aca="false">IF(I1517="","",Resumen!$B$10-(MAX(I1469:I1565)-I1517))</f>
        <v>1.65819345138516</v>
      </c>
    </row>
    <row r="1518" customFormat="false" ht="15" hidden="false" customHeight="false" outlineLevel="0" collapsed="false">
      <c r="A1518" s="24" t="n">
        <v>46277.1875</v>
      </c>
      <c r="B1518" s="10" t="n">
        <v>2.7385</v>
      </c>
      <c r="C1518" s="10" t="n">
        <v>1.7446</v>
      </c>
      <c r="D1518" s="10" t="n">
        <f aca="false">IF(OR(B1518="",C1518="",B1518&lt;=0.05,C1518&lt;=0.05),0,1)</f>
        <v>1</v>
      </c>
      <c r="E1518" s="25" t="n">
        <f aca="false">IF(OR(A1518&lt;Resumen!$B$6,A1518&gt;=Resumen!$B$7),0,MAX(0,AVERAGEIFS(B1470:B1566,D1470:D1566,1)-Resumen!$B$5*AVERAGEIFS(C1470:C1566,D1470:D1566,1)))</f>
        <v>0.718311851546392</v>
      </c>
      <c r="F1518" s="10" t="n">
        <f aca="false">IF(B1518="","",(B1518-E1518)/Resumen!$B$5)</f>
        <v>1.60459741735791</v>
      </c>
      <c r="G1518" s="10" t="n">
        <f aca="false">IF(OR(F1518="",C1518=""),0,(F1518-C1518)*0.9)</f>
        <v>-0.126002324377881</v>
      </c>
      <c r="H1518" s="26" t="n">
        <f aca="false">IF(A1518&lt;Resumen!$B$11,"",IF(H1517="",0,H1517)+G1518/Resumen!$B$9)</f>
        <v>1.19646905444605</v>
      </c>
      <c r="I1518" s="26" t="n">
        <f aca="false">IF(H1518="","",H1518-AVERAGE(H1470:H1566))</f>
        <v>-0.0542791250193178</v>
      </c>
      <c r="J1518" s="27" t="n">
        <f aca="false">IF(I1518="","",Resumen!$B$10-(MAX(I1470:I1566)-I1518))</f>
        <v>1.65246721320165</v>
      </c>
    </row>
    <row r="1519" customFormat="false" ht="15" hidden="false" customHeight="false" outlineLevel="0" collapsed="false">
      <c r="A1519" s="24" t="n">
        <v>46277.1979166667</v>
      </c>
      <c r="B1519" s="10" t="n">
        <v>3.4573</v>
      </c>
      <c r="C1519" s="10" t="n">
        <v>1.4856</v>
      </c>
      <c r="D1519" s="10" t="n">
        <f aca="false">IF(OR(B1519="",C1519="",B1519&lt;=0.05,C1519&lt;=0.05),0,1)</f>
        <v>1</v>
      </c>
      <c r="E1519" s="25" t="n">
        <f aca="false">IF(OR(A1519&lt;Resumen!$B$6,A1519&gt;=Resumen!$B$7),0,MAX(0,AVERAGEIFS(B1471:B1567,D1471:D1567,1)-Resumen!$B$5*AVERAGEIFS(C1471:C1567,D1471:D1567,1)))</f>
        <v>0.726711953608248</v>
      </c>
      <c r="F1519" s="10" t="n">
        <f aca="false">IF(B1519="","",(B1519-E1519)/Resumen!$B$5)</f>
        <v>2.16885468339297</v>
      </c>
      <c r="G1519" s="10" t="n">
        <f aca="false">IF(OR(F1519="",C1519=""),0,(F1519-C1519)*0.9)</f>
        <v>0.614929215053675</v>
      </c>
      <c r="H1519" s="26" t="n">
        <f aca="false">IF(A1519&lt;Resumen!$B$11,"",IF(H1518="",0,H1518)+G1519/Resumen!$B$9)</f>
        <v>1.2255360757973</v>
      </c>
      <c r="I1519" s="26" t="n">
        <f aca="false">IF(H1519="","",H1519-AVERAGE(H1471:H1567))</f>
        <v>-0.0252186662020999</v>
      </c>
      <c r="J1519" s="27" t="n">
        <f aca="false">IF(I1519="","",Resumen!$B$10-(MAX(I1471:I1567)-I1519))</f>
        <v>1.68152767201887</v>
      </c>
    </row>
    <row r="1520" customFormat="false" ht="15" hidden="false" customHeight="false" outlineLevel="0" collapsed="false">
      <c r="A1520" s="24" t="n">
        <v>46277.2083333333</v>
      </c>
      <c r="B1520" s="10" t="n">
        <v>2.4569</v>
      </c>
      <c r="C1520" s="10" t="n">
        <v>1.5254</v>
      </c>
      <c r="D1520" s="10" t="n">
        <f aca="false">IF(OR(B1520="",C1520="",B1520&lt;=0.05,C1520&lt;=0.05),0,1)</f>
        <v>1</v>
      </c>
      <c r="E1520" s="25" t="n">
        <f aca="false">IF(OR(A1520&lt;Resumen!$B$6,A1520&gt;=Resumen!$B$7),0,MAX(0,AVERAGEIFS(B1472:B1568,D1472:D1568,1)-Resumen!$B$5*AVERAGEIFS(C1472:C1568,D1472:D1568,1)))</f>
        <v>0.728376039175257</v>
      </c>
      <c r="F1520" s="10" t="n">
        <f aca="false">IF(B1520="","",(B1520-E1520)/Resumen!$B$5)</f>
        <v>1.37293404354626</v>
      </c>
      <c r="G1520" s="10" t="n">
        <f aca="false">IF(OR(F1520="",C1520=""),0,(F1520-C1520)*0.9)</f>
        <v>-0.137219360808365</v>
      </c>
      <c r="H1520" s="26" t="n">
        <f aca="false">IF(A1520&lt;Resumen!$B$11,"",IF(H1519="",0,H1519)+G1520/Resumen!$B$9)</f>
        <v>1.21904986894165</v>
      </c>
      <c r="I1520" s="26" t="n">
        <f aca="false">IF(H1520="","",H1520-AVERAGE(H1472:H1568))</f>
        <v>-0.031723403891345</v>
      </c>
      <c r="J1520" s="27" t="n">
        <f aca="false">IF(I1520="","",Resumen!$B$10-(MAX(I1472:I1568)-I1520))</f>
        <v>1.67502293432962</v>
      </c>
    </row>
    <row r="1521" customFormat="false" ht="15" hidden="false" customHeight="false" outlineLevel="0" collapsed="false">
      <c r="A1521" s="24" t="n">
        <v>46277.21875</v>
      </c>
      <c r="B1521" s="10" t="n">
        <v>3.3899</v>
      </c>
      <c r="C1521" s="10" t="n">
        <v>1.4442</v>
      </c>
      <c r="D1521" s="10" t="n">
        <f aca="false">IF(OR(B1521="",C1521="",B1521&lt;=0.05,C1521&lt;=0.05),0,1)</f>
        <v>1</v>
      </c>
      <c r="E1521" s="25" t="n">
        <f aca="false">IF(OR(A1521&lt;Resumen!$B$6,A1521&gt;=Resumen!$B$7),0,MAX(0,AVERAGEIFS(B1473:B1569,D1473:D1569,1)-Resumen!$B$5*AVERAGEIFS(C1473:C1569,D1473:D1569,1)))</f>
        <v>0.730896088659795</v>
      </c>
      <c r="F1521" s="10" t="n">
        <f aca="false">IF(B1521="","",(B1521-E1521)/Resumen!$B$5)</f>
        <v>2.11199675245449</v>
      </c>
      <c r="G1521" s="10" t="n">
        <f aca="false">IF(OR(F1521="",C1521=""),0,(F1521-C1521)*0.9)</f>
        <v>0.601017077209043</v>
      </c>
      <c r="H1521" s="26" t="n">
        <f aca="false">IF(A1521&lt;Resumen!$B$11,"",IF(H1520="",0,H1520)+G1521/Resumen!$B$9)</f>
        <v>1.2474592789811</v>
      </c>
      <c r="I1521" s="26" t="n">
        <f aca="false">IF(H1521="","",H1521-AVERAGE(H1473:H1569))</f>
        <v>-0.00337055864632485</v>
      </c>
      <c r="J1521" s="27" t="n">
        <f aca="false">IF(I1521="","",Resumen!$B$10-(MAX(I1473:I1569)-I1521))</f>
        <v>1.70337577957464</v>
      </c>
    </row>
    <row r="1522" customFormat="false" ht="15" hidden="false" customHeight="false" outlineLevel="0" collapsed="false">
      <c r="A1522" s="24" t="n">
        <v>46277.2291666667</v>
      </c>
      <c r="B1522" s="10" t="n">
        <v>3.9509</v>
      </c>
      <c r="C1522" s="10" t="n">
        <v>1.5355</v>
      </c>
      <c r="D1522" s="10" t="n">
        <f aca="false">IF(OR(B1522="",C1522="",B1522&lt;=0.05,C1522&lt;=0.05),0,1)</f>
        <v>1</v>
      </c>
      <c r="E1522" s="25" t="n">
        <f aca="false">IF(OR(A1522&lt;Resumen!$B$6,A1522&gt;=Resumen!$B$7),0,MAX(0,AVERAGEIFS(B1474:B1570,D1474:D1570,1)-Resumen!$B$5*AVERAGEIFS(C1474:C1570,D1474:D1570,1)))</f>
        <v>0.724536883505155</v>
      </c>
      <c r="F1522" s="10" t="n">
        <f aca="false">IF(B1522="","",(B1522-E1522)/Resumen!$B$5)</f>
        <v>2.56263948887597</v>
      </c>
      <c r="G1522" s="10" t="n">
        <f aca="false">IF(OR(F1522="",C1522=""),0,(F1522-C1522)*0.9)</f>
        <v>0.924425539988372</v>
      </c>
      <c r="H1522" s="26" t="n">
        <f aca="false">IF(A1522&lt;Resumen!$B$11,"",IF(H1521="",0,H1521)+G1522/Resumen!$B$9)</f>
        <v>1.29115584803439</v>
      </c>
      <c r="I1522" s="26" t="n">
        <f aca="false">IF(H1522="","",H1522-AVERAGE(H1474:H1570))</f>
        <v>0.0405261996835644</v>
      </c>
      <c r="J1522" s="27" t="n">
        <f aca="false">IF(I1522="","",Resumen!$B$10-(MAX(I1474:I1570)-I1522))</f>
        <v>1.74727253790453</v>
      </c>
    </row>
    <row r="1523" customFormat="false" ht="15" hidden="false" customHeight="false" outlineLevel="0" collapsed="false">
      <c r="A1523" s="24" t="n">
        <v>46277.2395833333</v>
      </c>
      <c r="B1523" s="10" t="n">
        <v>3.4562</v>
      </c>
      <c r="C1523" s="10" t="n">
        <v>2.2553</v>
      </c>
      <c r="D1523" s="10" t="n">
        <f aca="false">IF(OR(B1523="",C1523="",B1523&lt;=0.05,C1523&lt;=0.05),0,1)</f>
        <v>1</v>
      </c>
      <c r="E1523" s="25" t="n">
        <f aca="false">IF(OR(A1523&lt;Resumen!$B$6,A1523&gt;=Resumen!$B$7),0,MAX(0,AVERAGEIFS(B1475:B1571,D1475:D1571,1)-Resumen!$B$5*AVERAGEIFS(C1475:C1571,D1475:D1571,1)))</f>
        <v>0.706176318556702</v>
      </c>
      <c r="F1523" s="10" t="n">
        <f aca="false">IF(B1523="","",(B1523-E1523)/Resumen!$B$5)</f>
        <v>2.18429204244901</v>
      </c>
      <c r="G1523" s="10" t="n">
        <f aca="false">IF(OR(F1523="",C1523=""),0,(F1523-C1523)*0.9)</f>
        <v>-0.0639071617958945</v>
      </c>
      <c r="H1523" s="26" t="n">
        <f aca="false">IF(A1523&lt;Resumen!$B$11,"",IF(H1522="",0,H1522)+G1523/Resumen!$B$9)</f>
        <v>1.28813502744083</v>
      </c>
      <c r="I1523" s="26" t="n">
        <f aca="false">IF(H1523="","",H1523-AVERAGE(H1475:H1571))</f>
        <v>0.0383559059608585</v>
      </c>
      <c r="J1523" s="27" t="n">
        <f aca="false">IF(I1523="","",Resumen!$B$10-(MAX(I1475:I1571)-I1523))</f>
        <v>1.74510224418182</v>
      </c>
    </row>
    <row r="1524" customFormat="false" ht="15" hidden="false" customHeight="false" outlineLevel="0" collapsed="false">
      <c r="A1524" s="24" t="n">
        <v>46277.25</v>
      </c>
      <c r="B1524" s="10" t="n">
        <v>3.9652</v>
      </c>
      <c r="C1524" s="10" t="n">
        <v>1.7953</v>
      </c>
      <c r="D1524" s="10" t="n">
        <f aca="false">IF(OR(B1524="",C1524="",B1524&lt;=0.05,C1524&lt;=0.05),0,1)</f>
        <v>1</v>
      </c>
      <c r="E1524" s="25" t="n">
        <f aca="false">IF(OR(A1524&lt;Resumen!$B$6,A1524&gt;=Resumen!$B$7),0,MAX(0,AVERAGEIFS(B1476:B1572,D1476:D1572,1)-Resumen!$B$5*AVERAGEIFS(C1476:C1572,D1476:D1572,1)))</f>
        <v>0.71026507628866</v>
      </c>
      <c r="F1524" s="10" t="n">
        <f aca="false">IF(B1524="","",(B1524-E1524)/Resumen!$B$5)</f>
        <v>2.58533353749908</v>
      </c>
      <c r="G1524" s="10" t="n">
        <f aca="false">IF(OR(F1524="",C1524=""),0,(F1524-C1524)*0.9)</f>
        <v>0.711030183749171</v>
      </c>
      <c r="H1524" s="26" t="n">
        <f aca="false">IF(A1524&lt;Resumen!$B$11,"",IF(H1523="",0,H1523)+G1524/Resumen!$B$9)</f>
        <v>1.32174463489884</v>
      </c>
      <c r="I1524" s="26" t="n">
        <f aca="false">IF(H1524="","",H1524-AVERAGE(H1476:H1572))</f>
        <v>0.0727068175229872</v>
      </c>
      <c r="J1524" s="27" t="n">
        <f aca="false">IF(I1524="","",Resumen!$B$10-(MAX(I1476:I1572)-I1524))</f>
        <v>1.77945315574395</v>
      </c>
    </row>
    <row r="1525" customFormat="false" ht="15" hidden="false" customHeight="false" outlineLevel="0" collapsed="false">
      <c r="A1525" s="24" t="n">
        <v>46277.2604166667</v>
      </c>
      <c r="B1525" s="10" t="n">
        <v>4.2536</v>
      </c>
      <c r="C1525" s="10" t="n">
        <v>2.6486</v>
      </c>
      <c r="D1525" s="10" t="n">
        <f aca="false">IF(OR(B1525="",C1525="",B1525&lt;=0.05,C1525&lt;=0.05),0,1)</f>
        <v>1</v>
      </c>
      <c r="E1525" s="25" t="n">
        <f aca="false">IF(OR(A1525&lt;Resumen!$B$6,A1525&gt;=Resumen!$B$7),0,MAX(0,AVERAGEIFS(B1477:B1573,D1477:D1573,1)-Resumen!$B$5*AVERAGEIFS(C1477:C1573,D1477:D1573,1)))</f>
        <v>0.70935473814433</v>
      </c>
      <c r="F1525" s="10" t="n">
        <f aca="false">IF(B1525="","",(B1525-E1525)/Resumen!$B$5)</f>
        <v>2.81512729297512</v>
      </c>
      <c r="G1525" s="10" t="n">
        <f aca="false">IF(OR(F1525="",C1525=""),0,(F1525-C1525)*0.9)</f>
        <v>0.149874563677604</v>
      </c>
      <c r="H1525" s="26" t="n">
        <f aca="false">IF(A1525&lt;Resumen!$B$11,"",IF(H1524="",0,H1524)+G1525/Resumen!$B$9)</f>
        <v>1.32882903914534</v>
      </c>
      <c r="I1525" s="26" t="n">
        <f aca="false">IF(H1525="","",H1525-AVERAGE(H1477:H1573))</f>
        <v>0.0805834713214515</v>
      </c>
      <c r="J1525" s="27" t="n">
        <f aca="false">IF(I1525="","",Resumen!$B$10-(MAX(I1477:I1573)-I1525))</f>
        <v>1.78732980954242</v>
      </c>
    </row>
    <row r="1526" customFormat="false" ht="15" hidden="false" customHeight="false" outlineLevel="0" collapsed="false">
      <c r="A1526" s="24" t="n">
        <v>46277.2708333333</v>
      </c>
      <c r="B1526" s="10" t="n">
        <v>5.5723</v>
      </c>
      <c r="C1526" s="10" t="n">
        <v>3.147</v>
      </c>
      <c r="D1526" s="10" t="n">
        <f aca="false">IF(OR(B1526="",C1526="",B1526&lt;=0.05,C1526&lt;=0.05),0,1)</f>
        <v>1</v>
      </c>
      <c r="E1526" s="25" t="n">
        <f aca="false">IF(OR(A1526&lt;Resumen!$B$6,A1526&gt;=Resumen!$B$7),0,MAX(0,AVERAGEIFS(B1478:B1574,D1478:D1574,1)-Resumen!$B$5*AVERAGEIFS(C1478:C1574,D1478:D1574,1)))</f>
        <v>0.721581328865979</v>
      </c>
      <c r="F1526" s="10" t="n">
        <f aca="false">IF(B1526="","",(B1526-E1526)/Resumen!$B$5)</f>
        <v>3.85283452830343</v>
      </c>
      <c r="G1526" s="10" t="n">
        <f aca="false">IF(OR(F1526="",C1526=""),0,(F1526-C1526)*0.9)</f>
        <v>0.635251075473089</v>
      </c>
      <c r="H1526" s="26" t="n">
        <f aca="false">IF(A1526&lt;Resumen!$B$11,"",IF(H1525="",0,H1525)+G1526/Resumen!$B$9)</f>
        <v>1.35885665227894</v>
      </c>
      <c r="I1526" s="26" t="n">
        <f aca="false">IF(H1526="","",H1526-AVERAGE(H1478:H1574))</f>
        <v>0.111010677033556</v>
      </c>
      <c r="J1526" s="27" t="n">
        <f aca="false">IF(I1526="","",Resumen!$B$10-(MAX(I1478:I1574)-I1526))</f>
        <v>1.81775701525452</v>
      </c>
    </row>
    <row r="1527" customFormat="false" ht="15" hidden="false" customHeight="false" outlineLevel="0" collapsed="false">
      <c r="A1527" s="24" t="n">
        <v>46277.28125</v>
      </c>
      <c r="B1527" s="10" t="n">
        <v>5.0319</v>
      </c>
      <c r="C1527" s="10" t="n">
        <v>2.9813</v>
      </c>
      <c r="D1527" s="10" t="n">
        <f aca="false">IF(OR(B1527="",C1527="",B1527&lt;=0.05,C1527&lt;=0.05),0,1)</f>
        <v>1</v>
      </c>
      <c r="E1527" s="25" t="n">
        <f aca="false">IF(OR(A1527&lt;Resumen!$B$6,A1527&gt;=Resumen!$B$7),0,MAX(0,AVERAGEIFS(B1479:B1575,D1479:D1575,1)-Resumen!$B$5*AVERAGEIFS(C1479:C1575,D1479:D1575,1)))</f>
        <v>0.723496346391753</v>
      </c>
      <c r="F1527" s="10" t="n">
        <f aca="false">IF(B1527="","",(B1527-E1527)/Resumen!$B$5)</f>
        <v>3.42208391867216</v>
      </c>
      <c r="G1527" s="10" t="n">
        <f aca="false">IF(OR(F1527="",C1527=""),0,(F1527-C1527)*0.9)</f>
        <v>0.396705526804942</v>
      </c>
      <c r="H1527" s="26" t="n">
        <f aca="false">IF(A1527&lt;Resumen!$B$11,"",IF(H1526="",0,H1526)+G1527/Resumen!$B$9)</f>
        <v>1.37760848214084</v>
      </c>
      <c r="I1527" s="26" t="n">
        <f aca="false">IF(H1527="","",H1527-AVERAGE(H1479:H1575))</f>
        <v>0.130110883817837</v>
      </c>
      <c r="J1527" s="27" t="n">
        <f aca="false">IF(I1527="","",Resumen!$B$10-(MAX(I1479:I1575)-I1527))</f>
        <v>1.8368572220388</v>
      </c>
    </row>
    <row r="1528" customFormat="false" ht="15" hidden="false" customHeight="false" outlineLevel="0" collapsed="false">
      <c r="A1528" s="24" t="n">
        <v>46277.2916666667</v>
      </c>
      <c r="B1528" s="10" t="n">
        <v>4.9929</v>
      </c>
      <c r="C1528" s="10" t="n">
        <v>3.0647</v>
      </c>
      <c r="D1528" s="10" t="n">
        <f aca="false">IF(OR(B1528="",C1528="",B1528&lt;=0.05,C1528&lt;=0.05),0,1)</f>
        <v>1</v>
      </c>
      <c r="E1528" s="25" t="n">
        <f aca="false">IF(OR(A1528&lt;Resumen!$B$6,A1528&gt;=Resumen!$B$7),0,MAX(0,AVERAGEIFS(B1480:B1576,D1480:D1576,1)-Resumen!$B$5*AVERAGEIFS(C1480:C1576,D1480:D1576,1)))</f>
        <v>0.739810415463918</v>
      </c>
      <c r="F1528" s="10" t="n">
        <f aca="false">IF(B1528="","",(B1528-E1528)/Resumen!$B$5)</f>
        <v>3.37814899486583</v>
      </c>
      <c r="G1528" s="10" t="n">
        <f aca="false">IF(OR(F1528="",C1528=""),0,(F1528-C1528)*0.9)</f>
        <v>0.282104095379248</v>
      </c>
      <c r="H1528" s="26" t="n">
        <f aca="false">IF(A1528&lt;Resumen!$B$11,"",IF(H1527="",0,H1527)+G1528/Resumen!$B$9)</f>
        <v>1.39094322956042</v>
      </c>
      <c r="I1528" s="26" t="n">
        <f aca="false">IF(H1528="","",H1528-AVERAGE(H1480:H1576))</f>
        <v>0.143253661779035</v>
      </c>
      <c r="J1528" s="27" t="n">
        <f aca="false">IF(I1528="","",Resumen!$B$10-(MAX(I1480:I1576)-I1528))</f>
        <v>1.85</v>
      </c>
    </row>
    <row r="1529" customFormat="false" ht="15" hidden="false" customHeight="false" outlineLevel="0" collapsed="false">
      <c r="A1529" s="24" t="n">
        <v>46277.3020833333</v>
      </c>
      <c r="B1529" s="10" t="n">
        <v>4.1624</v>
      </c>
      <c r="C1529" s="10" t="n">
        <v>3.1282</v>
      </c>
      <c r="D1529" s="10" t="n">
        <f aca="false">IF(OR(B1529="",C1529="",B1529&lt;=0.05,C1529&lt;=0.05),0,1)</f>
        <v>1</v>
      </c>
      <c r="E1529" s="25" t="n">
        <f aca="false">IF(OR(A1529&lt;Resumen!$B$6,A1529&gt;=Resumen!$B$7),0,MAX(0,AVERAGEIFS(B1481:B1577,D1481:D1577,1)-Resumen!$B$5*AVERAGEIFS(C1481:C1577,D1481:D1577,1)))</f>
        <v>0.730078329896908</v>
      </c>
      <c r="F1529" s="10" t="n">
        <f aca="false">IF(B1529="","",(B1529-E1529)/Resumen!$B$5)</f>
        <v>2.72622849094765</v>
      </c>
      <c r="G1529" s="10" t="n">
        <f aca="false">IF(OR(F1529="",C1529=""),0,(F1529-C1529)*0.9)</f>
        <v>-0.361774358147114</v>
      </c>
      <c r="H1529" s="26" t="n">
        <f aca="false">IF(A1529&lt;Resumen!$B$11,"",IF(H1528="",0,H1528)+G1529/Resumen!$B$9)</f>
        <v>1.37384255726324</v>
      </c>
      <c r="I1529" s="26" t="n">
        <f aca="false">IF(H1529="","",H1529-AVERAGE(H1481:H1577))</f>
        <v>0.126298365923564</v>
      </c>
      <c r="J1529" s="27" t="n">
        <f aca="false">IF(I1529="","",Resumen!$B$10-(MAX(I1481:I1577)-I1529))</f>
        <v>1.83304470414453</v>
      </c>
    </row>
    <row r="1530" customFormat="false" ht="15" hidden="false" customHeight="false" outlineLevel="0" collapsed="false">
      <c r="A1530" s="24" t="n">
        <v>46277.3125</v>
      </c>
      <c r="B1530" s="10" t="n">
        <v>4.0258</v>
      </c>
      <c r="C1530" s="10" t="n">
        <v>2.8831</v>
      </c>
      <c r="D1530" s="10" t="n">
        <f aca="false">IF(OR(B1530="",C1530="",B1530&lt;=0.05,C1530&lt;=0.05),0,1)</f>
        <v>1</v>
      </c>
      <c r="E1530" s="25" t="n">
        <f aca="false">IF(OR(A1530&lt;Resumen!$B$6,A1530&gt;=Resumen!$B$7),0,MAX(0,AVERAGEIFS(B1482:B1578,D1482:D1578,1)-Resumen!$B$5*AVERAGEIFS(C1482:C1578,D1482:D1578,1)))</f>
        <v>0.724672409278351</v>
      </c>
      <c r="F1530" s="10" t="n">
        <f aca="false">IF(B1530="","",(B1530-E1530)/Resumen!$B$5)</f>
        <v>2.62202350335318</v>
      </c>
      <c r="G1530" s="10" t="n">
        <f aca="false">IF(OR(F1530="",C1530=""),0,(F1530-C1530)*0.9)</f>
        <v>-0.234968846982141</v>
      </c>
      <c r="H1530" s="26" t="n">
        <f aca="false">IF(A1530&lt;Resumen!$B$11,"",IF(H1529="",0,H1529)+G1530/Resumen!$B$9)</f>
        <v>1.36273584070967</v>
      </c>
      <c r="I1530" s="26" t="n">
        <f aca="false">IF(H1530="","",H1530-AVERAGE(H1482:H1578))</f>
        <v>0.115530505925376</v>
      </c>
      <c r="J1530" s="27" t="n">
        <f aca="false">IF(I1530="","",Resumen!$B$10-(MAX(I1482:I1578)-I1530))</f>
        <v>1.82227684414634</v>
      </c>
    </row>
    <row r="1531" customFormat="false" ht="15" hidden="false" customHeight="false" outlineLevel="0" collapsed="false">
      <c r="A1531" s="24" t="n">
        <v>46277.3229166667</v>
      </c>
      <c r="B1531" s="10" t="n">
        <v>5.0545</v>
      </c>
      <c r="C1531" s="10" t="n">
        <v>4.2216</v>
      </c>
      <c r="D1531" s="10" t="n">
        <f aca="false">IF(OR(B1531="",C1531="",B1531&lt;=0.05,C1531&lt;=0.05),0,1)</f>
        <v>1</v>
      </c>
      <c r="E1531" s="25" t="n">
        <f aca="false">IF(OR(A1531&lt;Resumen!$B$6,A1531&gt;=Resumen!$B$7),0,MAX(0,AVERAGEIFS(B1483:B1579,D1483:D1579,1)-Resumen!$B$5*AVERAGEIFS(C1483:C1579,D1483:D1579,1)))</f>
        <v>0.7187395814433</v>
      </c>
      <c r="F1531" s="10" t="n">
        <f aca="false">IF(B1531="","",(B1531-E1531)/Resumen!$B$5)</f>
        <v>3.44381288209428</v>
      </c>
      <c r="G1531" s="10" t="n">
        <f aca="false">IF(OR(F1531="",C1531=""),0,(F1531-C1531)*0.9)</f>
        <v>-0.700008406115146</v>
      </c>
      <c r="H1531" s="26" t="n">
        <f aca="false">IF(A1531&lt;Resumen!$B$11,"",IF(H1530="",0,H1530)+G1531/Resumen!$B$9)</f>
        <v>1.32964722044494</v>
      </c>
      <c r="I1531" s="26" t="n">
        <f aca="false">IF(H1531="","",H1531-AVERAGE(H1483:H1579))</f>
        <v>0.0829963584385791</v>
      </c>
      <c r="J1531" s="27" t="n">
        <f aca="false">IF(I1531="","",Resumen!$B$10-(MAX(I1483:I1579)-I1531))</f>
        <v>1.78974269665954</v>
      </c>
    </row>
    <row r="1532" customFormat="false" ht="15" hidden="false" customHeight="false" outlineLevel="0" collapsed="false">
      <c r="A1532" s="24" t="n">
        <v>46277.3333333333</v>
      </c>
      <c r="B1532" s="10" t="n">
        <v>3.9288</v>
      </c>
      <c r="C1532" s="10" t="n">
        <v>2.9114</v>
      </c>
      <c r="D1532" s="10" t="n">
        <f aca="false">IF(OR(B1532="",C1532="",B1532&lt;=0.05,C1532&lt;=0.05),0,1)</f>
        <v>1</v>
      </c>
      <c r="E1532" s="25" t="n">
        <f aca="false">IF(OR(A1532&lt;Resumen!$B$6,A1532&gt;=Resumen!$B$7),0,MAX(0,AVERAGEIFS(B1484:B1580,D1484:D1580,1)-Resumen!$B$5*AVERAGEIFS(C1484:C1580,D1484:D1580,1)))</f>
        <v>0.721644179381443</v>
      </c>
      <c r="F1532" s="10" t="n">
        <f aca="false">IF(B1532="","",(B1532-E1532)/Resumen!$B$5)</f>
        <v>2.54738349532848</v>
      </c>
      <c r="G1532" s="10" t="n">
        <f aca="false">IF(OR(F1532="",C1532=""),0,(F1532-C1532)*0.9)</f>
        <v>-0.327614854204368</v>
      </c>
      <c r="H1532" s="26" t="n">
        <f aca="false">IF(A1532&lt;Resumen!$B$11,"",IF(H1531="",0,H1531)+G1532/Resumen!$B$9)</f>
        <v>1.31416122997803</v>
      </c>
      <c r="I1532" s="26" t="n">
        <f aca="false">IF(H1532="","",H1532-AVERAGE(H1484:H1580))</f>
        <v>0.0679845803633028</v>
      </c>
      <c r="J1532" s="27" t="n">
        <f aca="false">IF(I1532="","",Resumen!$B$10-(MAX(I1484:I1580)-I1532))</f>
        <v>1.77473091858427</v>
      </c>
    </row>
    <row r="1533" customFormat="false" ht="15" hidden="false" customHeight="false" outlineLevel="0" collapsed="false">
      <c r="A1533" s="24" t="n">
        <v>46277.34375</v>
      </c>
      <c r="B1533" s="10" t="n">
        <v>4.6043</v>
      </c>
      <c r="C1533" s="10" t="n">
        <v>3.5564</v>
      </c>
      <c r="D1533" s="10" t="n">
        <f aca="false">IF(OR(B1533="",C1533="",B1533&lt;=0.05,C1533&lt;=0.05),0,1)</f>
        <v>1</v>
      </c>
      <c r="E1533" s="25" t="n">
        <f aca="false">IF(OR(A1533&lt;Resumen!$B$6,A1533&gt;=Resumen!$B$7),0,MAX(0,AVERAGEIFS(B1485:B1581,D1485:D1581,1)-Resumen!$B$5*AVERAGEIFS(C1485:C1581,D1485:D1581,1)))</f>
        <v>0.720841672164949</v>
      </c>
      <c r="F1533" s="10" t="n">
        <f aca="false">IF(B1533="","",(B1533-E1533)/Resumen!$B$5)</f>
        <v>3.08455784577844</v>
      </c>
      <c r="G1533" s="10" t="n">
        <f aca="false">IF(OR(F1533="",C1533=""),0,(F1533-C1533)*0.9)</f>
        <v>-0.424657938799407</v>
      </c>
      <c r="H1533" s="26" t="n">
        <f aca="false">IF(A1533&lt;Resumen!$B$11,"",IF(H1532="",0,H1532)+G1533/Resumen!$B$9)</f>
        <v>1.29408812063165</v>
      </c>
      <c r="I1533" s="26" t="n">
        <f aca="false">IF(H1533="","",H1533-AVERAGE(H1485:H1581))</f>
        <v>0.0484302817403528</v>
      </c>
      <c r="J1533" s="27" t="n">
        <f aca="false">IF(I1533="","",Resumen!$B$10-(MAX(I1485:I1581)-I1533))</f>
        <v>1.75517661996132</v>
      </c>
    </row>
    <row r="1534" customFormat="false" ht="15" hidden="false" customHeight="false" outlineLevel="0" collapsed="false">
      <c r="A1534" s="24" t="n">
        <v>46277.3541666667</v>
      </c>
      <c r="B1534" s="10" t="n">
        <v>4.6454</v>
      </c>
      <c r="C1534" s="10" t="n">
        <v>3.1406</v>
      </c>
      <c r="D1534" s="10" t="n">
        <f aca="false">IF(OR(B1534="",C1534="",B1534&lt;=0.05,C1534&lt;=0.05),0,1)</f>
        <v>1</v>
      </c>
      <c r="E1534" s="25" t="n">
        <f aca="false">IF(OR(A1534&lt;Resumen!$B$6,A1534&gt;=Resumen!$B$7),0,MAX(0,AVERAGEIFS(B1486:B1582,D1486:D1582,1)-Resumen!$B$5*AVERAGEIFS(C1486:C1582,D1486:D1582,1)))</f>
        <v>0.72483254742268</v>
      </c>
      <c r="F1534" s="10" t="n">
        <f aca="false">IF(B1534="","",(B1534-E1534)/Resumen!$B$5)</f>
        <v>3.11403292500184</v>
      </c>
      <c r="G1534" s="10" t="n">
        <f aca="false">IF(OR(F1534="",C1534=""),0,(F1534-C1534)*0.9)</f>
        <v>-0.0239103674983413</v>
      </c>
      <c r="H1534" s="26" t="n">
        <f aca="false">IF(A1534&lt;Resumen!$B$11,"",IF(H1533="",0,H1533)+G1534/Resumen!$B$9)</f>
        <v>1.29295790410335</v>
      </c>
      <c r="I1534" s="26" t="n">
        <f aca="false">IF(H1534="","",H1534-AVERAGE(H1486:H1582))</f>
        <v>0.0477033148340873</v>
      </c>
      <c r="J1534" s="27" t="n">
        <f aca="false">IF(I1534="","",Resumen!$B$10-(MAX(I1486:I1582)-I1534))</f>
        <v>1.75444965305505</v>
      </c>
    </row>
    <row r="1535" customFormat="false" ht="15" hidden="false" customHeight="false" outlineLevel="0" collapsed="false">
      <c r="A1535" s="24" t="n">
        <v>46277.3645833333</v>
      </c>
      <c r="B1535" s="10" t="n">
        <v>4.9527</v>
      </c>
      <c r="C1535" s="10" t="n">
        <v>3.0985</v>
      </c>
      <c r="D1535" s="10" t="n">
        <f aca="false">IF(OR(B1535="",C1535="",B1535&lt;=0.05,C1535&lt;=0.05),0,1)</f>
        <v>1</v>
      </c>
      <c r="E1535" s="25" t="n">
        <f aca="false">IF(OR(A1535&lt;Resumen!$B$6,A1535&gt;=Resumen!$B$7),0,MAX(0,AVERAGEIFS(B1487:B1583,D1487:D1583,1)-Resumen!$B$5*AVERAGEIFS(C1487:C1583,D1487:D1583,1)))</f>
        <v>0.715288432989691</v>
      </c>
      <c r="F1535" s="10" t="n">
        <f aca="false">IF(B1535="","",(B1535-E1535)/Resumen!$B$5)</f>
        <v>3.36569624067538</v>
      </c>
      <c r="G1535" s="10" t="n">
        <f aca="false">IF(OR(F1535="",C1535=""),0,(F1535-C1535)*0.9)</f>
        <v>0.240476616607846</v>
      </c>
      <c r="H1535" s="26" t="n">
        <f aca="false">IF(A1535&lt;Resumen!$B$11,"",IF(H1534="",0,H1534)+G1535/Resumen!$B$9)</f>
        <v>1.30432496681284</v>
      </c>
      <c r="I1535" s="26" t="n">
        <f aca="false">IF(H1535="","",H1535-AVERAGE(H1487:H1583))</f>
        <v>0.0598172331866986</v>
      </c>
      <c r="J1535" s="27" t="n">
        <f aca="false">IF(I1535="","",Resumen!$B$10-(MAX(I1487:I1583)-I1535))</f>
        <v>1.76656357140766</v>
      </c>
    </row>
    <row r="1536" customFormat="false" ht="15" hidden="false" customHeight="false" outlineLevel="0" collapsed="false">
      <c r="A1536" s="24" t="n">
        <v>46277.375</v>
      </c>
      <c r="B1536" s="10" t="n">
        <v>5.7552</v>
      </c>
      <c r="C1536" s="10" t="n">
        <v>4.1611</v>
      </c>
      <c r="D1536" s="10" t="n">
        <f aca="false">IF(OR(B1536="",C1536="",B1536&lt;=0.05,C1536&lt;=0.05),0,1)</f>
        <v>1</v>
      </c>
      <c r="E1536" s="25" t="n">
        <f aca="false">IF(OR(A1536&lt;Resumen!$B$6,A1536&gt;=Resumen!$B$7),0,MAX(0,AVERAGEIFS(B1488:B1584,D1488:D1584,1)-Resumen!$B$5*AVERAGEIFS(C1488:C1584,D1488:D1584,1)))</f>
        <v>0.710204670103094</v>
      </c>
      <c r="F1536" s="10" t="n">
        <f aca="false">IF(B1536="","",(B1536-E1536)/Resumen!$B$5)</f>
        <v>4.00714482120485</v>
      </c>
      <c r="G1536" s="10" t="n">
        <f aca="false">IF(OR(F1536="",C1536=""),0,(F1536-C1536)*0.9)</f>
        <v>-0.138559660915635</v>
      </c>
      <c r="H1536" s="26" t="n">
        <f aca="false">IF(A1536&lt;Resumen!$B$11,"",IF(H1535="",0,H1535)+G1536/Resumen!$B$9)</f>
        <v>1.29777540545901</v>
      </c>
      <c r="I1536" s="26" t="n">
        <f aca="false">IF(H1536="","",H1536-AVERAGE(H1488:H1584))</f>
        <v>0.0542088950677915</v>
      </c>
      <c r="J1536" s="27" t="n">
        <f aca="false">IF(I1536="","",Resumen!$B$10-(MAX(I1488:I1584)-I1536))</f>
        <v>1.76095523328876</v>
      </c>
    </row>
    <row r="1537" customFormat="false" ht="15" hidden="false" customHeight="false" outlineLevel="0" collapsed="false">
      <c r="A1537" s="24" t="n">
        <v>46277.3854166667</v>
      </c>
      <c r="B1537" s="10" t="n">
        <v>5.3024</v>
      </c>
      <c r="C1537" s="10" t="n">
        <v>3.378</v>
      </c>
      <c r="D1537" s="10" t="n">
        <f aca="false">IF(OR(B1537="",C1537="",B1537&lt;=0.05,C1537&lt;=0.05),0,1)</f>
        <v>1</v>
      </c>
      <c r="E1537" s="25" t="n">
        <f aca="false">IF(OR(A1537&lt;Resumen!$B$6,A1537&gt;=Resumen!$B$7),0,MAX(0,AVERAGEIFS(B1489:B1585,D1489:D1585,1)-Resumen!$B$5*AVERAGEIFS(C1489:C1585,D1489:D1585,1)))</f>
        <v>0.707792398969073</v>
      </c>
      <c r="F1537" s="10" t="n">
        <f aca="false">IF(B1537="","",(B1537-E1537)/Resumen!$B$5)</f>
        <v>3.64941032647413</v>
      </c>
      <c r="G1537" s="10" t="n">
        <f aca="false">IF(OR(F1537="",C1537=""),0,(F1537-C1537)*0.9)</f>
        <v>0.244269293826715</v>
      </c>
      <c r="H1537" s="26" t="n">
        <f aca="false">IF(A1537&lt;Resumen!$B$11,"",IF(H1536="",0,H1536)+G1537/Resumen!$B$9)</f>
        <v>1.30932174381032</v>
      </c>
      <c r="I1537" s="26" t="n">
        <f aca="false">IF(H1537="","",H1537-AVERAGE(H1489:H1585))</f>
        <v>0.0668013349862893</v>
      </c>
      <c r="J1537" s="27" t="n">
        <f aca="false">IF(I1537="","",Resumen!$B$10-(MAX(I1489:I1585)-I1537))</f>
        <v>1.77354767320725</v>
      </c>
    </row>
    <row r="1538" customFormat="false" ht="15" hidden="false" customHeight="false" outlineLevel="0" collapsed="false">
      <c r="A1538" s="24" t="n">
        <v>46277.3958333333</v>
      </c>
      <c r="B1538" s="10" t="n">
        <v>5.464</v>
      </c>
      <c r="C1538" s="10" t="n">
        <v>3.8112</v>
      </c>
      <c r="D1538" s="10" t="n">
        <f aca="false">IF(OR(B1538="",C1538="",B1538&lt;=0.05,C1538&lt;=0.05),0,1)</f>
        <v>1</v>
      </c>
      <c r="E1538" s="25" t="n">
        <f aca="false">IF(OR(A1538&lt;Resumen!$B$6,A1538&gt;=Resumen!$B$7),0,MAX(0,AVERAGEIFS(B1490:B1586,D1490:D1586,1)-Resumen!$B$5*AVERAGEIFS(C1490:C1586,D1490:D1586,1)))</f>
        <v>0.71612012886598</v>
      </c>
      <c r="F1538" s="10" t="n">
        <f aca="false">IF(B1538="","",(B1538-E1538)/Resumen!$B$5)</f>
        <v>3.77115160534871</v>
      </c>
      <c r="G1538" s="10" t="n">
        <f aca="false">IF(OR(F1538="",C1538=""),0,(F1538-C1538)*0.9)</f>
        <v>-0.0360435551861642</v>
      </c>
      <c r="H1538" s="26" t="n">
        <f aca="false">IF(A1538&lt;Resumen!$B$11,"",IF(H1537="",0,H1537)+G1538/Resumen!$B$9)</f>
        <v>1.30761800496929</v>
      </c>
      <c r="I1538" s="26" t="n">
        <f aca="false">IF(H1538="","",H1538-AVERAGE(H1490:H1586))</f>
        <v>0.0658852802876166</v>
      </c>
      <c r="J1538" s="27" t="n">
        <f aca="false">IF(I1538="","",Resumen!$B$10-(MAX(I1490:I1586)-I1538))</f>
        <v>1.77263161850858</v>
      </c>
    </row>
    <row r="1539" customFormat="false" ht="15" hidden="false" customHeight="false" outlineLevel="0" collapsed="false">
      <c r="A1539" s="24" t="n">
        <v>46277.40625</v>
      </c>
      <c r="B1539" s="10" t="n">
        <v>5.3221</v>
      </c>
      <c r="C1539" s="10" t="n">
        <v>3.8</v>
      </c>
      <c r="D1539" s="10" t="n">
        <f aca="false">IF(OR(B1539="",C1539="",B1539&lt;=0.05,C1539&lt;=0.05),0,1)</f>
        <v>1</v>
      </c>
      <c r="E1539" s="25" t="n">
        <f aca="false">IF(OR(A1539&lt;Resumen!$B$6,A1539&gt;=Resumen!$B$7),0,MAX(0,AVERAGEIFS(B1491:B1587,D1491:D1587,1)-Resumen!$B$5*AVERAGEIFS(C1491:C1587,D1491:D1587,1)))</f>
        <v>0.724500131958764</v>
      </c>
      <c r="F1539" s="10" t="n">
        <f aca="false">IF(B1539="","",(B1539-E1539)/Resumen!$B$5)</f>
        <v>3.65178702783259</v>
      </c>
      <c r="G1539" s="10" t="n">
        <f aca="false">IF(OR(F1539="",C1539=""),0,(F1539-C1539)*0.9)</f>
        <v>-0.133391674950665</v>
      </c>
      <c r="H1539" s="26" t="n">
        <f aca="false">IF(A1539&lt;Resumen!$B$11,"",IF(H1538="",0,H1538)+G1539/Resumen!$B$9)</f>
        <v>1.30131272857495</v>
      </c>
      <c r="I1539" s="26" t="n">
        <f aca="false">IF(H1539="","",H1539-AVERAGE(H1491:H1587))</f>
        <v>0.0601092118575339</v>
      </c>
      <c r="J1539" s="27" t="n">
        <f aca="false">IF(I1539="","",Resumen!$B$10-(MAX(I1491:I1587)-I1539))</f>
        <v>1.7668555500785</v>
      </c>
    </row>
    <row r="1540" customFormat="false" ht="15" hidden="false" customHeight="false" outlineLevel="0" collapsed="false">
      <c r="A1540" s="24" t="n">
        <v>46277.4166666667</v>
      </c>
      <c r="B1540" s="10" t="n">
        <v>5.1697</v>
      </c>
      <c r="C1540" s="10" t="n">
        <v>3.4054</v>
      </c>
      <c r="D1540" s="10" t="n">
        <f aca="false">IF(OR(B1540="",C1540="",B1540&lt;=0.05,C1540&lt;=0.05),0,1)</f>
        <v>1</v>
      </c>
      <c r="E1540" s="25" t="n">
        <f aca="false">IF(OR(A1540&lt;Resumen!$B$6,A1540&gt;=Resumen!$B$7),0,MAX(0,AVERAGEIFS(B1492:B1588,D1492:D1588,1)-Resumen!$B$5*AVERAGEIFS(C1492:C1588,D1492:D1588,1)))</f>
        <v>0.720526792783506</v>
      </c>
      <c r="F1540" s="10" t="n">
        <f aca="false">IF(B1540="","",(B1540-E1540)/Resumen!$B$5)</f>
        <v>3.53389452519182</v>
      </c>
      <c r="G1540" s="10" t="n">
        <f aca="false">IF(OR(F1540="",C1540=""),0,(F1540-C1540)*0.9)</f>
        <v>0.115645072672633</v>
      </c>
      <c r="H1540" s="26" t="n">
        <f aca="false">IF(A1540&lt;Resumen!$B$11,"",IF(H1539="",0,H1539)+G1540/Resumen!$B$9)</f>
        <v>1.30677914278044</v>
      </c>
      <c r="I1540" s="26" t="n">
        <f aca="false">IF(H1540="","",H1540-AVERAGE(H1492:H1588))</f>
        <v>0.0662634127839497</v>
      </c>
      <c r="J1540" s="27" t="n">
        <f aca="false">IF(I1540="","",Resumen!$B$10-(MAX(I1492:I1588)-I1540))</f>
        <v>1.77300975100492</v>
      </c>
    </row>
    <row r="1541" customFormat="false" ht="15" hidden="false" customHeight="false" outlineLevel="0" collapsed="false">
      <c r="A1541" s="24" t="n">
        <v>46277.4270833333</v>
      </c>
      <c r="B1541" s="10" t="n">
        <v>5.5415</v>
      </c>
      <c r="C1541" s="10" t="n">
        <v>3.7664</v>
      </c>
      <c r="D1541" s="10" t="n">
        <f aca="false">IF(OR(B1541="",C1541="",B1541&lt;=0.05,C1541&lt;=0.05),0,1)</f>
        <v>1</v>
      </c>
      <c r="E1541" s="25" t="n">
        <f aca="false">IF(OR(A1541&lt;Resumen!$B$6,A1541&gt;=Resumen!$B$7),0,MAX(0,AVERAGEIFS(B1493:B1589,D1493:D1589,1)-Resumen!$B$5*AVERAGEIFS(C1493:C1589,D1493:D1589,1)))</f>
        <v>0.720005849484536</v>
      </c>
      <c r="F1541" s="10" t="n">
        <f aca="false">IF(B1541="","",(B1541-E1541)/Resumen!$B$5)</f>
        <v>3.82962204171205</v>
      </c>
      <c r="G1541" s="10" t="n">
        <f aca="false">IF(OR(F1541="",C1541=""),0,(F1541-C1541)*0.9)</f>
        <v>0.0568998375408405</v>
      </c>
      <c r="H1541" s="26" t="n">
        <f aca="false">IF(A1541&lt;Resumen!$B$11,"",IF(H1540="",0,H1540)+G1541/Resumen!$B$9)</f>
        <v>1.30946873493543</v>
      </c>
      <c r="I1541" s="26" t="n">
        <f aca="false">IF(H1541="","",H1541-AVERAGE(H1493:H1589))</f>
        <v>0.0696776494808711</v>
      </c>
      <c r="J1541" s="27" t="n">
        <f aca="false">IF(I1541="","",Resumen!$B$10-(MAX(I1493:I1589)-I1541))</f>
        <v>1.77642398770184</v>
      </c>
    </row>
    <row r="1542" customFormat="false" ht="15" hidden="false" customHeight="false" outlineLevel="0" collapsed="false">
      <c r="A1542" s="24" t="n">
        <v>46277.4375</v>
      </c>
      <c r="B1542" s="10" t="n">
        <v>5.3108</v>
      </c>
      <c r="C1542" s="10" t="n">
        <v>3.6909</v>
      </c>
      <c r="D1542" s="10" t="n">
        <f aca="false">IF(OR(B1542="",C1542="",B1542&lt;=0.05,C1542&lt;=0.05),0,1)</f>
        <v>1</v>
      </c>
      <c r="E1542" s="25" t="n">
        <f aca="false">IF(OR(A1542&lt;Resumen!$B$6,A1542&gt;=Resumen!$B$7),0,MAX(0,AVERAGEIFS(B1494:B1590,D1494:D1590,1)-Resumen!$B$5*AVERAGEIFS(C1494:C1590,D1494:D1590,1)))</f>
        <v>0.72603551443299</v>
      </c>
      <c r="F1542" s="10" t="n">
        <f aca="false">IF(B1542="","",(B1542-E1542)/Resumen!$B$5)</f>
        <v>3.64159212515251</v>
      </c>
      <c r="G1542" s="10" t="n">
        <f aca="false">IF(OR(F1542="",C1542=""),0,(F1542-C1542)*0.9)</f>
        <v>-0.0443770873627404</v>
      </c>
      <c r="H1542" s="26" t="n">
        <f aca="false">IF(A1542&lt;Resumen!$B$11,"",IF(H1541="",0,H1541)+G1542/Resumen!$B$9)</f>
        <v>1.30737107927962</v>
      </c>
      <c r="I1542" s="26" t="n">
        <f aca="false">IF(H1542="","",H1542-AVERAGE(H1494:H1590))</f>
        <v>0.0681200608728374</v>
      </c>
      <c r="J1542" s="27" t="n">
        <f aca="false">IF(I1542="","",Resumen!$B$10-(MAX(I1494:I1590)-I1542))</f>
        <v>1.7748663990938</v>
      </c>
    </row>
    <row r="1543" customFormat="false" ht="15" hidden="false" customHeight="false" outlineLevel="0" collapsed="false">
      <c r="A1543" s="24" t="n">
        <v>46277.4479166667</v>
      </c>
      <c r="B1543" s="10" t="n">
        <v>5.3543</v>
      </c>
      <c r="C1543" s="10" t="n">
        <v>3.3487</v>
      </c>
      <c r="D1543" s="10" t="n">
        <f aca="false">IF(OR(B1543="",C1543="",B1543&lt;=0.05,C1543&lt;=0.05),0,1)</f>
        <v>1</v>
      </c>
      <c r="E1543" s="25" t="n">
        <f aca="false">IF(OR(A1543&lt;Resumen!$B$6,A1543&gt;=Resumen!$B$7),0,MAX(0,AVERAGEIFS(B1495:B1591,D1495:D1591,1)-Resumen!$B$5*AVERAGEIFS(C1495:C1591,D1495:D1591,1)))</f>
        <v>0.731718586597939</v>
      </c>
      <c r="F1543" s="10" t="n">
        <f aca="false">IF(B1543="","",(B1543-E1543)/Resumen!$B$5)</f>
        <v>3.6716293990485</v>
      </c>
      <c r="G1543" s="10" t="n">
        <f aca="false">IF(OR(F1543="",C1543=""),0,(F1543-C1543)*0.9)</f>
        <v>0.29063645914365</v>
      </c>
      <c r="H1543" s="26" t="n">
        <f aca="false">IF(A1543&lt;Resumen!$B$11,"",IF(H1542="",0,H1542)+G1543/Resumen!$B$9)</f>
        <v>1.32110914206241</v>
      </c>
      <c r="I1543" s="26" t="n">
        <f aca="false">IF(H1543="","",H1543-AVERAGE(H1495:H1591))</f>
        <v>0.0822276987757629</v>
      </c>
      <c r="J1543" s="27" t="n">
        <f aca="false">IF(I1543="","",Resumen!$B$10-(MAX(I1495:I1591)-I1543))</f>
        <v>1.78897403699673</v>
      </c>
    </row>
    <row r="1544" customFormat="false" ht="15" hidden="false" customHeight="false" outlineLevel="0" collapsed="false">
      <c r="A1544" s="24" t="n">
        <v>46277.4583333333</v>
      </c>
      <c r="B1544" s="10" t="n">
        <v>5.3691</v>
      </c>
      <c r="C1544" s="10" t="n">
        <v>4.4012</v>
      </c>
      <c r="D1544" s="10" t="n">
        <f aca="false">IF(OR(B1544="",C1544="",B1544&lt;=0.05,C1544&lt;=0.05),0,1)</f>
        <v>1</v>
      </c>
      <c r="E1544" s="25" t="n">
        <f aca="false">IF(OR(A1544&lt;Resumen!$B$6,A1544&gt;=Resumen!$B$7),0,MAX(0,AVERAGEIFS(B1496:B1592,D1496:D1592,1)-Resumen!$B$5*AVERAGEIFS(C1496:C1592,D1496:D1592,1)))</f>
        <v>0.737054136082474</v>
      </c>
      <c r="F1544" s="10" t="n">
        <f aca="false">IF(B1544="","",(B1544-E1544)/Resumen!$B$5)</f>
        <v>3.67914683392973</v>
      </c>
      <c r="G1544" s="10" t="n">
        <f aca="false">IF(OR(F1544="",C1544=""),0,(F1544-C1544)*0.9)</f>
        <v>-0.649847849463246</v>
      </c>
      <c r="H1544" s="26" t="n">
        <f aca="false">IF(A1544&lt;Resumen!$B$11,"",IF(H1543="",0,H1543)+G1544/Resumen!$B$9)</f>
        <v>1.29039155562645</v>
      </c>
      <c r="I1544" s="26" t="n">
        <f aca="false">IF(H1544="","",H1544-AVERAGE(H1496:H1592))</f>
        <v>0.051717522997198</v>
      </c>
      <c r="J1544" s="27" t="n">
        <f aca="false">IF(I1544="","",Resumen!$B$10-(MAX(I1496:I1592)-I1544))</f>
        <v>1.75846386121816</v>
      </c>
    </row>
    <row r="1545" customFormat="false" ht="15" hidden="false" customHeight="false" outlineLevel="0" collapsed="false">
      <c r="A1545" s="24" t="n">
        <v>46277.46875</v>
      </c>
      <c r="B1545" s="10" t="n">
        <v>5.6811</v>
      </c>
      <c r="C1545" s="10" t="n">
        <v>3.6628</v>
      </c>
      <c r="D1545" s="10" t="n">
        <f aca="false">IF(OR(B1545="",C1545="",B1545&lt;=0.05,C1545&lt;=0.05),0,1)</f>
        <v>1</v>
      </c>
      <c r="E1545" s="25" t="n">
        <f aca="false">IF(OR(A1545&lt;Resumen!$B$6,A1545&gt;=Resumen!$B$7),0,MAX(0,AVERAGEIFS(B1497:B1593,D1497:D1593,1)-Resumen!$B$5*AVERAGEIFS(C1497:C1593,D1497:D1593,1)))</f>
        <v>0.735922757731959</v>
      </c>
      <c r="F1545" s="10" t="n">
        <f aca="false">IF(B1545="","",(B1545-E1545)/Resumen!$B$5)</f>
        <v>3.92786119322323</v>
      </c>
      <c r="G1545" s="10" t="n">
        <f aca="false">IF(OR(F1545="",C1545=""),0,(F1545-C1545)*0.9)</f>
        <v>0.238555073900904</v>
      </c>
      <c r="H1545" s="26" t="n">
        <f aca="false">IF(A1545&lt;Resumen!$B$11,"",IF(H1544="",0,H1544)+G1545/Resumen!$B$9)</f>
        <v>1.30166778914533</v>
      </c>
      <c r="I1545" s="26" t="n">
        <f aca="false">IF(H1545="","",H1545-AVERAGE(H1497:H1593))</f>
        <v>0.0632611402129013</v>
      </c>
      <c r="J1545" s="27" t="n">
        <f aca="false">IF(I1545="","",Resumen!$B$10-(MAX(I1497:I1593)-I1545))</f>
        <v>1.77000747843387</v>
      </c>
    </row>
    <row r="1546" customFormat="false" ht="15" hidden="false" customHeight="false" outlineLevel="0" collapsed="false">
      <c r="A1546" s="24" t="n">
        <v>46277.4791666667</v>
      </c>
      <c r="B1546" s="10" t="n">
        <v>5.2017</v>
      </c>
      <c r="C1546" s="10" t="n">
        <v>3.4894</v>
      </c>
      <c r="D1546" s="10" t="n">
        <f aca="false">IF(OR(B1546="",C1546="",B1546&lt;=0.05,C1546&lt;=0.05),0,1)</f>
        <v>1</v>
      </c>
      <c r="E1546" s="25" t="n">
        <f aca="false">IF(OR(A1546&lt;Resumen!$B$6,A1546&gt;=Resumen!$B$7),0,MAX(0,AVERAGEIFS(B1498:B1594,D1498:D1594,1)-Resumen!$B$5*AVERAGEIFS(C1498:C1594,D1498:D1594,1)))</f>
        <v>0.743291618556701</v>
      </c>
      <c r="F1546" s="10" t="n">
        <f aca="false">IF(B1546="","",(B1546-E1546)/Resumen!$B$5)</f>
        <v>3.54122985023296</v>
      </c>
      <c r="G1546" s="10" t="n">
        <f aca="false">IF(OR(F1546="",C1546=""),0,(F1546-C1546)*0.9)</f>
        <v>0.0466468652096657</v>
      </c>
      <c r="H1546" s="26" t="n">
        <f aca="false">IF(A1546&lt;Resumen!$B$11,"",IF(H1545="",0,H1545)+G1546/Resumen!$B$9)</f>
        <v>1.30387273468024</v>
      </c>
      <c r="I1546" s="26" t="n">
        <f aca="false">IF(H1546="","",H1546-AVERAGE(H1498:H1594))</f>
        <v>0.0655050131289108</v>
      </c>
      <c r="J1546" s="27" t="n">
        <f aca="false">IF(I1546="","",Resumen!$B$10-(MAX(I1498:I1594)-I1546))</f>
        <v>1.77225135134988</v>
      </c>
    </row>
    <row r="1547" customFormat="false" ht="15" hidden="false" customHeight="false" outlineLevel="0" collapsed="false">
      <c r="A1547" s="24" t="n">
        <v>46277.4895833333</v>
      </c>
      <c r="B1547" s="10" t="n">
        <v>5.4656</v>
      </c>
      <c r="C1547" s="10" t="n">
        <v>4.0557</v>
      </c>
      <c r="D1547" s="10" t="n">
        <f aca="false">IF(OR(B1547="",C1547="",B1547&lt;=0.05,C1547&lt;=0.05),0,1)</f>
        <v>1</v>
      </c>
      <c r="E1547" s="25" t="n">
        <f aca="false">IF(OR(A1547&lt;Resumen!$B$6,A1547&gt;=Resumen!$B$7),0,MAX(0,AVERAGEIFS(B1499:B1595,D1499:D1595,1)-Resumen!$B$5*AVERAGEIFS(C1499:C1595,D1499:D1595,1)))</f>
        <v>0.750187107216495</v>
      </c>
      <c r="F1547" s="10" t="n">
        <f aca="false">IF(B1547="","",(B1547-E1547)/Resumen!$B$5)</f>
        <v>3.74536369561835</v>
      </c>
      <c r="G1547" s="10" t="n">
        <f aca="false">IF(OR(F1547="",C1547=""),0,(F1547-C1547)*0.9)</f>
        <v>-0.279302673943483</v>
      </c>
      <c r="H1547" s="26" t="n">
        <f aca="false">IF(A1547&lt;Resumen!$B$11,"",IF(H1546="",0,H1546)+G1547/Resumen!$B$9)</f>
        <v>1.29067040734201</v>
      </c>
      <c r="I1547" s="26" t="n">
        <f aca="false">IF(H1547="","",H1547-AVERAGE(H1499:H1595))</f>
        <v>0.0521297751537746</v>
      </c>
      <c r="J1547" s="27" t="n">
        <f aca="false">IF(I1547="","",Resumen!$B$10-(MAX(I1499:I1595)-I1547))</f>
        <v>1.75887611337474</v>
      </c>
    </row>
    <row r="1548" customFormat="false" ht="15" hidden="false" customHeight="false" outlineLevel="0" collapsed="false">
      <c r="A1548" s="24" t="n">
        <v>46277.5</v>
      </c>
      <c r="B1548" s="10" t="n">
        <v>5.4373</v>
      </c>
      <c r="C1548" s="10" t="n">
        <v>3.6172</v>
      </c>
      <c r="D1548" s="10" t="n">
        <f aca="false">IF(OR(B1548="",C1548="",B1548&lt;=0.05,C1548&lt;=0.05),0,1)</f>
        <v>1</v>
      </c>
      <c r="E1548" s="25" t="n">
        <f aca="false">IF(OR(A1548&lt;Resumen!$B$6,A1548&gt;=Resumen!$B$7),0,MAX(0,AVERAGEIFS(B1500:B1596,D1500:D1596,1)-Resumen!$B$5*AVERAGEIFS(C1500:C1596,D1500:D1596,1)))</f>
        <v>0.751258787628866</v>
      </c>
      <c r="F1548" s="10" t="n">
        <f aca="false">IF(B1548="","",(B1548-E1548)/Resumen!$B$5)</f>
        <v>3.72203432277294</v>
      </c>
      <c r="G1548" s="10" t="n">
        <f aca="false">IF(OR(F1548="",C1548=""),0,(F1548-C1548)*0.9)</f>
        <v>0.0943508904956478</v>
      </c>
      <c r="H1548" s="26" t="n">
        <f aca="false">IF(A1548&lt;Resumen!$B$11,"",IF(H1547="",0,H1547)+G1548/Resumen!$B$9)</f>
        <v>1.29513026919507</v>
      </c>
      <c r="I1548" s="26" t="n">
        <f aca="false">IF(H1548="","",H1548-AVERAGE(H1500:H1596))</f>
        <v>0.0564104570663986</v>
      </c>
      <c r="J1548" s="27" t="n">
        <f aca="false">IF(I1548="","",Resumen!$B$10-(MAX(I1500:I1596)-I1548))</f>
        <v>1.76315679528736</v>
      </c>
    </row>
    <row r="1549" customFormat="false" ht="15" hidden="false" customHeight="false" outlineLevel="0" collapsed="false">
      <c r="A1549" s="24" t="n">
        <v>46277.5104166667</v>
      </c>
      <c r="B1549" s="10" t="n">
        <v>4.7701</v>
      </c>
      <c r="C1549" s="10" t="n">
        <v>3.4044</v>
      </c>
      <c r="D1549" s="10" t="n">
        <f aca="false">IF(OR(B1549="",C1549="",B1549&lt;=0.05,C1549&lt;=0.05),0,1)</f>
        <v>1</v>
      </c>
      <c r="E1549" s="25" t="n">
        <f aca="false">IF(OR(A1549&lt;Resumen!$B$6,A1549&gt;=Resumen!$B$7),0,MAX(0,AVERAGEIFS(B1501:B1597,D1501:D1597,1)-Resumen!$B$5*AVERAGEIFS(C1501:C1597,D1501:D1597,1)))</f>
        <v>0.751410848453609</v>
      </c>
      <c r="F1549" s="10" t="n">
        <f aca="false">IF(B1549="","",(B1549-E1549)/Resumen!$B$5)</f>
        <v>3.1919691434046</v>
      </c>
      <c r="G1549" s="10" t="n">
        <f aca="false">IF(OR(F1549="",C1549=""),0,(F1549-C1549)*0.9)</f>
        <v>-0.191187770935859</v>
      </c>
      <c r="H1549" s="26" t="n">
        <f aca="false">IF(A1549&lt;Resumen!$B$11,"",IF(H1548="",0,H1548)+G1549/Resumen!$B$9)</f>
        <v>1.28609303550403</v>
      </c>
      <c r="I1549" s="26" t="n">
        <f aca="false">IF(H1549="","",H1549-AVERAGE(H1501:H1597))</f>
        <v>0.0472113711445661</v>
      </c>
      <c r="J1549" s="27" t="n">
        <f aca="false">IF(I1549="","",Resumen!$B$10-(MAX(I1501:I1597)-I1549))</f>
        <v>1.75395770936553</v>
      </c>
    </row>
    <row r="1550" customFormat="false" ht="15" hidden="false" customHeight="false" outlineLevel="0" collapsed="false">
      <c r="A1550" s="24" t="n">
        <v>46277.5208333333</v>
      </c>
      <c r="B1550" s="10" t="n">
        <v>6.0324</v>
      </c>
      <c r="C1550" s="10" t="n">
        <v>4.0867</v>
      </c>
      <c r="D1550" s="10" t="n">
        <f aca="false">IF(OR(B1550="",C1550="",B1550&lt;=0.05,C1550&lt;=0.05),0,1)</f>
        <v>1</v>
      </c>
      <c r="E1550" s="25" t="n">
        <f aca="false">IF(OR(A1550&lt;Resumen!$B$6,A1550&gt;=Resumen!$B$7),0,MAX(0,AVERAGEIFS(B1502:B1598,D1502:D1598,1)-Resumen!$B$5*AVERAGEIFS(C1502:C1598,D1502:D1598,1)))</f>
        <v>0.755530688659794</v>
      </c>
      <c r="F1550" s="10" t="n">
        <f aca="false">IF(B1550="","",(B1550-E1550)/Resumen!$B$5)</f>
        <v>4.19131795976188</v>
      </c>
      <c r="G1550" s="10" t="n">
        <f aca="false">IF(OR(F1550="",C1550=""),0,(F1550-C1550)*0.9)</f>
        <v>0.0941561637856919</v>
      </c>
      <c r="H1550" s="26" t="n">
        <f aca="false">IF(A1550&lt;Resumen!$B$11,"",IF(H1549="",0,H1549)+G1550/Resumen!$B$9)</f>
        <v>1.29054369284167</v>
      </c>
      <c r="I1550" s="26" t="n">
        <f aca="false">IF(H1550="","",H1550-AVERAGE(H1502:H1598))</f>
        <v>0.0513835751640666</v>
      </c>
      <c r="J1550" s="27" t="n">
        <f aca="false">IF(I1550="","",Resumen!$B$10-(MAX(I1502:I1598)-I1550))</f>
        <v>1.75812991338503</v>
      </c>
    </row>
    <row r="1551" customFormat="false" ht="15" hidden="false" customHeight="false" outlineLevel="0" collapsed="false">
      <c r="A1551" s="24" t="n">
        <v>46277.53125</v>
      </c>
      <c r="B1551" s="10" t="n">
        <v>6.1423</v>
      </c>
      <c r="C1551" s="10" t="n">
        <v>4.6687</v>
      </c>
      <c r="D1551" s="10" t="n">
        <f aca="false">IF(OR(B1551="",C1551="",B1551&lt;=0.05,C1551&lt;=0.05),0,1)</f>
        <v>1</v>
      </c>
      <c r="E1551" s="25" t="n">
        <f aca="false">IF(OR(A1551&lt;Resumen!$B$6,A1551&gt;=Resumen!$B$7),0,MAX(0,AVERAGEIFS(B1503:B1599,D1503:D1599,1)-Resumen!$B$5*AVERAGEIFS(C1503:C1599,D1503:D1599,1)))</f>
        <v>0.75862853814433</v>
      </c>
      <c r="F1551" s="10" t="n">
        <f aca="false">IF(B1551="","",(B1551-E1551)/Resumen!$B$5)</f>
        <v>4.27614889742309</v>
      </c>
      <c r="G1551" s="10" t="n">
        <f aca="false">IF(OR(F1551="",C1551=""),0,(F1551-C1551)*0.9)</f>
        <v>-0.35329599231922</v>
      </c>
      <c r="H1551" s="26" t="n">
        <f aca="false">IF(A1551&lt;Resumen!$B$11,"",IF(H1550="",0,H1550)+G1551/Resumen!$B$9)</f>
        <v>1.27384378348518</v>
      </c>
      <c r="I1551" s="26" t="n">
        <f aca="false">IF(H1551="","",H1551-AVERAGE(H1503:H1599))</f>
        <v>0.0343208884568351</v>
      </c>
      <c r="J1551" s="27" t="n">
        <f aca="false">IF(I1551="","",Resumen!$B$10-(MAX(I1503:I1599)-I1551))</f>
        <v>1.7410672266778</v>
      </c>
    </row>
    <row r="1552" customFormat="false" ht="15" hidden="false" customHeight="false" outlineLevel="0" collapsed="false">
      <c r="A1552" s="24" t="n">
        <v>46277.5416666667</v>
      </c>
      <c r="B1552" s="10" t="n">
        <v>5.3229</v>
      </c>
      <c r="C1552" s="10" t="n">
        <v>3.9577</v>
      </c>
      <c r="D1552" s="10" t="n">
        <f aca="false">IF(OR(B1552="",C1552="",B1552&lt;=0.05,C1552&lt;=0.05),0,1)</f>
        <v>1</v>
      </c>
      <c r="E1552" s="25" t="n">
        <f aca="false">IF(OR(A1552&lt;Resumen!$B$6,A1552&gt;=Resumen!$B$7),0,MAX(0,AVERAGEIFS(B1504:B1600,D1504:D1600,1)-Resumen!$B$5*AVERAGEIFS(C1504:C1600,D1504:D1600,1)))</f>
        <v>0.761316571134021</v>
      </c>
      <c r="F1552" s="10" t="n">
        <f aca="false">IF(B1552="","",(B1552-E1552)/Resumen!$B$5)</f>
        <v>3.62317984818584</v>
      </c>
      <c r="G1552" s="10" t="n">
        <f aca="false">IF(OR(F1552="",C1552=""),0,(F1552-C1552)*0.9)</f>
        <v>-0.30106813663274</v>
      </c>
      <c r="H1552" s="26" t="n">
        <f aca="false">IF(A1552&lt;Resumen!$B$11,"",IF(H1551="",0,H1551)+G1552/Resumen!$B$9)</f>
        <v>1.25961262688788</v>
      </c>
      <c r="I1552" s="26" t="n">
        <f aca="false">IF(H1552="","",H1552-AVERAGE(H1504:H1600))</f>
        <v>0.0196603585311592</v>
      </c>
      <c r="J1552" s="27" t="n">
        <f aca="false">IF(I1552="","",Resumen!$B$10-(MAX(I1504:I1600)-I1552))</f>
        <v>1.72640669675212</v>
      </c>
    </row>
    <row r="1553" customFormat="false" ht="15" hidden="false" customHeight="false" outlineLevel="0" collapsed="false">
      <c r="A1553" s="24" t="n">
        <v>46277.5520833333</v>
      </c>
      <c r="B1553" s="10" t="n">
        <v>5.3408</v>
      </c>
      <c r="C1553" s="10" t="n">
        <v>3.7259</v>
      </c>
      <c r="D1553" s="10" t="n">
        <f aca="false">IF(OR(B1553="",C1553="",B1553&lt;=0.05,C1553&lt;=0.05),0,1)</f>
        <v>1</v>
      </c>
      <c r="E1553" s="25" t="n">
        <f aca="false">IF(OR(A1553&lt;Resumen!$B$6,A1553&gt;=Resumen!$B$7),0,MAX(0,AVERAGEIFS(B1505:B1601,D1505:D1601,1)-Resumen!$B$5*AVERAGEIFS(C1505:C1601,D1505:D1601,1)))</f>
        <v>0.756105974226804</v>
      </c>
      <c r="F1553" s="10" t="n">
        <f aca="false">IF(B1553="","",(B1553-E1553)/Resumen!$B$5)</f>
        <v>3.64153616026465</v>
      </c>
      <c r="G1553" s="10" t="n">
        <f aca="false">IF(OR(F1553="",C1553=""),0,(F1553-C1553)*0.9)</f>
        <v>-0.0759274557618137</v>
      </c>
      <c r="H1553" s="26" t="n">
        <f aca="false">IF(A1553&lt;Resumen!$B$11,"",IF(H1552="",0,H1552)+G1553/Resumen!$B$9)</f>
        <v>1.2560236203425</v>
      </c>
      <c r="I1553" s="26" t="n">
        <f aca="false">IF(H1553="","",H1553-AVERAGE(H1505:H1601))</f>
        <v>0.0158450757203998</v>
      </c>
      <c r="J1553" s="27" t="n">
        <f aca="false">IF(I1553="","",Resumen!$B$10-(MAX(I1505:I1601)-I1553))</f>
        <v>1.72259141394137</v>
      </c>
    </row>
    <row r="1554" customFormat="false" ht="15" hidden="false" customHeight="false" outlineLevel="0" collapsed="false">
      <c r="A1554" s="24" t="n">
        <v>46277.5625</v>
      </c>
      <c r="B1554" s="10" t="n">
        <v>5.3894</v>
      </c>
      <c r="C1554" s="10" t="n">
        <v>3.7246</v>
      </c>
      <c r="D1554" s="10" t="n">
        <f aca="false">IF(OR(B1554="",C1554="",B1554&lt;=0.05,C1554&lt;=0.05),0,1)</f>
        <v>1</v>
      </c>
      <c r="E1554" s="25" t="n">
        <f aca="false">IF(OR(A1554&lt;Resumen!$B$6,A1554&gt;=Resumen!$B$7),0,MAX(0,AVERAGEIFS(B1506:B1602,D1506:D1602,1)-Resumen!$B$5*AVERAGEIFS(C1506:C1602,D1506:D1602,1)))</f>
        <v>0.749905878350516</v>
      </c>
      <c r="F1554" s="10" t="n">
        <f aca="false">IF(B1554="","",(B1554-E1554)/Resumen!$B$5)</f>
        <v>3.68506284483676</v>
      </c>
      <c r="G1554" s="10" t="n">
        <f aca="false">IF(OR(F1554="",C1554=""),0,(F1554-C1554)*0.9)</f>
        <v>-0.0355834396469134</v>
      </c>
      <c r="H1554" s="26" t="n">
        <f aca="false">IF(A1554&lt;Resumen!$B$11,"",IF(H1553="",0,H1553)+G1554/Resumen!$B$9)</f>
        <v>1.25434163065223</v>
      </c>
      <c r="I1554" s="26" t="n">
        <f aca="false">IF(H1554="","",H1554-AVERAGE(H1506:H1602))</f>
        <v>0.0141766810794199</v>
      </c>
      <c r="J1554" s="27" t="n">
        <f aca="false">IF(I1554="","",Resumen!$B$10-(MAX(I1506:I1602)-I1554))</f>
        <v>1.72092301930039</v>
      </c>
    </row>
    <row r="1555" customFormat="false" ht="15" hidden="false" customHeight="false" outlineLevel="0" collapsed="false">
      <c r="A1555" s="24" t="n">
        <v>46277.5729166667</v>
      </c>
      <c r="B1555" s="10" t="n">
        <v>4.2909</v>
      </c>
      <c r="C1555" s="10" t="n">
        <v>2.7866</v>
      </c>
      <c r="D1555" s="10" t="n">
        <f aca="false">IF(OR(B1555="",C1555="",B1555&lt;=0.05,C1555&lt;=0.05),0,1)</f>
        <v>1</v>
      </c>
      <c r="E1555" s="25" t="n">
        <f aca="false">IF(OR(A1555&lt;Resumen!$B$6,A1555&gt;=Resumen!$B$7),0,MAX(0,AVERAGEIFS(B1507:B1603,D1507:D1603,1)-Resumen!$B$5*AVERAGEIFS(C1507:C1603,D1507:D1603,1)))</f>
        <v>0.757741237113402</v>
      </c>
      <c r="F1555" s="10" t="n">
        <f aca="false">IF(B1555="","",(B1555-E1555)/Resumen!$B$5)</f>
        <v>2.80632149554138</v>
      </c>
      <c r="G1555" s="10" t="n">
        <f aca="false">IF(OR(F1555="",C1555=""),0,(F1555-C1555)*0.9)</f>
        <v>0.0177493459872424</v>
      </c>
      <c r="H1555" s="26" t="n">
        <f aca="false">IF(A1555&lt;Resumen!$B$11,"",IF(H1554="",0,H1554)+G1555/Resumen!$B$9)</f>
        <v>1.25518062253317</v>
      </c>
      <c r="I1555" s="26" t="n">
        <f aca="false">IF(H1555="","",H1555-AVERAGE(H1507:H1603))</f>
        <v>0.0147999174778368</v>
      </c>
      <c r="J1555" s="27" t="n">
        <f aca="false">IF(I1555="","",Resumen!$B$10-(MAX(I1507:I1603)-I1555))</f>
        <v>1.7215462556988</v>
      </c>
    </row>
    <row r="1556" customFormat="false" ht="15" hidden="false" customHeight="false" outlineLevel="0" collapsed="false">
      <c r="A1556" s="24" t="n">
        <v>46277.5833333333</v>
      </c>
      <c r="B1556" s="10" t="n">
        <v>4.9653</v>
      </c>
      <c r="C1556" s="10" t="n">
        <v>3.011</v>
      </c>
      <c r="D1556" s="10" t="n">
        <f aca="false">IF(OR(B1556="",C1556="",B1556&lt;=0.05,C1556&lt;=0.05),0,1)</f>
        <v>1</v>
      </c>
      <c r="E1556" s="25" t="n">
        <f aca="false">IF(OR(A1556&lt;Resumen!$B$6,A1556&gt;=Resumen!$B$7),0,MAX(0,AVERAGEIFS(B1508:B1604,D1508:D1604,1)-Resumen!$B$5*AVERAGEIFS(C1508:C1604,D1508:D1604,1)))</f>
        <v>0.755608529896907</v>
      </c>
      <c r="F1556" s="10" t="n">
        <f aca="false">IF(B1556="","",(B1556-E1556)/Resumen!$B$5)</f>
        <v>3.34367868951795</v>
      </c>
      <c r="G1556" s="10" t="n">
        <f aca="false">IF(OR(F1556="",C1556=""),0,(F1556-C1556)*0.9)</f>
        <v>0.299410820566151</v>
      </c>
      <c r="H1556" s="26" t="n">
        <f aca="false">IF(A1556&lt;Resumen!$B$11,"",IF(H1555="",0,H1555)+G1556/Resumen!$B$9)</f>
        <v>1.26933343963981</v>
      </c>
      <c r="I1556" s="26" t="n">
        <f aca="false">IF(H1556="","",H1556-AVERAGE(H1508:H1604))</f>
        <v>0.0288451860735799</v>
      </c>
      <c r="J1556" s="27" t="n">
        <f aca="false">IF(I1556="","",Resumen!$B$10-(MAX(I1508:I1604)-I1556))</f>
        <v>1.73559152429455</v>
      </c>
    </row>
    <row r="1557" customFormat="false" ht="15" hidden="false" customHeight="false" outlineLevel="0" collapsed="false">
      <c r="A1557" s="24" t="n">
        <v>46277.59375</v>
      </c>
      <c r="B1557" s="10" t="n">
        <v>5.0598</v>
      </c>
      <c r="C1557" s="10" t="n">
        <v>3.3132</v>
      </c>
      <c r="D1557" s="10" t="n">
        <f aca="false">IF(OR(B1557="",C1557="",B1557&lt;=0.05,C1557&lt;=0.05),0,1)</f>
        <v>1</v>
      </c>
      <c r="E1557" s="25" t="n">
        <f aca="false">IF(OR(A1557&lt;Resumen!$B$6,A1557&gt;=Resumen!$B$7),0,MAX(0,AVERAGEIFS(B1509:B1605,D1509:D1605,1)-Resumen!$B$5*AVERAGEIFS(C1509:C1605,D1509:D1605,1)))</f>
        <v>0.759504771134021</v>
      </c>
      <c r="F1557" s="10" t="n">
        <f aca="false">IF(B1557="","",(B1557-E1557)/Resumen!$B$5)</f>
        <v>3.41564354953612</v>
      </c>
      <c r="G1557" s="10" t="n">
        <f aca="false">IF(OR(F1557="",C1557=""),0,(F1557-C1557)*0.9)</f>
        <v>0.0921991945825106</v>
      </c>
      <c r="H1557" s="26" t="n">
        <f aca="false">IF(A1557&lt;Resumen!$B$11,"",IF(H1556="",0,H1556)+G1557/Resumen!$B$9)</f>
        <v>1.27369159321569</v>
      </c>
      <c r="I1557" s="26" t="n">
        <f aca="false">IF(H1557="","",H1557-AVERAGE(H1509:H1605))</f>
        <v>0.0329954684494138</v>
      </c>
      <c r="J1557" s="27" t="n">
        <f aca="false">IF(I1557="","",Resumen!$B$10-(MAX(I1509:I1605)-I1557))</f>
        <v>1.73974180667038</v>
      </c>
    </row>
    <row r="1558" customFormat="false" ht="15" hidden="false" customHeight="false" outlineLevel="0" collapsed="false">
      <c r="A1558" s="24" t="n">
        <v>46277.6041666667</v>
      </c>
      <c r="B1558" s="10" t="n">
        <v>4.7619</v>
      </c>
      <c r="C1558" s="10" t="n">
        <v>2.95</v>
      </c>
      <c r="D1558" s="10" t="n">
        <f aca="false">IF(OR(B1558="",C1558="",B1558&lt;=0.05,C1558&lt;=0.05),0,1)</f>
        <v>1</v>
      </c>
      <c r="E1558" s="25" t="n">
        <f aca="false">IF(OR(A1558&lt;Resumen!$B$6,A1558&gt;=Resumen!$B$7),0,MAX(0,AVERAGEIFS(B1510:B1606,D1510:D1606,1)-Resumen!$B$5*AVERAGEIFS(C1510:C1606,D1510:D1606,1)))</f>
        <v>0.762380505154639</v>
      </c>
      <c r="F1558" s="10" t="n">
        <f aca="false">IF(B1558="","",(B1558-E1558)/Resumen!$B$5)</f>
        <v>3.17674304594548</v>
      </c>
      <c r="G1558" s="10" t="n">
        <f aca="false">IF(OR(F1558="",C1558=""),0,(F1558-C1558)*0.9)</f>
        <v>0.204068741350933</v>
      </c>
      <c r="H1558" s="26" t="n">
        <f aca="false">IF(A1558&lt;Resumen!$B$11,"",IF(H1557="",0,H1557)+G1558/Resumen!$B$9)</f>
        <v>1.28333769607885</v>
      </c>
      <c r="I1558" s="26" t="n">
        <f aca="false">IF(H1558="","",H1558-AVERAGE(H1510:H1606))</f>
        <v>0.0423618515530577</v>
      </c>
      <c r="J1558" s="27" t="n">
        <f aca="false">IF(I1558="","",Resumen!$B$10-(MAX(I1510:I1606)-I1558))</f>
        <v>1.74910818977402</v>
      </c>
    </row>
    <row r="1559" customFormat="false" ht="15" hidden="false" customHeight="false" outlineLevel="0" collapsed="false">
      <c r="A1559" s="24" t="n">
        <v>46277.6145833333</v>
      </c>
      <c r="B1559" s="10" t="n">
        <v>4.3447</v>
      </c>
      <c r="C1559" s="10" t="n">
        <v>2.7794</v>
      </c>
      <c r="D1559" s="10" t="n">
        <f aca="false">IF(OR(B1559="",C1559="",B1559&lt;=0.05,C1559&lt;=0.05),0,1)</f>
        <v>1</v>
      </c>
      <c r="E1559" s="25" t="n">
        <f aca="false">IF(OR(A1559&lt;Resumen!$B$6,A1559&gt;=Resumen!$B$7),0,MAX(0,AVERAGEIFS(B1511:B1607,D1511:D1607,1)-Resumen!$B$5*AVERAGEIFS(C1511:C1607,D1511:D1607,1)))</f>
        <v>0.763922050515464</v>
      </c>
      <c r="F1559" s="10" t="n">
        <f aca="false">IF(B1559="","",(B1559-E1559)/Resumen!$B$5)</f>
        <v>2.84414451905047</v>
      </c>
      <c r="G1559" s="10" t="n">
        <f aca="false">IF(OR(F1559="",C1559=""),0,(F1559-C1559)*0.9)</f>
        <v>0.0582700671454189</v>
      </c>
      <c r="H1559" s="26" t="n">
        <f aca="false">IF(A1559&lt;Resumen!$B$11,"",IF(H1558="",0,H1558)+G1559/Resumen!$B$9)</f>
        <v>1.28609205746613</v>
      </c>
      <c r="I1559" s="26" t="n">
        <f aca="false">IF(H1559="","",H1559-AVERAGE(H1511:H1607))</f>
        <v>0.0448065767931509</v>
      </c>
      <c r="J1559" s="27" t="n">
        <f aca="false">IF(I1559="","",Resumen!$B$10-(MAX(I1511:I1607)-I1559))</f>
        <v>1.75155291501412</v>
      </c>
    </row>
    <row r="1560" customFormat="false" ht="15" hidden="false" customHeight="false" outlineLevel="0" collapsed="false">
      <c r="A1560" s="24" t="n">
        <v>46277.625</v>
      </c>
      <c r="B1560" s="10" t="n">
        <v>3.9154</v>
      </c>
      <c r="C1560" s="10" t="n">
        <v>2.3353</v>
      </c>
      <c r="D1560" s="10" t="n">
        <f aca="false">IF(OR(B1560="",C1560="",B1560&lt;=0.05,C1560&lt;=0.05),0,1)</f>
        <v>1</v>
      </c>
      <c r="E1560" s="25" t="n">
        <f aca="false">IF(OR(A1560&lt;Resumen!$B$6,A1560&gt;=Resumen!$B$7),0,MAX(0,AVERAGEIFS(B1512:B1608,D1512:D1608,1)-Resumen!$B$5*AVERAGEIFS(C1512:C1608,D1512:D1608,1)))</f>
        <v>0.762875211340206</v>
      </c>
      <c r="F1560" s="10" t="n">
        <f aca="false">IF(B1560="","",(B1560-E1560)/Resumen!$B$5)</f>
        <v>2.50399109504352</v>
      </c>
      <c r="G1560" s="10" t="n">
        <f aca="false">IF(OR(F1560="",C1560=""),0,(F1560-C1560)*0.9)</f>
        <v>0.151821985539169</v>
      </c>
      <c r="H1560" s="26" t="n">
        <f aca="false">IF(A1560&lt;Resumen!$B$11,"",IF(H1559="",0,H1559)+G1560/Resumen!$B$9)</f>
        <v>1.29326851418216</v>
      </c>
      <c r="I1560" s="26" t="n">
        <f aca="false">IF(H1560="","",H1560-AVERAGE(H1512:H1608))</f>
        <v>0.0517327504373919</v>
      </c>
      <c r="J1560" s="27" t="n">
        <f aca="false">IF(I1560="","",Resumen!$B$10-(MAX(I1512:I1608)-I1560))</f>
        <v>1.75847908865836</v>
      </c>
    </row>
    <row r="1561" customFormat="false" ht="15" hidden="false" customHeight="false" outlineLevel="0" collapsed="false">
      <c r="A1561" s="24" t="n">
        <v>46277.6354166667</v>
      </c>
      <c r="B1561" s="10" t="n">
        <v>3.9193</v>
      </c>
      <c r="C1561" s="10" t="n">
        <v>2.4891</v>
      </c>
      <c r="D1561" s="10" t="n">
        <f aca="false">IF(OR(B1561="",C1561="",B1561&lt;=0.05,C1561&lt;=0.05),0,1)</f>
        <v>1</v>
      </c>
      <c r="E1561" s="25" t="n">
        <f aca="false">IF(OR(A1561&lt;Resumen!$B$6,A1561&gt;=Resumen!$B$7),0,MAX(0,AVERAGEIFS(B1513:B1609,D1513:D1609,1)-Resumen!$B$5*AVERAGEIFS(C1513:C1609,D1513:D1609,1)))</f>
        <v>0.770424354639176</v>
      </c>
      <c r="F1561" s="10" t="n">
        <f aca="false">IF(B1561="","",(B1561-E1561)/Resumen!$B$5)</f>
        <v>2.50109264921432</v>
      </c>
      <c r="G1561" s="10" t="n">
        <f aca="false">IF(OR(F1561="",C1561=""),0,(F1561-C1561)*0.9)</f>
        <v>0.0107933842928847</v>
      </c>
      <c r="H1561" s="26" t="n">
        <f aca="false">IF(A1561&lt;Resumen!$B$11,"",IF(H1560="",0,H1560)+G1561/Resumen!$B$9)</f>
        <v>1.29377870547575</v>
      </c>
      <c r="I1561" s="26" t="n">
        <f aca="false">IF(H1561="","",H1561-AVERAGE(H1513:H1609))</f>
        <v>0.0517590114432169</v>
      </c>
      <c r="J1561" s="27" t="n">
        <f aca="false">IF(I1561="","",Resumen!$B$10-(MAX(I1513:I1609)-I1561))</f>
        <v>1.75850534966418</v>
      </c>
    </row>
    <row r="1562" customFormat="false" ht="15" hidden="false" customHeight="false" outlineLevel="0" collapsed="false">
      <c r="A1562" s="24" t="n">
        <v>46277.6458333333</v>
      </c>
      <c r="B1562" s="10" t="n">
        <v>3.7107</v>
      </c>
      <c r="C1562" s="10" t="n">
        <v>2.5818</v>
      </c>
      <c r="D1562" s="10" t="n">
        <f aca="false">IF(OR(B1562="",C1562="",B1562&lt;=0.05,C1562&lt;=0.05),0,1)</f>
        <v>1</v>
      </c>
      <c r="E1562" s="25" t="n">
        <f aca="false">IF(OR(A1562&lt;Resumen!$B$6,A1562&gt;=Resumen!$B$7),0,MAX(0,AVERAGEIFS(B1514:B1610,D1514:D1610,1)-Resumen!$B$5*AVERAGEIFS(C1514:C1610,D1514:D1610,1)))</f>
        <v>0.771338760824742</v>
      </c>
      <c r="F1562" s="10" t="n">
        <f aca="false">IF(B1562="","",(B1562-E1562)/Resumen!$B$5)</f>
        <v>2.33467930037749</v>
      </c>
      <c r="G1562" s="10" t="n">
        <f aca="false">IF(OR(F1562="",C1562=""),0,(F1562-C1562)*0.9)</f>
        <v>-0.22240862966026</v>
      </c>
      <c r="H1562" s="26" t="n">
        <f aca="false">IF(A1562&lt;Resumen!$B$11,"",IF(H1561="",0,H1561)+G1562/Resumen!$B$9)</f>
        <v>1.28326569645166</v>
      </c>
      <c r="I1562" s="26" t="n">
        <f aca="false">IF(H1562="","",H1562-AVERAGE(H1514:H1610))</f>
        <v>0.0407526639791445</v>
      </c>
      <c r="J1562" s="27" t="n">
        <f aca="false">IF(I1562="","",Resumen!$B$10-(MAX(I1514:I1610)-I1562))</f>
        <v>1.74749900220011</v>
      </c>
    </row>
    <row r="1563" customFormat="false" ht="15" hidden="false" customHeight="false" outlineLevel="0" collapsed="false">
      <c r="A1563" s="24" t="n">
        <v>46277.65625</v>
      </c>
      <c r="B1563" s="10" t="n">
        <v>4.0441</v>
      </c>
      <c r="C1563" s="10" t="n">
        <v>2.8235</v>
      </c>
      <c r="D1563" s="10" t="n">
        <f aca="false">IF(OR(B1563="",C1563="",B1563&lt;=0.05,C1563&lt;=0.05),0,1)</f>
        <v>1</v>
      </c>
      <c r="E1563" s="25" t="n">
        <f aca="false">IF(OR(A1563&lt;Resumen!$B$6,A1563&gt;=Resumen!$B$7),0,MAX(0,AVERAGEIFS(B1515:B1611,D1515:D1611,1)-Resumen!$B$5*AVERAGEIFS(C1515:C1611,D1515:D1611,1)))</f>
        <v>0.780990224742268</v>
      </c>
      <c r="F1563" s="10" t="n">
        <f aca="false">IF(B1563="","",(B1563-E1563)/Resumen!$B$5)</f>
        <v>2.59182666819518</v>
      </c>
      <c r="G1563" s="10" t="n">
        <f aca="false">IF(OR(F1563="",C1563=""),0,(F1563-C1563)*0.9)</f>
        <v>-0.208505998624337</v>
      </c>
      <c r="H1563" s="26" t="n">
        <f aca="false">IF(A1563&lt;Resumen!$B$11,"",IF(H1562="",0,H1562)+G1563/Resumen!$B$9)</f>
        <v>1.27340984936307</v>
      </c>
      <c r="I1563" s="26" t="n">
        <f aca="false">IF(H1563="","",H1563-AVERAGE(H1515:H1611))</f>
        <v>0.0301029518514659</v>
      </c>
      <c r="J1563" s="27" t="n">
        <f aca="false">IF(I1563="","",Resumen!$B$10-(MAX(I1515:I1611)-I1563))</f>
        <v>1.73684929007243</v>
      </c>
    </row>
    <row r="1564" customFormat="false" ht="15" hidden="false" customHeight="false" outlineLevel="0" collapsed="false">
      <c r="A1564" s="24" t="n">
        <v>46277.6666666667</v>
      </c>
      <c r="B1564" s="10" t="n">
        <v>3.5636</v>
      </c>
      <c r="C1564" s="10" t="n">
        <v>2.1334</v>
      </c>
      <c r="D1564" s="10" t="n">
        <f aca="false">IF(OR(B1564="",C1564="",B1564&lt;=0.05,C1564&lt;=0.05),0,1)</f>
        <v>1</v>
      </c>
      <c r="E1564" s="25" t="n">
        <f aca="false">IF(OR(A1564&lt;Resumen!$B$6,A1564&gt;=Resumen!$B$7),0,MAX(0,AVERAGEIFS(B1516:B1612,D1516:D1612,1)-Resumen!$B$5*AVERAGEIFS(C1516:C1612,D1516:D1612,1)))</f>
        <v>0.788330303092784</v>
      </c>
      <c r="F1564" s="10" t="n">
        <f aca="false">IF(B1564="","",(B1564-E1564)/Resumen!$B$5)</f>
        <v>2.20434447728929</v>
      </c>
      <c r="G1564" s="10" t="n">
        <f aca="false">IF(OR(F1564="",C1564=""),0,(F1564-C1564)*0.9)</f>
        <v>0.0638500295603616</v>
      </c>
      <c r="H1564" s="26" t="n">
        <f aca="false">IF(A1564&lt;Resumen!$B$11,"",IF(H1563="",0,H1563)+G1564/Resumen!$B$9)</f>
        <v>1.27642796937928</v>
      </c>
      <c r="I1564" s="26" t="n">
        <f aca="false">IF(H1564="","",H1564-AVERAGE(H1516:H1612))</f>
        <v>0.0321033760138465</v>
      </c>
      <c r="J1564" s="27" t="n">
        <f aca="false">IF(I1564="","",Resumen!$B$10-(MAX(I1516:I1612)-I1564))</f>
        <v>1.73884971423481</v>
      </c>
    </row>
    <row r="1565" customFormat="false" ht="15" hidden="false" customHeight="false" outlineLevel="0" collapsed="false">
      <c r="A1565" s="24" t="n">
        <v>46277.6770833333</v>
      </c>
      <c r="B1565" s="10" t="n">
        <v>3.8055</v>
      </c>
      <c r="C1565" s="10" t="n">
        <v>2.4107</v>
      </c>
      <c r="D1565" s="10" t="n">
        <f aca="false">IF(OR(B1565="",C1565="",B1565&lt;=0.05,C1565&lt;=0.05),0,1)</f>
        <v>1</v>
      </c>
      <c r="E1565" s="25" t="n">
        <f aca="false">IF(OR(A1565&lt;Resumen!$B$6,A1565&gt;=Resumen!$B$7),0,MAX(0,AVERAGEIFS(B1517:B1613,D1517:D1613,1)-Resumen!$B$5*AVERAGEIFS(C1517:C1613,D1517:D1613,1)))</f>
        <v>0.784107324742268</v>
      </c>
      <c r="F1565" s="10" t="n">
        <f aca="false">IF(B1565="","",(B1565-E1565)/Resumen!$B$5)</f>
        <v>2.39983532585999</v>
      </c>
      <c r="G1565" s="10" t="n">
        <f aca="false">IF(OR(F1565="",C1565=""),0,(F1565-C1565)*0.9)</f>
        <v>-0.00977820672600562</v>
      </c>
      <c r="H1565" s="26" t="n">
        <f aca="false">IF(A1565&lt;Resumen!$B$11,"",IF(H1564="",0,H1564)+G1565/Resumen!$B$9)</f>
        <v>1.27596576440231</v>
      </c>
      <c r="I1565" s="26" t="n">
        <f aca="false">IF(H1565="","",H1565-AVERAGE(H1517:H1613))</f>
        <v>0.0307889683752716</v>
      </c>
      <c r="J1565" s="27" t="n">
        <f aca="false">IF(I1565="","",Resumen!$B$10-(MAX(I1517:I1613)-I1565))</f>
        <v>1.73753530659624</v>
      </c>
    </row>
    <row r="1566" customFormat="false" ht="15" hidden="false" customHeight="false" outlineLevel="0" collapsed="false">
      <c r="A1566" s="24" t="n">
        <v>46277.6875</v>
      </c>
      <c r="B1566" s="10" t="n">
        <v>3.3604</v>
      </c>
      <c r="C1566" s="10" t="n">
        <v>2.887</v>
      </c>
      <c r="D1566" s="10" t="n">
        <f aca="false">IF(OR(B1566="",C1566="",B1566&lt;=0.05,C1566&lt;=0.05),0,1)</f>
        <v>1</v>
      </c>
      <c r="E1566" s="25" t="n">
        <f aca="false">IF(OR(A1566&lt;Resumen!$B$6,A1566&gt;=Resumen!$B$7),0,MAX(0,AVERAGEIFS(B1518:B1614,D1518:D1614,1)-Resumen!$B$5*AVERAGEIFS(C1518:C1614,D1518:D1614,1)))</f>
        <v>0.781769749484536</v>
      </c>
      <c r="F1566" s="10" t="n">
        <f aca="false">IF(B1566="","",(B1566-E1566)/Resumen!$B$5)</f>
        <v>2.04815746665247</v>
      </c>
      <c r="G1566" s="10" t="n">
        <f aca="false">IF(OR(F1566="",C1566=""),0,(F1566-C1566)*0.9)</f>
        <v>-0.754958280012774</v>
      </c>
      <c r="H1566" s="26" t="n">
        <f aca="false">IF(A1566&lt;Resumen!$B$11,"",IF(H1565="",0,H1565)+G1566/Resumen!$B$9)</f>
        <v>1.24027972459932</v>
      </c>
      <c r="I1566" s="26" t="n">
        <f aca="false">IF(H1566="","",H1566-AVERAGE(H1518:H1614))</f>
        <v>-0.0056461645442476</v>
      </c>
      <c r="J1566" s="27" t="n">
        <f aca="false">IF(I1566="","",Resumen!$B$10-(MAX(I1518:I1614)-I1566))</f>
        <v>1.70110017367672</v>
      </c>
    </row>
    <row r="1567" customFormat="false" ht="15" hidden="false" customHeight="false" outlineLevel="0" collapsed="false">
      <c r="A1567" s="24" t="n">
        <v>46277.6979166667</v>
      </c>
      <c r="B1567" s="10" t="n">
        <v>4.6411</v>
      </c>
      <c r="C1567" s="10" t="n">
        <v>3.1275</v>
      </c>
      <c r="D1567" s="10" t="n">
        <f aca="false">IF(OR(B1567="",C1567="",B1567&lt;=0.05,C1567&lt;=0.05),0,1)</f>
        <v>1</v>
      </c>
      <c r="E1567" s="25" t="n">
        <f aca="false">IF(OR(A1567&lt;Resumen!$B$6,A1567&gt;=Resumen!$B$7),0,MAX(0,AVERAGEIFS(B1519:B1615,D1519:D1615,1)-Resumen!$B$5*AVERAGEIFS(C1519:C1615,D1519:D1615,1)))</f>
        <v>0.788203898969073</v>
      </c>
      <c r="F1567" s="10" t="n">
        <f aca="false">IF(B1567="","",(B1567-E1567)/Resumen!$B$5)</f>
        <v>3.06028284434546</v>
      </c>
      <c r="G1567" s="10" t="n">
        <f aca="false">IF(OR(F1567="",C1567=""),0,(F1567-C1567)*0.9)</f>
        <v>-0.0604954400890906</v>
      </c>
      <c r="H1567" s="26" t="n">
        <f aca="false">IF(A1567&lt;Resumen!$B$11,"",IF(H1566="",0,H1566)+G1567/Resumen!$B$9)</f>
        <v>1.23742017230342</v>
      </c>
      <c r="I1567" s="26" t="n">
        <f aca="false">IF(H1567="","",H1567-AVERAGE(H1519:H1615))</f>
        <v>-0.00943732466424119</v>
      </c>
      <c r="J1567" s="27" t="n">
        <f aca="false">IF(I1567="","",Resumen!$B$10-(MAX(I1519:I1615)-I1567))</f>
        <v>1.69730901355672</v>
      </c>
    </row>
    <row r="1568" customFormat="false" ht="15" hidden="false" customHeight="false" outlineLevel="0" collapsed="false">
      <c r="A1568" s="24" t="n">
        <v>46277.7083333333</v>
      </c>
      <c r="B1568" s="10" t="n">
        <v>5.7148</v>
      </c>
      <c r="C1568" s="10" t="n">
        <v>3.1647</v>
      </c>
      <c r="D1568" s="10" t="n">
        <f aca="false">IF(OR(B1568="",C1568="",B1568&lt;=0.05,C1568&lt;=0.05),0,1)</f>
        <v>1</v>
      </c>
      <c r="E1568" s="25" t="n">
        <f aca="false">IF(OR(A1568&lt;Resumen!$B$6,A1568&gt;=Resumen!$B$7),0,MAX(0,AVERAGEIFS(B1520:B1616,D1520:D1616,1)-Resumen!$B$5*AVERAGEIFS(C1520:C1616,D1520:D1616,1)))</f>
        <v>0.787539608247423</v>
      </c>
      <c r="F1568" s="10" t="n">
        <f aca="false">IF(B1568="","",(B1568-E1568)/Resumen!$B$5)</f>
        <v>3.9136301761339</v>
      </c>
      <c r="G1568" s="10" t="n">
        <f aca="false">IF(OR(F1568="",C1568=""),0,(F1568-C1568)*0.9)</f>
        <v>0.674037158520508</v>
      </c>
      <c r="H1568" s="26" t="n">
        <f aca="false">IF(A1568&lt;Resumen!$B$11,"",IF(H1567="",0,H1567)+G1568/Resumen!$B$9)</f>
        <v>1.26928116052551</v>
      </c>
      <c r="I1568" s="26" t="n">
        <f aca="false">IF(H1568="","",H1568-AVERAGE(H1520:H1616))</f>
        <v>0.0215453095349374</v>
      </c>
      <c r="J1568" s="27" t="n">
        <f aca="false">IF(I1568="","",Resumen!$B$10-(MAX(I1520:I1616)-I1568))</f>
        <v>1.7282916477559</v>
      </c>
    </row>
    <row r="1569" customFormat="false" ht="15" hidden="false" customHeight="false" outlineLevel="0" collapsed="false">
      <c r="A1569" s="24" t="n">
        <v>46277.71875</v>
      </c>
      <c r="B1569" s="10" t="n">
        <v>4.0081</v>
      </c>
      <c r="C1569" s="10" t="n">
        <v>3.1037</v>
      </c>
      <c r="D1569" s="10" t="n">
        <f aca="false">IF(OR(B1569="",C1569="",B1569&lt;=0.05,C1569&lt;=0.05),0,1)</f>
        <v>1</v>
      </c>
      <c r="E1569" s="25" t="n">
        <f aca="false">IF(OR(A1569&lt;Resumen!$B$6,A1569&gt;=Resumen!$B$7),0,MAX(0,AVERAGEIFS(B1521:B1617,D1521:D1617,1)-Resumen!$B$5*AVERAGEIFS(C1521:C1617,D1521:D1617,1)))</f>
        <v>0.796302523711341</v>
      </c>
      <c r="F1569" s="10" t="n">
        <f aca="false">IF(B1569="","",(B1569-E1569)/Resumen!$B$5)</f>
        <v>2.55107027505056</v>
      </c>
      <c r="G1569" s="10" t="n">
        <f aca="false">IF(OR(F1569="",C1569=""),0,(F1569-C1569)*0.9)</f>
        <v>-0.497366752454493</v>
      </c>
      <c r="H1569" s="26" t="n">
        <f aca="false">IF(A1569&lt;Resumen!$B$11,"",IF(H1568="",0,H1568)+G1569/Resumen!$B$9)</f>
        <v>1.24577118627306</v>
      </c>
      <c r="I1569" s="26" t="n">
        <f aca="false">IF(H1569="","",H1569-AVERAGE(H1521:H1617))</f>
        <v>-0.00311079069256226</v>
      </c>
      <c r="J1569" s="27" t="n">
        <f aca="false">IF(I1569="","",Resumen!$B$10-(MAX(I1521:I1617)-I1569))</f>
        <v>1.7036355475284</v>
      </c>
    </row>
    <row r="1570" customFormat="false" ht="15" hidden="false" customHeight="false" outlineLevel="0" collapsed="false">
      <c r="A1570" s="24" t="n">
        <v>46277.7291666667</v>
      </c>
      <c r="B1570" s="10" t="n">
        <v>3.9047</v>
      </c>
      <c r="C1570" s="10" t="n">
        <v>2.8252</v>
      </c>
      <c r="D1570" s="10" t="n">
        <f aca="false">IF(OR(B1570="",C1570="",B1570&lt;=0.05,C1570&lt;=0.05),0,1)</f>
        <v>1</v>
      </c>
      <c r="E1570" s="25" t="n">
        <f aca="false">IF(OR(A1570&lt;Resumen!$B$6,A1570&gt;=Resumen!$B$7),0,MAX(0,AVERAGEIFS(B1522:B1618,D1522:D1618,1)-Resumen!$B$5*AVERAGEIFS(C1522:C1618,D1522:D1618,1)))</f>
        <v>0.78983790927835</v>
      </c>
      <c r="F1570" s="10" t="n">
        <f aca="false">IF(B1570="","",(B1570-E1570)/Resumen!$B$5)</f>
        <v>2.47407632305135</v>
      </c>
      <c r="G1570" s="10" t="n">
        <f aca="false">IF(OR(F1570="",C1570=""),0,(F1570-C1570)*0.9)</f>
        <v>-0.316011309253785</v>
      </c>
      <c r="H1570" s="26" t="n">
        <f aca="false">IF(A1570&lt;Resumen!$B$11,"",IF(H1569="",0,H1569)+G1570/Resumen!$B$9)</f>
        <v>1.23083368249466</v>
      </c>
      <c r="I1570" s="26" t="n">
        <f aca="false">IF(H1570="","",H1570-AVERAGE(H1522:H1618))</f>
        <v>-0.01894211440159</v>
      </c>
      <c r="J1570" s="27" t="n">
        <f aca="false">IF(I1570="","",Resumen!$B$10-(MAX(I1522:I1618)-I1570))</f>
        <v>1.68780422381938</v>
      </c>
    </row>
    <row r="1571" customFormat="false" ht="15" hidden="false" customHeight="false" outlineLevel="0" collapsed="false">
      <c r="A1571" s="24" t="n">
        <v>46277.7395833333</v>
      </c>
      <c r="B1571" s="10" t="n">
        <v>3.6332</v>
      </c>
      <c r="C1571" s="10" t="n">
        <v>2.7522</v>
      </c>
      <c r="D1571" s="10" t="n">
        <f aca="false">IF(OR(B1571="",C1571="",B1571&lt;=0.05,C1571&lt;=0.05),0,1)</f>
        <v>1</v>
      </c>
      <c r="E1571" s="25" t="n">
        <f aca="false">IF(OR(A1571&lt;Resumen!$B$6,A1571&gt;=Resumen!$B$7),0,MAX(0,AVERAGEIFS(B1523:B1619,D1523:D1619,1)-Resumen!$B$5*AVERAGEIFS(C1523:C1619,D1523:D1619,1)))</f>
        <v>0.772508872164949</v>
      </c>
      <c r="F1571" s="10" t="n">
        <f aca="false">IF(B1571="","",(B1571-E1571)/Resumen!$B$5)</f>
        <v>2.27219311186263</v>
      </c>
      <c r="G1571" s="10" t="n">
        <f aca="false">IF(OR(F1571="",C1571=""),0,(F1571-C1571)*0.9)</f>
        <v>-0.432006199323633</v>
      </c>
      <c r="H1571" s="26" t="n">
        <f aca="false">IF(A1571&lt;Resumen!$B$11,"",IF(H1570="",0,H1570)+G1571/Resumen!$B$9)</f>
        <v>1.21041322903073</v>
      </c>
      <c r="I1571" s="26" t="n">
        <f aca="false">IF(H1571="","",H1571-AVERAGE(H1523:H1619))</f>
        <v>-0.0396346249073656</v>
      </c>
      <c r="J1571" s="27" t="n">
        <f aca="false">IF(I1571="","",Resumen!$B$10-(MAX(I1523:I1619)-I1571))</f>
        <v>1.6671117133136</v>
      </c>
    </row>
    <row r="1572" customFormat="false" ht="15" hidden="false" customHeight="false" outlineLevel="0" collapsed="false">
      <c r="A1572" s="24" t="n">
        <v>46277.75</v>
      </c>
      <c r="B1572" s="10" t="n">
        <v>4.2739</v>
      </c>
      <c r="C1572" s="10" t="n">
        <v>2.7086</v>
      </c>
      <c r="D1572" s="10" t="n">
        <f aca="false">IF(OR(B1572="",C1572="",B1572&lt;=0.05,C1572&lt;=0.05),0,1)</f>
        <v>1</v>
      </c>
      <c r="E1572" s="25" t="n">
        <f aca="false">IF(OR(A1572&lt;Resumen!$B$6,A1572&gt;=Resumen!$B$7),0,MAX(0,AVERAGEIFS(B1524:B1620,D1524:D1620,1)-Resumen!$B$5*AVERAGEIFS(C1524:C1620,D1524:D1620,1)))</f>
        <v>0.767300621649485</v>
      </c>
      <c r="F1572" s="10" t="n">
        <f aca="false">IF(B1572="","",(B1572-E1572)/Resumen!$B$5)</f>
        <v>2.78522587637054</v>
      </c>
      <c r="G1572" s="10" t="n">
        <f aca="false">IF(OR(F1572="",C1572=""),0,(F1572-C1572)*0.9)</f>
        <v>0.0689632887334901</v>
      </c>
      <c r="H1572" s="26" t="n">
        <f aca="false">IF(A1572&lt;Resumen!$B$11,"",IF(H1571="",0,H1571)+G1572/Resumen!$B$9)</f>
        <v>1.21367304713174</v>
      </c>
      <c r="I1572" s="26" t="n">
        <f aca="false">IF(H1572="","",H1572-AVERAGE(H1524:H1620))</f>
        <v>-0.0364279422538221</v>
      </c>
      <c r="J1572" s="27" t="n">
        <f aca="false">IF(I1572="","",Resumen!$B$10-(MAX(I1524:I1620)-I1572))</f>
        <v>1.67031839596714</v>
      </c>
    </row>
    <row r="1573" customFormat="false" ht="15" hidden="false" customHeight="false" outlineLevel="0" collapsed="false">
      <c r="A1573" s="24" t="n">
        <v>46277.7604166667</v>
      </c>
      <c r="B1573" s="10" t="n">
        <v>3.4692</v>
      </c>
      <c r="C1573" s="10" t="n">
        <v>2.3455</v>
      </c>
      <c r="D1573" s="10" t="n">
        <f aca="false">IF(OR(B1573="",C1573="",B1573&lt;=0.05,C1573&lt;=0.05),0,1)</f>
        <v>1</v>
      </c>
      <c r="E1573" s="25" t="n">
        <f aca="false">IF(OR(A1573&lt;Resumen!$B$6,A1573&gt;=Resumen!$B$7),0,MAX(0,AVERAGEIFS(B1525:B1621,D1525:D1621,1)-Resumen!$B$5*AVERAGEIFS(C1525:C1621,D1525:D1621,1)))</f>
        <v>0.757430459793815</v>
      </c>
      <c r="F1573" s="10" t="n">
        <f aca="false">IF(B1573="","",(B1573-E1573)/Resumen!$B$5)</f>
        <v>2.15390749817807</v>
      </c>
      <c r="G1573" s="10" t="n">
        <f aca="false">IF(OR(F1573="",C1573=""),0,(F1573-C1573)*0.9)</f>
        <v>-0.17243325163974</v>
      </c>
      <c r="H1573" s="26" t="n">
        <f aca="false">IF(A1573&lt;Resumen!$B$11,"",IF(H1572="",0,H1572)+G1573/Resumen!$B$9)</f>
        <v>1.20552231874808</v>
      </c>
      <c r="I1573" s="26" t="n">
        <f aca="false">IF(H1573="","",H1573-AVERAGE(H1525:H1621))</f>
        <v>-0.0442558553236212</v>
      </c>
      <c r="J1573" s="27" t="n">
        <f aca="false">IF(I1573="","",Resumen!$B$10-(MAX(I1525:I1621)-I1573))</f>
        <v>1.66249048289734</v>
      </c>
    </row>
    <row r="1574" customFormat="false" ht="15" hidden="false" customHeight="false" outlineLevel="0" collapsed="false">
      <c r="A1574" s="24" t="n">
        <v>46277.7708333333</v>
      </c>
      <c r="B1574" s="10" t="n">
        <v>4.0077</v>
      </c>
      <c r="C1574" s="10" t="n">
        <v>1.7885</v>
      </c>
      <c r="D1574" s="10" t="n">
        <f aca="false">IF(OR(B1574="",C1574="",B1574&lt;=0.05,C1574&lt;=0.05),0,1)</f>
        <v>1</v>
      </c>
      <c r="E1574" s="25" t="n">
        <f aca="false">IF(OR(A1574&lt;Resumen!$B$6,A1574&gt;=Resumen!$B$7),0,MAX(0,AVERAGEIFS(B1526:B1622,D1526:D1622,1)-Resumen!$B$5*AVERAGEIFS(C1526:C1622,D1526:D1622,1)))</f>
        <v>0.760517260824743</v>
      </c>
      <c r="F1574" s="10" t="n">
        <f aca="false">IF(B1574="","",(B1574-E1574)/Resumen!$B$5)</f>
        <v>2.57917612325279</v>
      </c>
      <c r="G1574" s="10" t="n">
        <f aca="false">IF(OR(F1574="",C1574=""),0,(F1574-C1574)*0.9)</f>
        <v>0.711608510927507</v>
      </c>
      <c r="H1574" s="26" t="n">
        <f aca="false">IF(A1574&lt;Resumen!$B$11,"",IF(H1573="",0,H1573)+G1574/Resumen!$B$9)</f>
        <v>1.2391592630898</v>
      </c>
      <c r="I1574" s="26" t="n">
        <f aca="false">IF(H1574="","",H1574-AVERAGE(H1526:H1622))</f>
        <v>-0.0103525259663391</v>
      </c>
      <c r="J1574" s="27" t="n">
        <f aca="false">IF(I1574="","",Resumen!$B$10-(MAX(I1526:I1622)-I1574))</f>
        <v>1.69639381225463</v>
      </c>
    </row>
    <row r="1575" customFormat="false" ht="15" hidden="false" customHeight="false" outlineLevel="0" collapsed="false">
      <c r="A1575" s="24" t="n">
        <v>46277.78125</v>
      </c>
      <c r="B1575" s="10" t="n">
        <v>3.8414</v>
      </c>
      <c r="C1575" s="10" t="n">
        <v>2.3993</v>
      </c>
      <c r="D1575" s="10" t="n">
        <f aca="false">IF(OR(B1575="",C1575="",B1575&lt;=0.05,C1575&lt;=0.05),0,1)</f>
        <v>1</v>
      </c>
      <c r="E1575" s="25" t="n">
        <f aca="false">IF(OR(A1575&lt;Resumen!$B$6,A1575&gt;=Resumen!$B$7),0,MAX(0,AVERAGEIFS(B1527:B1623,D1527:D1623,1)-Resumen!$B$5*AVERAGEIFS(C1527:C1623,D1527:D1623,1)))</f>
        <v>0.751111642268042</v>
      </c>
      <c r="F1575" s="10" t="n">
        <f aca="false">IF(B1575="","",(B1575-E1575)/Resumen!$B$5)</f>
        <v>2.45455786952499</v>
      </c>
      <c r="G1575" s="10" t="n">
        <f aca="false">IF(OR(F1575="",C1575=""),0,(F1575-C1575)*0.9)</f>
        <v>0.0497320825724881</v>
      </c>
      <c r="H1575" s="26" t="n">
        <f aca="false">IF(A1575&lt;Resumen!$B$11,"",IF(H1574="",0,H1574)+G1575/Resumen!$B$9)</f>
        <v>1.24151004342449</v>
      </c>
      <c r="I1575" s="26" t="n">
        <f aca="false">IF(H1575="","",H1575-AVERAGE(H1527:H1623))</f>
        <v>-0.0073770742278032</v>
      </c>
      <c r="J1575" s="27" t="n">
        <f aca="false">IF(I1575="","",Resumen!$B$10-(MAX(I1527:I1623)-I1575))</f>
        <v>1.69936926399316</v>
      </c>
    </row>
    <row r="1576" customFormat="false" ht="15" hidden="false" customHeight="false" outlineLevel="0" collapsed="false">
      <c r="A1576" s="24" t="n">
        <v>46277.7916666667</v>
      </c>
      <c r="B1576" s="10" t="n">
        <v>4.3994</v>
      </c>
      <c r="C1576" s="10" t="n">
        <v>2.27</v>
      </c>
      <c r="D1576" s="10" t="n">
        <f aca="false">IF(OR(B1576="",C1576="",B1576&lt;=0.05,C1576&lt;=0.05),0,1)</f>
        <v>1</v>
      </c>
      <c r="E1576" s="25" t="n">
        <f aca="false">IF(OR(A1576&lt;Resumen!$B$6,A1576&gt;=Resumen!$B$7),0,MAX(0,AVERAGEIFS(B1528:B1624,D1528:D1624,1)-Resumen!$B$5*AVERAGEIFS(C1528:C1624,D1528:D1624,1)))</f>
        <v>0.749127889690722</v>
      </c>
      <c r="F1576" s="10" t="n">
        <f aca="false">IF(B1576="","",(B1576-E1576)/Resumen!$B$5)</f>
        <v>2.89934242280324</v>
      </c>
      <c r="G1576" s="10" t="n">
        <f aca="false">IF(OR(F1576="",C1576=""),0,(F1576-C1576)*0.9)</f>
        <v>0.566408180522915</v>
      </c>
      <c r="H1576" s="26" t="n">
        <f aca="false">IF(A1576&lt;Resumen!$B$11,"",IF(H1575="",0,H1575)+G1576/Resumen!$B$9)</f>
        <v>1.26828352933757</v>
      </c>
      <c r="I1576" s="26" t="n">
        <f aca="false">IF(H1576="","",H1576-AVERAGE(H1528:H1624))</f>
        <v>0.0201307352528115</v>
      </c>
      <c r="J1576" s="27" t="n">
        <f aca="false">IF(I1576="","",Resumen!$B$10-(MAX(I1528:I1624)-I1576))</f>
        <v>1.72687707347378</v>
      </c>
    </row>
    <row r="1577" customFormat="false" ht="15" hidden="false" customHeight="false" outlineLevel="0" collapsed="false">
      <c r="A1577" s="24" t="n">
        <v>46277.8020833333</v>
      </c>
      <c r="B1577" s="10" t="n">
        <v>3.2125</v>
      </c>
      <c r="C1577" s="10" t="n">
        <v>2.7985</v>
      </c>
      <c r="D1577" s="10" t="n">
        <f aca="false">IF(OR(B1577="",C1577="",B1577&lt;=0.05,C1577&lt;=0.05),0,1)</f>
        <v>1</v>
      </c>
      <c r="E1577" s="25" t="n">
        <f aca="false">IF(OR(A1577&lt;Resumen!$B$6,A1577&gt;=Resumen!$B$7),0,MAX(0,AVERAGEIFS(B1529:B1625,D1529:D1625,1)-Resumen!$B$5*AVERAGEIFS(C1529:C1625,D1529:D1625,1)))</f>
        <v>0.748763400000001</v>
      </c>
      <c r="F1577" s="10" t="n">
        <f aca="false">IF(B1577="","",(B1577-E1577)/Resumen!$B$5)</f>
        <v>1.95689960285941</v>
      </c>
      <c r="G1577" s="10" t="n">
        <f aca="false">IF(OR(F1577="",C1577=""),0,(F1577-C1577)*0.9)</f>
        <v>-0.75744035742653</v>
      </c>
      <c r="H1577" s="26" t="n">
        <f aca="false">IF(A1577&lt;Resumen!$B$11,"",IF(H1576="",0,H1576)+G1577/Resumen!$B$9)</f>
        <v>1.23248016449063</v>
      </c>
      <c r="I1577" s="26" t="n">
        <f aca="false">IF(H1577="","",H1577-AVERAGE(H1529:H1625))</f>
        <v>-0.0148930943670806</v>
      </c>
      <c r="J1577" s="27" t="n">
        <f aca="false">IF(I1577="","",Resumen!$B$10-(MAX(I1529:I1625)-I1577))</f>
        <v>1.70880853970936</v>
      </c>
    </row>
    <row r="1578" customFormat="false" ht="15" hidden="false" customHeight="false" outlineLevel="0" collapsed="false">
      <c r="A1578" s="24" t="n">
        <v>46277.8125</v>
      </c>
      <c r="B1578" s="10" t="n">
        <v>3.8123</v>
      </c>
      <c r="C1578" s="10" t="n">
        <v>3.0176</v>
      </c>
      <c r="D1578" s="10" t="n">
        <f aca="false">IF(OR(B1578="",C1578="",B1578&lt;=0.05,C1578&lt;=0.05),0,1)</f>
        <v>1</v>
      </c>
      <c r="E1578" s="25" t="n">
        <f aca="false">IF(OR(A1578&lt;Resumen!$B$6,A1578&gt;=Resumen!$B$7),0,MAX(0,AVERAGEIFS(B1530:B1626,D1530:D1626,1)-Resumen!$B$5*AVERAGEIFS(C1530:C1626,D1530:D1626,1)))</f>
        <v>0.748934649484537</v>
      </c>
      <c r="F1578" s="10" t="n">
        <f aca="false">IF(B1578="","",(B1578-E1578)/Resumen!$B$5)</f>
        <v>2.4331734317041</v>
      </c>
      <c r="G1578" s="10" t="n">
        <f aca="false">IF(OR(F1578="",C1578=""),0,(F1578-C1578)*0.9)</f>
        <v>-0.525983911466309</v>
      </c>
      <c r="H1578" s="26" t="n">
        <f aca="false">IF(A1578&lt;Resumen!$B$11,"",IF(H1577="",0,H1577)+G1578/Resumen!$B$9)</f>
        <v>1.20761748890012</v>
      </c>
      <c r="I1578" s="26" t="n">
        <f aca="false">IF(H1578="","",H1578-AVERAGE(H1530:H1626))</f>
        <v>-0.0389355184737317</v>
      </c>
      <c r="J1578" s="27" t="n">
        <f aca="false">IF(I1578="","",Resumen!$B$10-(MAX(I1530:I1626)-I1578))</f>
        <v>1.69553397560089</v>
      </c>
    </row>
    <row r="1579" customFormat="false" ht="15" hidden="false" customHeight="false" outlineLevel="0" collapsed="false">
      <c r="A1579" s="24" t="n">
        <v>46277.8229166667</v>
      </c>
      <c r="B1579" s="10" t="n">
        <v>3.6185</v>
      </c>
      <c r="C1579" s="10" t="n">
        <v>2.8901</v>
      </c>
      <c r="D1579" s="10" t="n">
        <f aca="false">IF(OR(B1579="",C1579="",B1579&lt;=0.05,C1579&lt;=0.05),0,1)</f>
        <v>1</v>
      </c>
      <c r="E1579" s="25" t="n">
        <f aca="false">IF(OR(A1579&lt;Resumen!$B$6,A1579&gt;=Resumen!$B$7),0,MAX(0,AVERAGEIFS(B1531:B1627,D1531:D1627,1)-Resumen!$B$5*AVERAGEIFS(C1531:C1627,D1531:D1627,1)))</f>
        <v>0.755710801030928</v>
      </c>
      <c r="F1579" s="10" t="n">
        <f aca="false">IF(B1579="","",(B1579-E1579)/Resumen!$B$5)</f>
        <v>2.27385957026932</v>
      </c>
      <c r="G1579" s="10" t="n">
        <f aca="false">IF(OR(F1579="",C1579=""),0,(F1579-C1579)*0.9)</f>
        <v>-0.554616386757614</v>
      </c>
      <c r="H1579" s="26" t="n">
        <f aca="false">IF(A1579&lt;Resumen!$B$11,"",IF(H1578="",0,H1578)+G1579/Resumen!$B$9)</f>
        <v>1.18140138798804</v>
      </c>
      <c r="I1579" s="26" t="n">
        <f aca="false">IF(H1579="","",H1579-AVERAGE(H1531:H1627))</f>
        <v>-0.0645141292622782</v>
      </c>
      <c r="J1579" s="27" t="n">
        <f aca="false">IF(I1579="","",Resumen!$B$10-(MAX(I1531:I1627)-I1579))</f>
        <v>1.67151332599473</v>
      </c>
    </row>
    <row r="1580" customFormat="false" ht="15" hidden="false" customHeight="false" outlineLevel="0" collapsed="false">
      <c r="A1580" s="24" t="n">
        <v>46277.8333333333</v>
      </c>
      <c r="B1580" s="10" t="n">
        <v>3.6324</v>
      </c>
      <c r="C1580" s="10" t="n">
        <v>2.2544</v>
      </c>
      <c r="D1580" s="10" t="n">
        <f aca="false">IF(OR(B1580="",C1580="",B1580&lt;=0.05,C1580&lt;=0.05),0,1)</f>
        <v>1</v>
      </c>
      <c r="E1580" s="25" t="n">
        <f aca="false">IF(OR(A1580&lt;Resumen!$B$6,A1580&gt;=Resumen!$B$7),0,MAX(0,AVERAGEIFS(B1532:B1628,D1532:D1628,1)-Resumen!$B$5*AVERAGEIFS(C1532:C1628,D1532:D1628,1)))</f>
        <v>0.76353688556701</v>
      </c>
      <c r="F1580" s="10" t="n">
        <f aca="false">IF(B1580="","",(B1580-E1580)/Resumen!$B$5)</f>
        <v>2.27868396698411</v>
      </c>
      <c r="G1580" s="10" t="n">
        <f aca="false">IF(OR(F1580="",C1580=""),0,(F1580-C1580)*0.9)</f>
        <v>0.021855570285696</v>
      </c>
      <c r="H1580" s="26" t="n">
        <f aca="false">IF(A1580&lt;Resumen!$B$11,"",IF(H1579="",0,H1579)+G1580/Resumen!$B$9)</f>
        <v>1.18243447653317</v>
      </c>
      <c r="I1580" s="26" t="n">
        <f aca="false">IF(H1580="","",H1580-AVERAGE(H1532:H1628))</f>
        <v>-0.0630584334238584</v>
      </c>
      <c r="J1580" s="27" t="n">
        <f aca="false">IF(I1580="","",Resumen!$B$10-(MAX(I1532:I1628)-I1580))</f>
        <v>1.67296902183315</v>
      </c>
    </row>
    <row r="1581" customFormat="false" ht="15" hidden="false" customHeight="false" outlineLevel="0" collapsed="false">
      <c r="A1581" s="24" t="n">
        <v>46277.84375</v>
      </c>
      <c r="B1581" s="10" t="n">
        <v>3.7168</v>
      </c>
      <c r="C1581" s="10" t="n">
        <v>2.8989</v>
      </c>
      <c r="D1581" s="10" t="n">
        <f aca="false">IF(OR(B1581="",C1581="",B1581&lt;=0.05,C1581&lt;=0.05),0,1)</f>
        <v>1</v>
      </c>
      <c r="E1581" s="25" t="n">
        <f aca="false">IF(OR(A1581&lt;Resumen!$B$6,A1581&gt;=Resumen!$B$7),0,MAX(0,AVERAGEIFS(B1533:B1629,D1533:D1629,1)-Resumen!$B$5*AVERAGEIFS(C1533:C1629,D1533:D1629,1)))</f>
        <v>0.762904768041238</v>
      </c>
      <c r="F1581" s="10" t="n">
        <f aca="false">IF(B1581="","",(B1581-E1581)/Resumen!$B$5)</f>
        <v>2.3462233772508</v>
      </c>
      <c r="G1581" s="10" t="n">
        <f aca="false">IF(OR(F1581="",C1581=""),0,(F1581-C1581)*0.9)</f>
        <v>-0.497408960474276</v>
      </c>
      <c r="H1581" s="26" t="n">
        <f aca="false">IF(A1581&lt;Resumen!$B$11,"",IF(H1580="",0,H1580)+G1581/Resumen!$B$9)</f>
        <v>1.15892250715448</v>
      </c>
      <c r="I1581" s="26" t="n">
        <f aca="false">IF(H1581="","",H1581-AVERAGE(H1533:H1629))</f>
        <v>-0.0860732743086143</v>
      </c>
      <c r="J1581" s="27" t="n">
        <f aca="false">IF(I1581="","",Resumen!$B$10-(MAX(I1533:I1629)-I1581))</f>
        <v>1.6499541809484</v>
      </c>
    </row>
    <row r="1582" customFormat="false" ht="15" hidden="false" customHeight="false" outlineLevel="0" collapsed="false">
      <c r="A1582" s="24" t="n">
        <v>46277.8541666667</v>
      </c>
      <c r="B1582" s="10" t="n">
        <v>4.3398</v>
      </c>
      <c r="C1582" s="10" t="n">
        <v>2.4507</v>
      </c>
      <c r="D1582" s="10" t="n">
        <f aca="false">IF(OR(B1582="",C1582="",B1582&lt;=0.05,C1582&lt;=0.05),0,1)</f>
        <v>1</v>
      </c>
      <c r="E1582" s="25" t="n">
        <f aca="false">IF(OR(A1582&lt;Resumen!$B$6,A1582&gt;=Resumen!$B$7),0,MAX(0,AVERAGEIFS(B1534:B1630,D1534:D1630,1)-Resumen!$B$5*AVERAGEIFS(C1534:C1630,D1534:D1630,1)))</f>
        <v>0.75962572371134</v>
      </c>
      <c r="F1582" s="10" t="n">
        <f aca="false">IF(B1582="","",(B1582-E1582)/Resumen!$B$5)</f>
        <v>2.84366503279481</v>
      </c>
      <c r="G1582" s="10" t="n">
        <f aca="false">IF(OR(F1582="",C1582=""),0,(F1582-C1582)*0.9)</f>
        <v>0.353668529515325</v>
      </c>
      <c r="H1582" s="26" t="n">
        <f aca="false">IF(A1582&lt;Resumen!$B$11,"",IF(H1581="",0,H1581)+G1582/Resumen!$B$9)</f>
        <v>1.17564002593066</v>
      </c>
      <c r="I1582" s="26" t="n">
        <f aca="false">IF(H1582="","",H1582-AVERAGE(H1534:H1630))</f>
        <v>-0.0686916861287967</v>
      </c>
      <c r="J1582" s="27" t="n">
        <f aca="false">IF(I1582="","",Resumen!$B$10-(MAX(I1534:I1630)-I1582))</f>
        <v>1.66733576912822</v>
      </c>
    </row>
    <row r="1583" customFormat="false" ht="15" hidden="false" customHeight="false" outlineLevel="0" collapsed="false">
      <c r="A1583" s="24" t="n">
        <v>46277.8645833333</v>
      </c>
      <c r="B1583" s="10" t="n">
        <v>2.8918</v>
      </c>
      <c r="C1583" s="10" t="n">
        <v>2.5331</v>
      </c>
      <c r="D1583" s="10" t="n">
        <f aca="false">IF(OR(B1583="",C1583="",B1583&lt;=0.05,C1583&lt;=0.05),0,1)</f>
        <v>1</v>
      </c>
      <c r="E1583" s="25" t="n">
        <f aca="false">IF(OR(A1583&lt;Resumen!$B$6,A1583&gt;=Resumen!$B$7),0,MAX(0,AVERAGEIFS(B1535:B1631,D1535:D1631,1)-Resumen!$B$5*AVERAGEIFS(C1535:C1631,D1535:D1631,1)))</f>
        <v>0.776232459793814</v>
      </c>
      <c r="F1583" s="10" t="n">
        <f aca="false">IF(B1583="","",(B1583-E1583)/Resumen!$B$5)</f>
        <v>1.68035547276107</v>
      </c>
      <c r="G1583" s="10" t="n">
        <f aca="false">IF(OR(F1583="",C1583=""),0,(F1583-C1583)*0.9)</f>
        <v>-0.767470074515038</v>
      </c>
      <c r="H1583" s="26" t="n">
        <f aca="false">IF(A1583&lt;Resumen!$B$11,"",IF(H1582="",0,H1582)+G1583/Resumen!$B$9)</f>
        <v>1.13936256749112</v>
      </c>
      <c r="I1583" s="26" t="n">
        <f aca="false">IF(H1583="","",H1583-AVERAGE(H1535:H1631))</f>
        <v>-0.104815183585667</v>
      </c>
      <c r="J1583" s="27" t="n">
        <f aca="false">IF(I1583="","",Resumen!$B$10-(MAX(I1535:I1631)-I1583))</f>
        <v>1.63121227167135</v>
      </c>
    </row>
    <row r="1584" customFormat="false" ht="15" hidden="false" customHeight="false" outlineLevel="0" collapsed="false">
      <c r="A1584" s="24" t="n">
        <v>46277.875</v>
      </c>
      <c r="B1584" s="10" t="n">
        <v>2.8255</v>
      </c>
      <c r="C1584" s="10" t="n">
        <v>2.0426</v>
      </c>
      <c r="D1584" s="10" t="n">
        <f aca="false">IF(OR(B1584="",C1584="",B1584&lt;=0.05,C1584&lt;=0.05),0,1)</f>
        <v>1</v>
      </c>
      <c r="E1584" s="25" t="n">
        <f aca="false">IF(OR(A1584&lt;Resumen!$B$6,A1584&gt;=Resumen!$B$7),0,MAX(0,AVERAGEIFS(B1536:B1632,D1536:D1632,1)-Resumen!$B$5*AVERAGEIFS(C1536:C1632,D1536:D1632,1)))</f>
        <v>0.771425537113402</v>
      </c>
      <c r="F1584" s="10" t="n">
        <f aca="false">IF(B1584="","",(B1584-E1584)/Resumen!$B$5)</f>
        <v>1.63151267902033</v>
      </c>
      <c r="G1584" s="10" t="n">
        <f aca="false">IF(OR(F1584="",C1584=""),0,(F1584-C1584)*0.9)</f>
        <v>-0.369978588881701</v>
      </c>
      <c r="H1584" s="26" t="n">
        <f aca="false">IF(A1584&lt;Resumen!$B$11,"",IF(H1583="",0,H1583)+G1584/Resumen!$B$9)</f>
        <v>1.12187409031478</v>
      </c>
      <c r="I1584" s="26" t="n">
        <f aca="false">IF(H1584="","",H1584-AVERAGE(H1536:H1632))</f>
        <v>-0.121927821408872</v>
      </c>
      <c r="J1584" s="27" t="n">
        <f aca="false">IF(I1584="","",Resumen!$B$10-(MAX(I1536:I1632)-I1584))</f>
        <v>1.61409963384814</v>
      </c>
    </row>
    <row r="1585" customFormat="false" ht="15" hidden="false" customHeight="false" outlineLevel="0" collapsed="false">
      <c r="A1585" s="24" t="n">
        <v>46277.8854166667</v>
      </c>
      <c r="B1585" s="10" t="n">
        <v>3.2172</v>
      </c>
      <c r="C1585" s="10" t="n">
        <v>2.1336</v>
      </c>
      <c r="D1585" s="10" t="n">
        <f aca="false">IF(OR(B1585="",C1585="",B1585&lt;=0.05,C1585&lt;=0.05),0,1)</f>
        <v>1</v>
      </c>
      <c r="E1585" s="25" t="n">
        <f aca="false">IF(OR(A1585&lt;Resumen!$B$6,A1585&gt;=Resumen!$B$7),0,MAX(0,AVERAGEIFS(B1537:B1633,D1537:D1633,1)-Resumen!$B$5*AVERAGEIFS(C1537:C1633,D1537:D1633,1)))</f>
        <v>0.774400210309278</v>
      </c>
      <c r="F1585" s="10" t="n">
        <f aca="false">IF(B1585="","",(B1585-E1585)/Resumen!$B$5)</f>
        <v>1.94026988855498</v>
      </c>
      <c r="G1585" s="10" t="n">
        <f aca="false">IF(OR(F1585="",C1585=""),0,(F1585-C1585)*0.9)</f>
        <v>-0.173997100300517</v>
      </c>
      <c r="H1585" s="26" t="n">
        <f aca="false">IF(A1585&lt;Resumen!$B$11,"",IF(H1584="",0,H1584)+G1585/Resumen!$B$9)</f>
        <v>1.11364944054099</v>
      </c>
      <c r="I1585" s="26" t="n">
        <f aca="false">IF(H1585="","",H1585-AVERAGE(H1537:H1633))</f>
        <v>-0.129816262613641</v>
      </c>
      <c r="J1585" s="27" t="n">
        <f aca="false">IF(I1585="","",Resumen!$B$10-(MAX(I1537:I1633)-I1585))</f>
        <v>1.60621119264337</v>
      </c>
    </row>
    <row r="1586" customFormat="false" ht="15" hidden="false" customHeight="false" outlineLevel="0" collapsed="false">
      <c r="A1586" s="24" t="n">
        <v>46277.8958333333</v>
      </c>
      <c r="B1586" s="10" t="n">
        <v>3.1962</v>
      </c>
      <c r="C1586" s="10" t="n">
        <v>1.8512</v>
      </c>
      <c r="D1586" s="10" t="n">
        <f aca="false">IF(OR(B1586="",C1586="",B1586&lt;=0.05,C1586&lt;=0.05),0,1)</f>
        <v>1</v>
      </c>
      <c r="E1586" s="25" t="n">
        <f aca="false">IF(OR(A1586&lt;Resumen!$B$6,A1586&gt;=Resumen!$B$7),0,MAX(0,AVERAGEIFS(B1538:B1634,D1538:D1634,1)-Resumen!$B$5*AVERAGEIFS(C1538:C1634,D1538:D1634,1)))</f>
        <v>0.768898101030929</v>
      </c>
      <c r="F1586" s="10" t="n">
        <f aca="false">IF(B1586="","",(B1586-E1586)/Resumen!$B$5)</f>
        <v>1.92796020569426</v>
      </c>
      <c r="G1586" s="10" t="n">
        <f aca="false">IF(OR(F1586="",C1586=""),0,(F1586-C1586)*0.9)</f>
        <v>0.0690841851248328</v>
      </c>
      <c r="H1586" s="26" t="n">
        <f aca="false">IF(A1586&lt;Resumen!$B$11,"",IF(H1585="",0,H1585)+G1586/Resumen!$B$9)</f>
        <v>1.11691497328021</v>
      </c>
      <c r="I1586" s="26" t="n">
        <f aca="false">IF(H1586="","",H1586-AVERAGE(H1538:H1634))</f>
        <v>-0.125963938490683</v>
      </c>
      <c r="J1586" s="27" t="n">
        <f aca="false">IF(I1586="","",Resumen!$B$10-(MAX(I1538:I1634)-I1586))</f>
        <v>1.61006351676633</v>
      </c>
    </row>
    <row r="1587" customFormat="false" ht="15" hidden="false" customHeight="false" outlineLevel="0" collapsed="false">
      <c r="A1587" s="24" t="n">
        <v>46277.90625</v>
      </c>
      <c r="B1587" s="10" t="n">
        <v>3.4733</v>
      </c>
      <c r="C1587" s="10" t="n">
        <v>1.704</v>
      </c>
      <c r="D1587" s="10" t="n">
        <f aca="false">IF(OR(B1587="",C1587="",B1587&lt;=0.05,C1587&lt;=0.05),0,1)</f>
        <v>1</v>
      </c>
      <c r="E1587" s="25" t="n">
        <f aca="false">IF(OR(A1587&lt;Resumen!$B$6,A1587&gt;=Resumen!$B$7),0,MAX(0,AVERAGEIFS(B1539:B1635,D1539:D1635,1)-Resumen!$B$5*AVERAGEIFS(C1539:C1635,D1539:D1635,1)))</f>
        <v>0.77251207113402</v>
      </c>
      <c r="F1587" s="10" t="n">
        <f aca="false">IF(B1587="","",(B1587-E1587)/Resumen!$B$5)</f>
        <v>2.14518501101349</v>
      </c>
      <c r="G1587" s="10" t="n">
        <f aca="false">IF(OR(F1587="",C1587=""),0,(F1587-C1587)*0.9)</f>
        <v>0.397066509912138</v>
      </c>
      <c r="H1587" s="26" t="n">
        <f aca="false">IF(A1587&lt;Resumen!$B$11,"",IF(H1586="",0,H1586)+G1587/Resumen!$B$9)</f>
        <v>1.13568386641285</v>
      </c>
      <c r="I1587" s="26" t="n">
        <f aca="false">IF(H1587="","",H1587-AVERAGE(H1539:H1635))</f>
        <v>-0.10666726326049</v>
      </c>
      <c r="J1587" s="27" t="n">
        <f aca="false">IF(I1587="","",Resumen!$B$10-(MAX(I1539:I1635)-I1587))</f>
        <v>1.62936019199652</v>
      </c>
    </row>
    <row r="1588" customFormat="false" ht="15" hidden="false" customHeight="false" outlineLevel="0" collapsed="false">
      <c r="A1588" s="24" t="n">
        <v>46277.9166666667</v>
      </c>
      <c r="B1588" s="10" t="n">
        <v>3.3358</v>
      </c>
      <c r="C1588" s="10" t="n">
        <v>2.0909</v>
      </c>
      <c r="D1588" s="10" t="n">
        <f aca="false">IF(OR(B1588="",C1588="",B1588&lt;=0.05,C1588&lt;=0.05),0,1)</f>
        <v>1</v>
      </c>
      <c r="E1588" s="25" t="n">
        <f aca="false">IF(OR(A1588&lt;Resumen!$B$6,A1588&gt;=Resumen!$B$7),0,MAX(0,AVERAGEIFS(B1540:B1636,D1540:D1636,1)-Resumen!$B$5*AVERAGEIFS(C1540:C1636,D1540:D1636,1)))</f>
        <v>0.776338469072165</v>
      </c>
      <c r="F1588" s="10" t="n">
        <f aca="false">IF(B1588="","",(B1588-E1588)/Resumen!$B$5)</f>
        <v>2.03293211352489</v>
      </c>
      <c r="G1588" s="10" t="n">
        <f aca="false">IF(OR(F1588="",C1588=""),0,(F1588-C1588)*0.9)</f>
        <v>-0.0521710978276001</v>
      </c>
      <c r="H1588" s="26" t="n">
        <f aca="false">IF(A1588&lt;Resumen!$B$11,"",IF(H1587="",0,H1587)+G1588/Resumen!$B$9)</f>
        <v>1.13321779653464</v>
      </c>
      <c r="I1588" s="26" t="n">
        <f aca="false">IF(H1588="","",H1588-AVERAGE(H1540:H1636))</f>
        <v>-0.108674631266313</v>
      </c>
      <c r="J1588" s="27" t="n">
        <f aca="false">IF(I1588="","",Resumen!$B$10-(MAX(I1540:I1636)-I1588))</f>
        <v>1.6273528239907</v>
      </c>
    </row>
    <row r="1589" customFormat="false" ht="15" hidden="false" customHeight="false" outlineLevel="0" collapsed="false">
      <c r="A1589" s="24" t="n">
        <v>46277.9270833333</v>
      </c>
      <c r="B1589" s="10" t="n">
        <v>3.2523</v>
      </c>
      <c r="C1589" s="10" t="n">
        <v>2.0727</v>
      </c>
      <c r="D1589" s="10" t="n">
        <f aca="false">IF(OR(B1589="",C1589="",B1589&lt;=0.05,C1589&lt;=0.05),0,1)</f>
        <v>1</v>
      </c>
      <c r="E1589" s="25" t="n">
        <f aca="false">IF(OR(A1589&lt;Resumen!$B$6,A1589&gt;=Resumen!$B$7),0,MAX(0,AVERAGEIFS(B1541:B1637,D1541:D1637,1)-Resumen!$B$5*AVERAGEIFS(C1541:C1637,D1541:D1637,1)))</f>
        <v>0.780417955670104</v>
      </c>
      <c r="F1589" s="10" t="n">
        <f aca="false">IF(B1589="","",(B1589-E1589)/Resumen!$B$5)</f>
        <v>1.96336937595703</v>
      </c>
      <c r="G1589" s="10" t="n">
        <f aca="false">IF(OR(F1589="",C1589=""),0,(F1589-C1589)*0.9)</f>
        <v>-0.0983975616386763</v>
      </c>
      <c r="H1589" s="26" t="n">
        <f aca="false">IF(A1589&lt;Resumen!$B$11,"",IF(H1588="",0,H1588)+G1589/Resumen!$B$9)</f>
        <v>1.12856665302894</v>
      </c>
      <c r="I1589" s="26" t="n">
        <f aca="false">IF(H1589="","",H1589-AVERAGE(H1541:H1637))</f>
        <v>-0.112939630618204</v>
      </c>
      <c r="J1589" s="27" t="n">
        <f aca="false">IF(I1589="","",Resumen!$B$10-(MAX(I1541:I1637)-I1589))</f>
        <v>1.62308782463881</v>
      </c>
    </row>
    <row r="1590" customFormat="false" ht="15" hidden="false" customHeight="false" outlineLevel="0" collapsed="false">
      <c r="A1590" s="24" t="n">
        <v>46277.9375</v>
      </c>
      <c r="B1590" s="10" t="n">
        <v>3.4253</v>
      </c>
      <c r="C1590" s="10" t="n">
        <v>1.7228</v>
      </c>
      <c r="D1590" s="10" t="n">
        <f aca="false">IF(OR(B1590="",C1590="",B1590&lt;=0.05,C1590&lt;=0.05),0,1)</f>
        <v>1</v>
      </c>
      <c r="E1590" s="25" t="n">
        <f aca="false">IF(OR(A1590&lt;Resumen!$B$6,A1590&gt;=Resumen!$B$7),0,MAX(0,AVERAGEIFS(B1542:B1638,D1542:D1638,1)-Resumen!$B$5*AVERAGEIFS(C1542:C1638,D1542:D1638,1)))</f>
        <v>0.784257853608247</v>
      </c>
      <c r="F1590" s="10" t="n">
        <f aca="false">IF(B1590="","",(B1590-E1590)/Resumen!$B$5)</f>
        <v>2.09773006067653</v>
      </c>
      <c r="G1590" s="10" t="n">
        <f aca="false">IF(OR(F1590="",C1590=""),0,(F1590-C1590)*0.9)</f>
        <v>0.337437054608878</v>
      </c>
      <c r="H1590" s="26" t="n">
        <f aca="false">IF(A1590&lt;Resumen!$B$11,"",IF(H1589="",0,H1589)+G1590/Resumen!$B$9)</f>
        <v>1.14451692800516</v>
      </c>
      <c r="I1590" s="26" t="n">
        <f aca="false">IF(H1590="","",H1590-AVERAGE(H1542:H1638))</f>
        <v>-0.0966689003297447</v>
      </c>
      <c r="J1590" s="27" t="n">
        <f aca="false">IF(I1590="","",Resumen!$B$10-(MAX(I1542:I1638)-I1590))</f>
        <v>1.63935855492727</v>
      </c>
    </row>
    <row r="1591" customFormat="false" ht="15" hidden="false" customHeight="false" outlineLevel="0" collapsed="false">
      <c r="A1591" s="24" t="n">
        <v>46277.9479166667</v>
      </c>
      <c r="B1591" s="10" t="n">
        <v>3.4281</v>
      </c>
      <c r="C1591" s="10" t="n">
        <v>2.3083</v>
      </c>
      <c r="D1591" s="10" t="n">
        <f aca="false">IF(OR(B1591="",C1591="",B1591&lt;=0.05,C1591&lt;=0.05),0,1)</f>
        <v>1</v>
      </c>
      <c r="E1591" s="25" t="n">
        <f aca="false">IF(OR(A1591&lt;Resumen!$B$6,A1591&gt;=Resumen!$B$7),0,MAX(0,AVERAGEIFS(B1543:B1639,D1543:D1639,1)-Resumen!$B$5*AVERAGEIFS(C1543:C1639,D1543:D1639,1)))</f>
        <v>0.789287458762887</v>
      </c>
      <c r="F1591" s="10" t="n">
        <f aca="false">IF(B1591="","",(B1591-E1591)/Resumen!$B$5)</f>
        <v>2.09595912727332</v>
      </c>
      <c r="G1591" s="10" t="n">
        <f aca="false">IF(OR(F1591="",C1591=""),0,(F1591-C1591)*0.9)</f>
        <v>-0.19110678545401</v>
      </c>
      <c r="H1591" s="26" t="n">
        <f aca="false">IF(A1591&lt;Resumen!$B$11,"",IF(H1590="",0,H1590)+G1591/Resumen!$B$9)</f>
        <v>1.13548352240794</v>
      </c>
      <c r="I1591" s="26" t="n">
        <f aca="false">IF(H1591="","",H1591-AVERAGE(H1543:H1639))</f>
        <v>-0.105492230843432</v>
      </c>
      <c r="J1591" s="27" t="n">
        <f aca="false">IF(I1591="","",Resumen!$B$10-(MAX(I1543:I1639)-I1591))</f>
        <v>1.63053522441358</v>
      </c>
    </row>
    <row r="1592" customFormat="false" ht="15" hidden="false" customHeight="false" outlineLevel="0" collapsed="false">
      <c r="A1592" s="24" t="n">
        <v>46277.9583333333</v>
      </c>
      <c r="B1592" s="10" t="n">
        <v>3.7352</v>
      </c>
      <c r="C1592" s="10" t="n">
        <v>1.8262</v>
      </c>
      <c r="D1592" s="10" t="n">
        <f aca="false">IF(OR(B1592="",C1592="",B1592&lt;=0.05,C1592&lt;=0.05),0,1)</f>
        <v>1</v>
      </c>
      <c r="E1592" s="25" t="n">
        <f aca="false">IF(OR(A1592&lt;Resumen!$B$6,A1592&gt;=Resumen!$B$7),0,MAX(0,AVERAGEIFS(B1544:B1640,D1544:D1640,1)-Resumen!$B$5*AVERAGEIFS(C1544:C1640,D1544:D1640,1)))</f>
        <v>0.783246189690722</v>
      </c>
      <c r="F1592" s="10" t="n">
        <f aca="false">IF(B1592="","",(B1592-E1592)/Resumen!$B$5)</f>
        <v>2.34468134258084</v>
      </c>
      <c r="G1592" s="10" t="n">
        <f aca="false">IF(OR(F1592="",C1592=""),0,(F1592-C1592)*0.9)</f>
        <v>0.466633208322757</v>
      </c>
      <c r="H1592" s="26" t="n">
        <f aca="false">IF(A1592&lt;Resumen!$B$11,"",IF(H1591="",0,H1591)+G1592/Resumen!$B$9)</f>
        <v>1.15754075614717</v>
      </c>
      <c r="I1592" s="26" t="n">
        <f aca="false">IF(H1592="","",H1592-AVERAGE(H1544:H1640))</f>
        <v>-0.0829614127889391</v>
      </c>
      <c r="J1592" s="27" t="n">
        <f aca="false">IF(I1592="","",Resumen!$B$10-(MAX(I1544:I1640)-I1592))</f>
        <v>1.65306604246807</v>
      </c>
    </row>
    <row r="1593" customFormat="false" ht="15" hidden="false" customHeight="false" outlineLevel="0" collapsed="false">
      <c r="A1593" s="24" t="n">
        <v>46277.96875</v>
      </c>
      <c r="B1593" s="10" t="n">
        <v>3.2266</v>
      </c>
      <c r="C1593" s="10" t="n">
        <v>2.0739</v>
      </c>
      <c r="D1593" s="10" t="n">
        <f aca="false">IF(OR(B1593="",C1593="",B1593&lt;=0.05,C1593&lt;=0.05),0,1)</f>
        <v>1</v>
      </c>
      <c r="E1593" s="25" t="n">
        <f aca="false">IF(OR(A1593&lt;Resumen!$B$6,A1593&gt;=Resumen!$B$7),0,MAX(0,AVERAGEIFS(B1545:B1641,D1545:D1641,1)-Resumen!$B$5*AVERAGEIFS(C1545:C1641,D1545:D1641,1)))</f>
        <v>0.790288945360825</v>
      </c>
      <c r="F1593" s="10" t="n">
        <f aca="false">IF(B1593="","",(B1593-E1593)/Resumen!$B$5)</f>
        <v>1.9351160084505</v>
      </c>
      <c r="G1593" s="10" t="n">
        <f aca="false">IF(OR(F1593="",C1593=""),0,(F1593-C1593)*0.9)</f>
        <v>-0.124905592394553</v>
      </c>
      <c r="H1593" s="26" t="n">
        <f aca="false">IF(A1593&lt;Resumen!$B$11,"",IF(H1592="",0,H1592)+G1593/Resumen!$B$9)</f>
        <v>1.15163660745469</v>
      </c>
      <c r="I1593" s="26" t="n">
        <f aca="false">IF(H1593="","",H1593-AVERAGE(H1545:H1641))</f>
        <v>-0.0885757320786664</v>
      </c>
      <c r="J1593" s="27" t="n">
        <f aca="false">IF(I1593="","",Resumen!$B$10-(MAX(I1545:I1641)-I1593))</f>
        <v>1.64745172317835</v>
      </c>
    </row>
    <row r="1594" customFormat="false" ht="15" hidden="false" customHeight="false" outlineLevel="0" collapsed="false">
      <c r="A1594" s="24" t="n">
        <v>46277.9791666667</v>
      </c>
      <c r="B1594" s="10" t="n">
        <v>3.6989</v>
      </c>
      <c r="C1594" s="10" t="n">
        <v>1.7318</v>
      </c>
      <c r="D1594" s="10" t="n">
        <f aca="false">IF(OR(B1594="",C1594="",B1594&lt;=0.05,C1594&lt;=0.05),0,1)</f>
        <v>1</v>
      </c>
      <c r="E1594" s="25" t="n">
        <f aca="false">IF(OR(A1594&lt;Resumen!$B$6,A1594&gt;=Resumen!$B$7),0,MAX(0,AVERAGEIFS(B1546:B1642,D1546:D1642,1)-Resumen!$B$5*AVERAGEIFS(C1546:C1642,D1546:D1642,1)))</f>
        <v>0.788187625773196</v>
      </c>
      <c r="F1594" s="10" t="n">
        <f aca="false">IF(B1594="","",(B1594-E1594)/Resumen!$B$5)</f>
        <v>2.31192404624845</v>
      </c>
      <c r="G1594" s="10" t="n">
        <f aca="false">IF(OR(F1594="",C1594=""),0,(F1594-C1594)*0.9)</f>
        <v>0.522111641623609</v>
      </c>
      <c r="H1594" s="26" t="n">
        <f aca="false">IF(A1594&lt;Resumen!$B$11,"",IF(H1593="",0,H1593)+G1594/Resumen!$B$9)</f>
        <v>1.17631624514841</v>
      </c>
      <c r="I1594" s="26" t="n">
        <f aca="false">IF(H1594="","",H1594-AVERAGE(H1546:H1642))</f>
        <v>-0.0634803006012514</v>
      </c>
      <c r="J1594" s="27" t="n">
        <f aca="false">IF(I1594="","",Resumen!$B$10-(MAX(I1546:I1642)-I1594))</f>
        <v>1.67254715465576</v>
      </c>
    </row>
    <row r="1595" customFormat="false" ht="15" hidden="false" customHeight="false" outlineLevel="0" collapsed="false">
      <c r="A1595" s="24" t="n">
        <v>46277.9895833333</v>
      </c>
      <c r="B1595" s="10" t="n">
        <v>3.243</v>
      </c>
      <c r="C1595" s="10" t="n">
        <v>1.8419</v>
      </c>
      <c r="D1595" s="10" t="n">
        <f aca="false">IF(OR(B1595="",C1595="",B1595&lt;=0.05,C1595&lt;=0.05),0,1)</f>
        <v>1</v>
      </c>
      <c r="E1595" s="25" t="n">
        <f aca="false">IF(OR(A1595&lt;Resumen!$B$6,A1595&gt;=Resumen!$B$7),0,MAX(0,AVERAGEIFS(B1547:B1643,D1547:D1643,1)-Resumen!$B$5*AVERAGEIFS(C1547:C1643,D1547:D1643,1)))</f>
        <v>0.785763690721649</v>
      </c>
      <c r="F1595" s="10" t="n">
        <f aca="false">IF(B1595="","",(B1595-E1595)/Resumen!$B$5)</f>
        <v>1.95173654430369</v>
      </c>
      <c r="G1595" s="10" t="n">
        <f aca="false">IF(OR(F1595="",C1595=""),0,(F1595-C1595)*0.9)</f>
        <v>0.0988528898733248</v>
      </c>
      <c r="H1595" s="26" t="n">
        <f aca="false">IF(A1595&lt;Resumen!$B$11,"",IF(H1594="",0,H1594)+G1595/Resumen!$B$9)</f>
        <v>1.1809889115143</v>
      </c>
      <c r="I1595" s="26" t="n">
        <f aca="false">IF(H1595="","",H1595-AVERAGE(H1547:H1643))</f>
        <v>-0.0582588412394423</v>
      </c>
      <c r="J1595" s="27" t="n">
        <f aca="false">IF(I1595="","",Resumen!$B$10-(MAX(I1547:I1643)-I1595))</f>
        <v>1.67776861401757</v>
      </c>
    </row>
    <row r="1596" customFormat="false" ht="15" hidden="false" customHeight="false" outlineLevel="0" collapsed="false">
      <c r="A1596" s="24" t="n">
        <v>46278</v>
      </c>
      <c r="B1596" s="10" t="n">
        <v>2.4335</v>
      </c>
      <c r="C1596" s="10" t="n">
        <v>1.4691</v>
      </c>
      <c r="D1596" s="10" t="n">
        <f aca="false">IF(OR(B1596="",C1596="",B1596&lt;=0.05,C1596&lt;=0.05),0,1)</f>
        <v>1</v>
      </c>
      <c r="E1596" s="25" t="n">
        <f aca="false">IF(OR(A1596&lt;Resumen!$B$6,A1596&gt;=Resumen!$B$7),0,MAX(0,AVERAGEIFS(B1548:B1644,D1548:D1644,1)-Resumen!$B$5*AVERAGEIFS(C1548:C1644,D1548:D1644,1)))</f>
        <v>0.793682402061855</v>
      </c>
      <c r="F1596" s="10" t="n">
        <f aca="false">IF(B1596="","",(B1596-E1596)/Resumen!$B$5)</f>
        <v>1.30247624935516</v>
      </c>
      <c r="G1596" s="10" t="n">
        <f aca="false">IF(OR(F1596="",C1596=""),0,(F1596-C1596)*0.9)</f>
        <v>-0.149961375580357</v>
      </c>
      <c r="H1596" s="26" t="n">
        <f aca="false">IF(A1596&lt;Resumen!$B$11,"",IF(H1595="",0,H1595)+G1596/Resumen!$B$9)</f>
        <v>1.17390040376552</v>
      </c>
      <c r="I1596" s="26" t="n">
        <f aca="false">IF(H1596="","",H1596-AVERAGE(H1548:H1644))</f>
        <v>-0.0650167392606775</v>
      </c>
      <c r="J1596" s="27" t="n">
        <f aca="false">IF(I1596="","",Resumen!$B$10-(MAX(I1548:I1644)-I1596))</f>
        <v>1.67101071599634</v>
      </c>
    </row>
    <row r="1597" customFormat="false" ht="15" hidden="false" customHeight="false" outlineLevel="0" collapsed="false">
      <c r="A1597" s="24" t="n">
        <v>46278.0104166667</v>
      </c>
      <c r="B1597" s="10" t="n">
        <v>3.0171</v>
      </c>
      <c r="C1597" s="10" t="n">
        <v>1.6457</v>
      </c>
      <c r="D1597" s="10" t="n">
        <f aca="false">IF(OR(B1597="",C1597="",B1597&lt;=0.05,C1597&lt;=0.05),0,1)</f>
        <v>1</v>
      </c>
      <c r="E1597" s="25" t="n">
        <f aca="false">IF(OR(A1597&lt;Resumen!$B$6,A1597&gt;=Resumen!$B$7),0,MAX(0,AVERAGEIFS(B1549:B1645,D1549:D1645,1)-Resumen!$B$5*AVERAGEIFS(C1549:C1645,D1549:D1645,1)))</f>
        <v>0.784213735051547</v>
      </c>
      <c r="F1597" s="10" t="n">
        <f aca="false">IF(B1597="","",(B1597-E1597)/Resumen!$B$5)</f>
        <v>1.77353952736176</v>
      </c>
      <c r="G1597" s="10" t="n">
        <f aca="false">IF(OR(F1597="",C1597=""),0,(F1597-C1597)*0.9)</f>
        <v>0.115055574625582</v>
      </c>
      <c r="H1597" s="26" t="n">
        <f aca="false">IF(A1597&lt;Resumen!$B$11,"",IF(H1596="",0,H1596)+G1597/Resumen!$B$9)</f>
        <v>1.17933895305274</v>
      </c>
      <c r="I1597" s="26" t="n">
        <f aca="false">IF(H1597="","",H1597-AVERAGE(H1549:H1645))</f>
        <v>-0.0588755133017289</v>
      </c>
      <c r="J1597" s="27" t="n">
        <f aca="false">IF(I1597="","",Resumen!$B$10-(MAX(I1549:I1645)-I1597))</f>
        <v>1.67715194195528</v>
      </c>
    </row>
    <row r="1598" customFormat="false" ht="15" hidden="false" customHeight="false" outlineLevel="0" collapsed="false">
      <c r="A1598" s="24" t="n">
        <v>46278.0208333333</v>
      </c>
      <c r="B1598" s="10" t="n">
        <v>2.765</v>
      </c>
      <c r="C1598" s="10" t="n">
        <v>1.6023</v>
      </c>
      <c r="D1598" s="10" t="n">
        <f aca="false">IF(OR(B1598="",C1598="",B1598&lt;=0.05,C1598&lt;=0.05),0,1)</f>
        <v>1</v>
      </c>
      <c r="E1598" s="25" t="n">
        <f aca="false">IF(OR(A1598&lt;Resumen!$B$6,A1598&gt;=Resumen!$B$7),0,MAX(0,AVERAGEIFS(B1550:B1646,D1550:D1646,1)-Resumen!$B$5*AVERAGEIFS(C1550:C1646,D1550:D1646,1)))</f>
        <v>0.78186454329897</v>
      </c>
      <c r="F1598" s="10" t="n">
        <f aca="false">IF(B1598="","",(B1598-E1598)/Resumen!$B$5)</f>
        <v>1.57516716179589</v>
      </c>
      <c r="G1598" s="10" t="n">
        <f aca="false">IF(OR(F1598="",C1598=""),0,(F1598-C1598)*0.9)</f>
        <v>-0.0244195543836953</v>
      </c>
      <c r="H1598" s="26" t="n">
        <f aca="false">IF(A1598&lt;Resumen!$B$11,"",IF(H1597="",0,H1597)+G1598/Resumen!$B$9)</f>
        <v>1.17818466782563</v>
      </c>
      <c r="I1598" s="26" t="n">
        <f aca="false">IF(H1598="","",H1598-AVERAGE(H1550:H1646))</f>
        <v>-0.0591952203968715</v>
      </c>
      <c r="J1598" s="27" t="n">
        <f aca="false">IF(I1598="","",Resumen!$B$10-(MAX(I1550:I1646)-I1598))</f>
        <v>1.67683223486014</v>
      </c>
    </row>
    <row r="1599" customFormat="false" ht="15" hidden="false" customHeight="false" outlineLevel="0" collapsed="false">
      <c r="A1599" s="24" t="n">
        <v>46278.03125</v>
      </c>
      <c r="B1599" s="10" t="n">
        <v>3.0483</v>
      </c>
      <c r="C1599" s="10" t="n">
        <v>1.5388</v>
      </c>
      <c r="D1599" s="10" t="n">
        <f aca="false">IF(OR(B1599="",C1599="",B1599&lt;=0.05,C1599&lt;=0.05),0,1)</f>
        <v>1</v>
      </c>
      <c r="E1599" s="25" t="n">
        <f aca="false">IF(OR(A1599&lt;Resumen!$B$6,A1599&gt;=Resumen!$B$7),0,MAX(0,AVERAGEIFS(B1551:B1647,D1551:D1647,1)-Resumen!$B$5*AVERAGEIFS(C1551:C1647,D1551:D1647,1)))</f>
        <v>0.779091678350516</v>
      </c>
      <c r="F1599" s="10" t="n">
        <f aca="false">IF(B1599="","",(B1599-E1599)/Resumen!$B$5)</f>
        <v>1.80238945325614</v>
      </c>
      <c r="G1599" s="10" t="n">
        <f aca="false">IF(OR(F1599="",C1599=""),0,(F1599-C1599)*0.9)</f>
        <v>0.237230507930529</v>
      </c>
      <c r="H1599" s="26" t="n">
        <f aca="false">IF(A1599&lt;Resumen!$B$11,"",IF(H1598="",0,H1598)+G1599/Resumen!$B$9)</f>
        <v>1.18939829058151</v>
      </c>
      <c r="I1599" s="26" t="n">
        <f aca="false">IF(H1599="","",H1599-AVERAGE(H1551:H1647))</f>
        <v>-0.0470027693965021</v>
      </c>
      <c r="J1599" s="27" t="n">
        <f aca="false">IF(I1599="","",Resumen!$B$10-(MAX(I1551:I1647)-I1599))</f>
        <v>1.68902468586051</v>
      </c>
    </row>
    <row r="1600" customFormat="false" ht="15" hidden="false" customHeight="false" outlineLevel="0" collapsed="false">
      <c r="A1600" s="24" t="n">
        <v>46278.0416666667</v>
      </c>
      <c r="B1600" s="10" t="n">
        <v>2.9214</v>
      </c>
      <c r="C1600" s="10" t="n">
        <v>1.403</v>
      </c>
      <c r="D1600" s="10" t="n">
        <f aca="false">IF(OR(B1600="",C1600="",B1600&lt;=0.05,C1600&lt;=0.05),0,1)</f>
        <v>1</v>
      </c>
      <c r="E1600" s="25" t="n">
        <f aca="false">IF(OR(A1600&lt;Resumen!$B$6,A1600&gt;=Resumen!$B$7),0,MAX(0,AVERAGEIFS(B1552:B1648,D1552:D1648,1)-Resumen!$B$5*AVERAGEIFS(C1552:C1648,D1552:D1648,1)))</f>
        <v>0.785538460824742</v>
      </c>
      <c r="F1600" s="10" t="n">
        <f aca="false">IF(B1600="","",(B1600-E1600)/Resumen!$B$5)</f>
        <v>1.69647461411855</v>
      </c>
      <c r="G1600" s="10" t="n">
        <f aca="false">IF(OR(F1600="",C1600=""),0,(F1600-C1600)*0.9)</f>
        <v>0.264127152706698</v>
      </c>
      <c r="H1600" s="26" t="n">
        <f aca="false">IF(A1600&lt;Resumen!$B$11,"",IF(H1599="",0,H1599)+G1600/Resumen!$B$9)</f>
        <v>1.2018832878775</v>
      </c>
      <c r="I1600" s="26" t="n">
        <f aca="false">IF(H1600="","",H1600-AVERAGE(H1552:H1648))</f>
        <v>-0.0337063994393019</v>
      </c>
      <c r="J1600" s="27" t="n">
        <f aca="false">IF(I1600="","",Resumen!$B$10-(MAX(I1552:I1648)-I1600))</f>
        <v>1.70232105581771</v>
      </c>
    </row>
    <row r="1601" customFormat="false" ht="15" hidden="false" customHeight="false" outlineLevel="0" collapsed="false">
      <c r="A1601" s="24" t="n">
        <v>46278.0520833333</v>
      </c>
      <c r="B1601" s="10" t="n">
        <v>2.3237</v>
      </c>
      <c r="C1601" s="10" t="n">
        <v>1.5072</v>
      </c>
      <c r="D1601" s="10" t="n">
        <f aca="false">IF(OR(B1601="",C1601="",B1601&lt;=0.05,C1601&lt;=0.05),0,1)</f>
        <v>1</v>
      </c>
      <c r="E1601" s="25" t="n">
        <f aca="false">IF(OR(A1601&lt;Resumen!$B$6,A1601&gt;=Resumen!$B$7),0,MAX(0,AVERAGEIFS(B1553:B1649,D1553:D1649,1)-Resumen!$B$5*AVERAGEIFS(C1553:C1649,D1553:D1649,1)))</f>
        <v>0.790671539175258</v>
      </c>
      <c r="F1601" s="10" t="n">
        <f aca="false">IF(B1601="","",(B1601-E1601)/Resumen!$B$5)</f>
        <v>1.21765564799424</v>
      </c>
      <c r="G1601" s="10" t="n">
        <f aca="false">IF(OR(F1601="",C1601=""),0,(F1601-C1601)*0.9)</f>
        <v>-0.260589916805189</v>
      </c>
      <c r="H1601" s="26" t="n">
        <f aca="false">IF(A1601&lt;Resumen!$B$11,"",IF(H1600="",0,H1600)+G1601/Resumen!$B$9)</f>
        <v>1.18956549179582</v>
      </c>
      <c r="I1601" s="26" t="n">
        <f aca="false">IF(H1601="","",H1601-AVERAGE(H1553:H1649))</f>
        <v>-0.0453345019498785</v>
      </c>
      <c r="J1601" s="27" t="n">
        <f aca="false">IF(I1601="","",Resumen!$B$10-(MAX(I1553:I1649)-I1601))</f>
        <v>1.69069295330713</v>
      </c>
    </row>
    <row r="1602" customFormat="false" ht="15" hidden="false" customHeight="false" outlineLevel="0" collapsed="false">
      <c r="A1602" s="24" t="n">
        <v>46278.0625</v>
      </c>
      <c r="B1602" s="10" t="n">
        <v>2.339</v>
      </c>
      <c r="C1602" s="10" t="n">
        <v>1.528</v>
      </c>
      <c r="D1602" s="10" t="n">
        <f aca="false">IF(OR(B1602="",C1602="",B1602&lt;=0.05,C1602&lt;=0.05),0,1)</f>
        <v>1</v>
      </c>
      <c r="E1602" s="25" t="n">
        <f aca="false">IF(OR(A1602&lt;Resumen!$B$6,A1602&gt;=Resumen!$B$7),0,MAX(0,AVERAGEIFS(B1554:B1650,D1554:D1650,1)-Resumen!$B$5*AVERAGEIFS(C1554:C1650,D1554:D1650,1)))</f>
        <v>0.797287394845361</v>
      </c>
      <c r="F1602" s="10" t="n">
        <f aca="false">IF(B1602="","",(B1602-E1602)/Resumen!$B$5)</f>
        <v>1.22455330036111</v>
      </c>
      <c r="G1602" s="10" t="n">
        <f aca="false">IF(OR(F1602="",C1602=""),0,(F1602-C1602)*0.9)</f>
        <v>-0.273102029675</v>
      </c>
      <c r="H1602" s="26" t="n">
        <f aca="false">IF(A1602&lt;Resumen!$B$11,"",IF(H1601="",0,H1601)+G1602/Resumen!$B$9)</f>
        <v>1.17665626202872</v>
      </c>
      <c r="I1602" s="26" t="n">
        <f aca="false">IF(H1602="","",H1602-AVERAGE(H1554:H1650))</f>
        <v>-0.0577209239399112</v>
      </c>
      <c r="J1602" s="27" t="n">
        <f aca="false">IF(I1602="","",Resumen!$B$10-(MAX(I1554:I1650)-I1602))</f>
        <v>1.6783065313171</v>
      </c>
    </row>
    <row r="1603" customFormat="false" ht="15" hidden="false" customHeight="false" outlineLevel="0" collapsed="false">
      <c r="A1603" s="24" t="n">
        <v>46278.0729166667</v>
      </c>
      <c r="B1603" s="10" t="n">
        <v>2.8661</v>
      </c>
      <c r="C1603" s="10" t="n">
        <v>1.5175</v>
      </c>
      <c r="D1603" s="10" t="n">
        <f aca="false">IF(OR(B1603="",C1603="",B1603&lt;=0.05,C1603&lt;=0.05),0,1)</f>
        <v>1</v>
      </c>
      <c r="E1603" s="25" t="n">
        <f aca="false">IF(OR(A1603&lt;Resumen!$B$6,A1603&gt;=Resumen!$B$7),0,MAX(0,AVERAGEIFS(B1555:B1651,D1555:D1651,1)-Resumen!$B$5*AVERAGEIFS(C1555:C1651,D1555:D1651,1)))</f>
        <v>0.799552213402062</v>
      </c>
      <c r="F1603" s="10" t="n">
        <f aca="false">IF(B1603="","",(B1603-E1603)/Resumen!$B$5)</f>
        <v>1.64142000524062</v>
      </c>
      <c r="G1603" s="10" t="n">
        <f aca="false">IF(OR(F1603="",C1603=""),0,(F1603-C1603)*0.9)</f>
        <v>0.111528004716556</v>
      </c>
      <c r="H1603" s="26" t="n">
        <f aca="false">IF(A1603&lt;Resumen!$B$11,"",IF(H1602="",0,H1602)+G1603/Resumen!$B$9)</f>
        <v>1.18192806700236</v>
      </c>
      <c r="I1603" s="26" t="n">
        <f aca="false">IF(H1603="","",H1603-AVERAGE(H1555:H1651))</f>
        <v>-0.0519408540956661</v>
      </c>
      <c r="J1603" s="27" t="n">
        <f aca="false">IF(I1603="","",Resumen!$B$10-(MAX(I1555:I1651)-I1603))</f>
        <v>1.68408660116135</v>
      </c>
    </row>
    <row r="1604" customFormat="false" ht="15" hidden="false" customHeight="false" outlineLevel="0" collapsed="false">
      <c r="A1604" s="24" t="n">
        <v>46278.0833333333</v>
      </c>
      <c r="B1604" s="10" t="n">
        <v>3.0362</v>
      </c>
      <c r="C1604" s="10" t="n">
        <v>1.7318</v>
      </c>
      <c r="D1604" s="10" t="n">
        <f aca="false">IF(OR(B1604="",C1604="",B1604&lt;=0.05,C1604&lt;=0.05),0,1)</f>
        <v>1</v>
      </c>
      <c r="E1604" s="25" t="n">
        <f aca="false">IF(OR(A1604&lt;Resumen!$B$6,A1604&gt;=Resumen!$B$7),0,MAX(0,AVERAGEIFS(B1556:B1652,D1556:D1652,1)-Resumen!$B$5*AVERAGEIFS(C1556:C1652,D1556:D1652,1)))</f>
        <v>0.802191962886599</v>
      </c>
      <c r="F1604" s="10" t="n">
        <f aca="false">IF(B1604="","",(B1604-E1604)/Resumen!$B$5)</f>
        <v>1.77443052987562</v>
      </c>
      <c r="G1604" s="10" t="n">
        <f aca="false">IF(OR(F1604="",C1604=""),0,(F1604-C1604)*0.9)</f>
        <v>0.0383674768880548</v>
      </c>
      <c r="H1604" s="26" t="n">
        <f aca="false">IF(A1604&lt;Resumen!$B$11,"",IF(H1603="",0,H1603)+G1604/Resumen!$B$9)</f>
        <v>1.18374165504241</v>
      </c>
      <c r="I1604" s="26" t="n">
        <f aca="false">IF(H1604="","",H1604-AVERAGE(H1556:H1652))</f>
        <v>-0.0496491257664633</v>
      </c>
      <c r="J1604" s="27" t="n">
        <f aca="false">IF(I1604="","",Resumen!$B$10-(MAX(I1556:I1652)-I1604))</f>
        <v>1.68637832949055</v>
      </c>
    </row>
    <row r="1605" customFormat="false" ht="15" hidden="false" customHeight="false" outlineLevel="0" collapsed="false">
      <c r="A1605" s="24" t="n">
        <v>46278.09375</v>
      </c>
      <c r="B1605" s="10" t="n">
        <v>2.8435</v>
      </c>
      <c r="C1605" s="10" t="n">
        <v>1.4314</v>
      </c>
      <c r="D1605" s="10" t="n">
        <f aca="false">IF(OR(B1605="",C1605="",B1605&lt;=0.05,C1605&lt;=0.05),0,1)</f>
        <v>1</v>
      </c>
      <c r="E1605" s="25" t="n">
        <f aca="false">IF(OR(A1605&lt;Resumen!$B$6,A1605&gt;=Resumen!$B$7),0,MAX(0,AVERAGEIFS(B1557:B1653,D1557:D1653,1)-Resumen!$B$5*AVERAGEIFS(C1557:C1653,D1557:D1653,1)))</f>
        <v>0.798306844329897</v>
      </c>
      <c r="F1605" s="10" t="n">
        <f aca="false">IF(B1605="","",(B1605-E1605)/Resumen!$B$5)</f>
        <v>1.62445842388412</v>
      </c>
      <c r="G1605" s="10" t="n">
        <f aca="false">IF(OR(F1605="",C1605=""),0,(F1605-C1605)*0.9)</f>
        <v>0.173752581495705</v>
      </c>
      <c r="H1605" s="26" t="n">
        <f aca="false">IF(A1605&lt;Resumen!$B$11,"",IF(H1604="",0,H1604)+G1605/Resumen!$B$9)</f>
        <v>1.19195474668375</v>
      </c>
      <c r="I1605" s="26" t="n">
        <f aca="false">IF(H1605="","",H1605-AVERAGE(H1557:H1653))</f>
        <v>-0.0407679955429827</v>
      </c>
      <c r="J1605" s="27" t="n">
        <f aca="false">IF(I1605="","",Resumen!$B$10-(MAX(I1557:I1653)-I1605))</f>
        <v>1.69525945971403</v>
      </c>
    </row>
    <row r="1606" customFormat="false" ht="15" hidden="false" customHeight="false" outlineLevel="0" collapsed="false">
      <c r="A1606" s="24" t="n">
        <v>46278.1041666667</v>
      </c>
      <c r="B1606" s="10" t="n">
        <v>2.9147</v>
      </c>
      <c r="C1606" s="10" t="n">
        <v>1.3761</v>
      </c>
      <c r="D1606" s="10" t="n">
        <f aca="false">IF(OR(B1606="",C1606="",B1606&lt;=0.05,C1606&lt;=0.05),0,1)</f>
        <v>1</v>
      </c>
      <c r="E1606" s="25" t="n">
        <f aca="false">IF(OR(A1606&lt;Resumen!$B$6,A1606&gt;=Resumen!$B$7),0,MAX(0,AVERAGEIFS(B1558:B1654,D1558:D1654,1)-Resumen!$B$5*AVERAGEIFS(C1558:C1654,D1558:D1654,1)))</f>
        <v>0.786735916494846</v>
      </c>
      <c r="F1606" s="10" t="n">
        <f aca="false">IF(B1606="","",(B1606-E1606)/Resumen!$B$5)</f>
        <v>1.69020181374516</v>
      </c>
      <c r="G1606" s="10" t="n">
        <f aca="false">IF(OR(F1606="",C1606=""),0,(F1606-C1606)*0.9)</f>
        <v>0.282691632370643</v>
      </c>
      <c r="H1606" s="26" t="n">
        <f aca="false">IF(A1606&lt;Resumen!$B$11,"",IF(H1605="",0,H1605)+G1606/Resumen!$B$9)</f>
        <v>1.20531726632468</v>
      </c>
      <c r="I1606" s="26" t="n">
        <f aca="false">IF(H1606="","",H1606-AVERAGE(H1558:H1654))</f>
        <v>-0.0262885357957492</v>
      </c>
      <c r="J1606" s="27" t="n">
        <f aca="false">IF(I1606="","",Resumen!$B$10-(MAX(I1558:I1654)-I1606))</f>
        <v>1.70973891946126</v>
      </c>
    </row>
    <row r="1607" customFormat="false" ht="15" hidden="false" customHeight="false" outlineLevel="0" collapsed="false">
      <c r="A1607" s="24" t="n">
        <v>46278.1145833333</v>
      </c>
      <c r="B1607" s="10" t="n">
        <v>3.0634</v>
      </c>
      <c r="C1607" s="10" t="n">
        <v>1.4358</v>
      </c>
      <c r="D1607" s="10" t="n">
        <f aca="false">IF(OR(B1607="",C1607="",B1607&lt;=0.05,C1607&lt;=0.05),0,1)</f>
        <v>1</v>
      </c>
      <c r="E1607" s="25" t="n">
        <f aca="false">IF(OR(A1607&lt;Resumen!$B$6,A1607&gt;=Resumen!$B$7),0,MAX(0,AVERAGEIFS(B1559:B1655,D1559:D1655,1)-Resumen!$B$5*AVERAGEIFS(C1559:C1655,D1559:D1655,1)))</f>
        <v>0.781504227835052</v>
      </c>
      <c r="F1607" s="10" t="n">
        <f aca="false">IF(B1607="","",(B1607-E1607)/Resumen!$B$5)</f>
        <v>1.81246685636612</v>
      </c>
      <c r="G1607" s="10" t="n">
        <f aca="false">IF(OR(F1607="",C1607=""),0,(F1607-C1607)*0.9)</f>
        <v>0.33900017072951</v>
      </c>
      <c r="H1607" s="26" t="n">
        <f aca="false">IF(A1607&lt;Resumen!$B$11,"",IF(H1606="",0,H1606)+G1607/Resumen!$B$9)</f>
        <v>1.22134142806468</v>
      </c>
      <c r="I1607" s="26" t="n">
        <f aca="false">IF(H1607="","",H1607-AVERAGE(H1559:H1655))</f>
        <v>-0.00891382491986348</v>
      </c>
      <c r="J1607" s="27" t="n">
        <f aca="false">IF(I1607="","",Resumen!$B$10-(MAX(I1559:I1655)-I1607))</f>
        <v>1.72711363033715</v>
      </c>
    </row>
    <row r="1608" customFormat="false" ht="15" hidden="false" customHeight="false" outlineLevel="0" collapsed="false">
      <c r="A1608" s="24" t="n">
        <v>46278.125</v>
      </c>
      <c r="B1608" s="10" t="n">
        <v>2.849</v>
      </c>
      <c r="C1608" s="10" t="n">
        <v>1.3909</v>
      </c>
      <c r="D1608" s="10" t="n">
        <f aca="false">IF(OR(B1608="",C1608="",B1608&lt;=0.05,C1608&lt;=0.05),0,1)</f>
        <v>1</v>
      </c>
      <c r="E1608" s="25" t="n">
        <f aca="false">IF(OR(A1608&lt;Resumen!$B$6,A1608&gt;=Resumen!$B$7),0,MAX(0,AVERAGEIFS(B1560:B1656,D1560:D1656,1)-Resumen!$B$5*AVERAGEIFS(C1560:C1656,D1560:D1656,1)))</f>
        <v>0.790264379381444</v>
      </c>
      <c r="F1608" s="10" t="n">
        <f aca="false">IF(B1608="","",(B1608-E1608)/Resumen!$B$5)</f>
        <v>1.63521494886303</v>
      </c>
      <c r="G1608" s="10" t="n">
        <f aca="false">IF(OR(F1608="",C1608=""),0,(F1608-C1608)*0.9)</f>
        <v>0.219883453976728</v>
      </c>
      <c r="H1608" s="26" t="n">
        <f aca="false">IF(A1608&lt;Resumen!$B$11,"",IF(H1607="",0,H1607)+G1608/Resumen!$B$9)</f>
        <v>1.23173507483745</v>
      </c>
      <c r="I1608" s="26" t="n">
        <f aca="false">IF(H1608="","",H1608-AVERAGE(H1560:H1656))</f>
        <v>0.00258750329239943</v>
      </c>
      <c r="J1608" s="27" t="n">
        <f aca="false">IF(I1608="","",Resumen!$B$10-(MAX(I1560:I1656)-I1608))</f>
        <v>1.73861495854941</v>
      </c>
    </row>
    <row r="1609" customFormat="false" ht="15" hidden="false" customHeight="false" outlineLevel="0" collapsed="false">
      <c r="A1609" s="24" t="n">
        <v>46278.1354166667</v>
      </c>
      <c r="B1609" s="10" t="n">
        <v>3.2144</v>
      </c>
      <c r="C1609" s="10" t="n">
        <v>1.4397</v>
      </c>
      <c r="D1609" s="10" t="n">
        <f aca="false">IF(OR(B1609="",C1609="",B1609&lt;=0.05,C1609&lt;=0.05),0,1)</f>
        <v>1</v>
      </c>
      <c r="E1609" s="25" t="n">
        <f aca="false">IF(OR(A1609&lt;Resumen!$B$6,A1609&gt;=Resumen!$B$7),0,MAX(0,AVERAGEIFS(B1561:B1657,D1561:D1657,1)-Resumen!$B$5*AVERAGEIFS(C1561:C1657,D1561:D1657,1)))</f>
        <v>0.789413069072165</v>
      </c>
      <c r="F1609" s="10" t="n">
        <f aca="false">IF(B1609="","",(B1609-E1609)/Resumen!$B$5)</f>
        <v>1.92612147015714</v>
      </c>
      <c r="G1609" s="10" t="n">
        <f aca="false">IF(OR(F1609="",C1609=""),0,(F1609-C1609)*0.9)</f>
        <v>0.437779323141423</v>
      </c>
      <c r="H1609" s="26" t="n">
        <f aca="false">IF(A1609&lt;Resumen!$B$11,"",IF(H1608="",0,H1608)+G1609/Resumen!$B$9)</f>
        <v>1.25242841745539</v>
      </c>
      <c r="I1609" s="26" t="n">
        <f aca="false">IF(H1609="","",H1609-AVERAGE(H1561:H1657))</f>
        <v>0.0244688742456458</v>
      </c>
      <c r="J1609" s="27" t="n">
        <f aca="false">IF(I1609="","",Resumen!$B$10-(MAX(I1561:I1657)-I1609))</f>
        <v>1.76049632950266</v>
      </c>
    </row>
    <row r="1610" customFormat="false" ht="15" hidden="false" customHeight="false" outlineLevel="0" collapsed="false">
      <c r="A1610" s="24" t="n">
        <v>46278.1458333333</v>
      </c>
      <c r="B1610" s="10" t="n">
        <v>2.4597</v>
      </c>
      <c r="C1610" s="10" t="n">
        <v>1.274</v>
      </c>
      <c r="D1610" s="10" t="n">
        <f aca="false">IF(OR(B1610="",C1610="",B1610&lt;=0.05,C1610&lt;=0.05),0,1)</f>
        <v>1</v>
      </c>
      <c r="E1610" s="25" t="n">
        <f aca="false">IF(OR(A1610&lt;Resumen!$B$6,A1610&gt;=Resumen!$B$7),0,MAX(0,AVERAGEIFS(B1562:B1658,D1562:D1658,1)-Resumen!$B$5*AVERAGEIFS(C1562:C1658,D1562:D1658,1)))</f>
        <v>0.796611809278351</v>
      </c>
      <c r="F1610" s="10" t="n">
        <f aca="false">IF(B1610="","",(B1610-E1610)/Resumen!$B$5)</f>
        <v>1.32095964314666</v>
      </c>
      <c r="G1610" s="10" t="n">
        <f aca="false">IF(OR(F1610="",C1610=""),0,(F1610-C1610)*0.9)</f>
        <v>0.0422636788319975</v>
      </c>
      <c r="H1610" s="26" t="n">
        <f aca="false">IF(A1610&lt;Resumen!$B$11,"",IF(H1609="",0,H1609)+G1610/Resumen!$B$9)</f>
        <v>1.25442617463608</v>
      </c>
      <c r="I1610" s="26" t="n">
        <f aca="false">IF(H1610="","",H1610-AVERAGE(H1562:H1658))</f>
        <v>0.0274587873719285</v>
      </c>
      <c r="J1610" s="27" t="n">
        <f aca="false">IF(I1610="","",Resumen!$B$10-(MAX(I1562:I1658)-I1610))</f>
        <v>1.76348624262894</v>
      </c>
    </row>
    <row r="1611" customFormat="false" ht="15" hidden="false" customHeight="false" outlineLevel="0" collapsed="false">
      <c r="A1611" s="24" t="n">
        <v>46278.15625</v>
      </c>
      <c r="B1611" s="10" t="n">
        <v>3.0841</v>
      </c>
      <c r="C1611" s="10" t="n">
        <v>1.4691</v>
      </c>
      <c r="D1611" s="10" t="n">
        <f aca="false">IF(OR(B1611="",C1611="",B1611&lt;=0.05,C1611&lt;=0.05),0,1)</f>
        <v>1</v>
      </c>
      <c r="E1611" s="25" t="n">
        <f aca="false">IF(OR(A1611&lt;Resumen!$B$6,A1611&gt;=Resumen!$B$7),0,MAX(0,AVERAGEIFS(B1563:B1659,D1563:D1659,1)-Resumen!$B$5*AVERAGEIFS(C1563:C1659,D1563:D1659,1)))</f>
        <v>0.795600426804123</v>
      </c>
      <c r="F1611" s="10" t="n">
        <f aca="false">IF(B1611="","",(B1611-E1611)/Resumen!$B$5)</f>
        <v>1.81771213121198</v>
      </c>
      <c r="G1611" s="10" t="n">
        <f aca="false">IF(OR(F1611="",C1611=""),0,(F1611-C1611)*0.9)</f>
        <v>0.313750918090778</v>
      </c>
      <c r="H1611" s="26" t="n">
        <f aca="false">IF(A1611&lt;Resumen!$B$11,"",IF(H1610="",0,H1610)+G1611/Resumen!$B$9)</f>
        <v>1.26925683223351</v>
      </c>
      <c r="I1611" s="26" t="n">
        <f aca="false">IF(H1611="","",H1611-AVERAGE(H1563:H1659))</f>
        <v>0.0433603568642613</v>
      </c>
      <c r="J1611" s="27" t="n">
        <f aca="false">IF(I1611="","",Resumen!$B$10-(MAX(I1563:I1659)-I1611))</f>
        <v>1.77938781212127</v>
      </c>
    </row>
    <row r="1612" customFormat="false" ht="15" hidden="false" customHeight="false" outlineLevel="0" collapsed="false">
      <c r="A1612" s="24" t="n">
        <v>46278.1666666667</v>
      </c>
      <c r="B1612" s="10" t="n">
        <v>3.4334</v>
      </c>
      <c r="C1612" s="10" t="n">
        <v>1.4505</v>
      </c>
      <c r="D1612" s="10" t="n">
        <f aca="false">IF(OR(B1612="",C1612="",B1612&lt;=0.05,C1612&lt;=0.05),0,1)</f>
        <v>1</v>
      </c>
      <c r="E1612" s="25" t="n">
        <f aca="false">IF(OR(A1612&lt;Resumen!$B$6,A1612&gt;=Resumen!$B$7),0,MAX(0,AVERAGEIFS(B1564:B1660,D1564:D1660,1)-Resumen!$B$5*AVERAGEIFS(C1564:C1660,D1564:D1660,1)))</f>
        <v>0.794440945360825</v>
      </c>
      <c r="F1612" s="10" t="n">
        <f aca="false">IF(B1612="","",(B1612-E1612)/Resumen!$B$5)</f>
        <v>2.09607550011054</v>
      </c>
      <c r="G1612" s="10" t="n">
        <f aca="false">IF(OR(F1612="",C1612=""),0,(F1612-C1612)*0.9)</f>
        <v>0.58101795009949</v>
      </c>
      <c r="H1612" s="26" t="n">
        <f aca="false">IF(A1612&lt;Resumen!$B$11,"",IF(H1611="",0,H1611)+G1612/Resumen!$B$9)</f>
        <v>1.2967209057359</v>
      </c>
      <c r="I1612" s="26" t="n">
        <f aca="false">IF(H1612="","",H1612-AVERAGE(H1564:H1660))</f>
        <v>0.0719775416130102</v>
      </c>
      <c r="J1612" s="27" t="n">
        <f aca="false">IF(I1612="","",Resumen!$B$10-(MAX(I1564:I1660)-I1612))</f>
        <v>1.80800499687002</v>
      </c>
    </row>
    <row r="1613" customFormat="false" ht="15" hidden="false" customHeight="false" outlineLevel="0" collapsed="false">
      <c r="A1613" s="24" t="n">
        <v>46278.1770833333</v>
      </c>
      <c r="B1613" s="10" t="n">
        <v>2.3319</v>
      </c>
      <c r="C1613" s="10" t="n">
        <v>1.5847</v>
      </c>
      <c r="D1613" s="10" t="n">
        <f aca="false">IF(OR(B1613="",C1613="",B1613&lt;=0.05,C1613&lt;=0.05),0,1)</f>
        <v>1</v>
      </c>
      <c r="E1613" s="25" t="n">
        <f aca="false">IF(OR(A1613&lt;Resumen!$B$6,A1613&gt;=Resumen!$B$7),0,MAX(0,AVERAGEIFS(B1565:B1661,D1565:D1661,1)-Resumen!$B$5*AVERAGEIFS(C1565:C1661,D1565:D1661,1)))</f>
        <v>0.792943595876289</v>
      </c>
      <c r="F1613" s="10" t="n">
        <f aca="false">IF(B1613="","",(B1613-E1613)/Resumen!$B$5)</f>
        <v>1.22236410176625</v>
      </c>
      <c r="G1613" s="10" t="n">
        <f aca="false">IF(OR(F1613="",C1613=""),0,(F1613-C1613)*0.9)</f>
        <v>-0.326102308410374</v>
      </c>
      <c r="H1613" s="26" t="n">
        <f aca="false">IF(A1613&lt;Resumen!$B$11,"",IF(H1612="",0,H1612)+G1613/Resumen!$B$9)</f>
        <v>1.28130641162957</v>
      </c>
      <c r="I1613" s="26" t="n">
        <f aca="false">IF(H1613="","",H1613-AVERAGE(H1565:H1661))</f>
        <v>0.0578062824997314</v>
      </c>
      <c r="J1613" s="27" t="n">
        <f aca="false">IF(I1613="","",Resumen!$B$10-(MAX(I1565:I1661)-I1613))</f>
        <v>1.79383373775674</v>
      </c>
    </row>
    <row r="1614" customFormat="false" ht="15" hidden="false" customHeight="false" outlineLevel="0" collapsed="false">
      <c r="A1614" s="24" t="n">
        <v>46278.1875</v>
      </c>
      <c r="B1614" s="10" t="n">
        <v>2.7793</v>
      </c>
      <c r="C1614" s="10" t="n">
        <v>1.7194</v>
      </c>
      <c r="D1614" s="10" t="n">
        <f aca="false">IF(OR(B1614="",C1614="",B1614&lt;=0.05,C1614&lt;=0.05),0,1)</f>
        <v>1</v>
      </c>
      <c r="E1614" s="25" t="n">
        <f aca="false">IF(OR(A1614&lt;Resumen!$B$6,A1614&gt;=Resumen!$B$7),0,MAX(0,AVERAGEIFS(B1566:B1662,D1566:D1662,1)-Resumen!$B$5*AVERAGEIFS(C1566:C1662,D1566:D1662,1)))</f>
        <v>0.798632154639175</v>
      </c>
      <c r="F1614" s="10" t="n">
        <f aca="false">IF(B1614="","",(B1614-E1614)/Resumen!$B$5)</f>
        <v>1.57320718455983</v>
      </c>
      <c r="G1614" s="10" t="n">
        <f aca="false">IF(OR(F1614="",C1614=""),0,(F1614-C1614)*0.9)</f>
        <v>-0.131573533896154</v>
      </c>
      <c r="H1614" s="26" t="n">
        <f aca="false">IF(A1614&lt;Resumen!$B$11,"",IF(H1613="",0,H1613)+G1614/Resumen!$B$9)</f>
        <v>1.27508707674452</v>
      </c>
      <c r="I1614" s="26" t="n">
        <f aca="false">IF(H1614="","",H1614-AVERAGE(H1566:H1662))</f>
        <v>0.0526816334993598</v>
      </c>
      <c r="J1614" s="27" t="n">
        <f aca="false">IF(I1614="","",Resumen!$B$10-(MAX(I1566:I1662)-I1614))</f>
        <v>1.78870908875637</v>
      </c>
    </row>
    <row r="1615" customFormat="false" ht="15" hidden="false" customHeight="false" outlineLevel="0" collapsed="false">
      <c r="A1615" s="24" t="n">
        <v>46278.1979166667</v>
      </c>
      <c r="B1615" s="10" t="n">
        <v>2.9377</v>
      </c>
      <c r="C1615" s="10" t="n">
        <v>1.4071</v>
      </c>
      <c r="D1615" s="10" t="n">
        <f aca="false">IF(OR(B1615="",C1615="",B1615&lt;=0.05,C1615&lt;=0.05),0,1)</f>
        <v>1</v>
      </c>
      <c r="E1615" s="25" t="n">
        <f aca="false">IF(OR(A1615&lt;Resumen!$B$6,A1615&gt;=Resumen!$B$7),0,MAX(0,AVERAGEIFS(B1567:B1663,D1567:D1663,1)-Resumen!$B$5*AVERAGEIFS(C1567:C1663,D1567:D1663,1)))</f>
        <v>0.818489342268042</v>
      </c>
      <c r="F1615" s="10" t="n">
        <f aca="false">IF(B1615="","",(B1615-E1615)/Resumen!$B$5)</f>
        <v>1.68324913243206</v>
      </c>
      <c r="G1615" s="10" t="n">
        <f aca="false">IF(OR(F1615="",C1615=""),0,(F1615-C1615)*0.9)</f>
        <v>0.24853421918885</v>
      </c>
      <c r="H1615" s="26" t="n">
        <f aca="false">IF(A1615&lt;Resumen!$B$11,"",IF(H1614="",0,H1614)+G1615/Resumen!$B$9)</f>
        <v>1.28683501338313</v>
      </c>
      <c r="I1615" s="26" t="n">
        <f aca="false">IF(H1615="","",H1615-AVERAGE(H1567:H1663))</f>
        <v>0.0649002535635161</v>
      </c>
      <c r="J1615" s="27" t="n">
        <f aca="false">IF(I1615="","",Resumen!$B$10-(MAX(I1567:I1663)-I1615))</f>
        <v>1.80092770882053</v>
      </c>
    </row>
    <row r="1616" customFormat="false" ht="15" hidden="false" customHeight="false" outlineLevel="0" collapsed="false">
      <c r="A1616" s="24" t="n">
        <v>46278.2083333333</v>
      </c>
      <c r="B1616" s="10" t="n">
        <v>3.6847</v>
      </c>
      <c r="C1616" s="10" t="n">
        <v>1.7174</v>
      </c>
      <c r="D1616" s="10" t="n">
        <f aca="false">IF(OR(B1616="",C1616="",B1616&lt;=0.05,C1616&lt;=0.05),0,1)</f>
        <v>1</v>
      </c>
      <c r="E1616" s="25" t="n">
        <f aca="false">IF(OR(A1616&lt;Resumen!$B$6,A1616&gt;=Resumen!$B$7),0,MAX(0,AVERAGEIFS(B1568:B1664,D1568:D1664,1)-Resumen!$B$5*AVERAGEIFS(C1568:C1664,D1568:D1664,1)))</f>
        <v>0.815148534020619</v>
      </c>
      <c r="F1616" s="10" t="n">
        <f aca="false">IF(B1616="","",(B1616-E1616)/Resumen!$B$5)</f>
        <v>2.27923071165956</v>
      </c>
      <c r="G1616" s="10" t="n">
        <f aca="false">IF(OR(F1616="",C1616=""),0,(F1616-C1616)*0.9)</f>
        <v>0.505647640493601</v>
      </c>
      <c r="H1616" s="26" t="n">
        <f aca="false">IF(A1616&lt;Resumen!$B$11,"",IF(H1615="",0,H1615)+G1616/Resumen!$B$9)</f>
        <v>1.31073641602042</v>
      </c>
      <c r="I1616" s="26" t="n">
        <f aca="false">IF(H1616="","",H1616-AVERAGE(H1568:H1664))</f>
        <v>0.0894281115175721</v>
      </c>
      <c r="J1616" s="27" t="n">
        <f aca="false">IF(I1616="","",Resumen!$B$10-(MAX(I1568:I1664)-I1616))</f>
        <v>1.82545556677458</v>
      </c>
    </row>
    <row r="1617" customFormat="false" ht="15" hidden="false" customHeight="false" outlineLevel="0" collapsed="false">
      <c r="A1617" s="24" t="n">
        <v>46278.21875</v>
      </c>
      <c r="B1617" s="10" t="n">
        <v>3.5723</v>
      </c>
      <c r="C1617" s="10" t="n">
        <v>1.7362</v>
      </c>
      <c r="D1617" s="10" t="n">
        <f aca="false">IF(OR(B1617="",C1617="",B1617&lt;=0.05,C1617&lt;=0.05),0,1)</f>
        <v>1</v>
      </c>
      <c r="E1617" s="25" t="n">
        <f aca="false">IF(OR(A1617&lt;Resumen!$B$6,A1617&gt;=Resumen!$B$7),0,MAX(0,AVERAGEIFS(B1569:B1665,D1569:D1665,1)-Resumen!$B$5*AVERAGEIFS(C1569:C1665,D1569:D1665,1)))</f>
        <v>0.809700511340207</v>
      </c>
      <c r="F1617" s="10" t="n">
        <f aca="false">IF(B1617="","",(B1617-E1617)/Resumen!$B$5)</f>
        <v>2.19428076938824</v>
      </c>
      <c r="G1617" s="10" t="n">
        <f aca="false">IF(OR(F1617="",C1617=""),0,(F1617-C1617)*0.9)</f>
        <v>0.412272692449415</v>
      </c>
      <c r="H1617" s="26" t="n">
        <f aca="false">IF(A1617&lt;Resumen!$B$11,"",IF(H1616="",0,H1616)+G1617/Resumen!$B$9)</f>
        <v>1.33022408852093</v>
      </c>
      <c r="I1617" s="26" t="n">
        <f aca="false">IF(H1617="","",H1617-AVERAGE(H1569:H1665))</f>
        <v>0.109768498236763</v>
      </c>
      <c r="J1617" s="27" t="n">
        <f aca="false">IF(I1617="","",Resumen!$B$10-(MAX(I1569:I1665)-I1617))</f>
        <v>1.84579595349378</v>
      </c>
    </row>
    <row r="1618" customFormat="false" ht="15" hidden="false" customHeight="false" outlineLevel="0" collapsed="false">
      <c r="A1618" s="24" t="n">
        <v>46278.2291666667</v>
      </c>
      <c r="B1618" s="10" t="n">
        <v>3.3878</v>
      </c>
      <c r="C1618" s="10" t="n">
        <v>1.9406</v>
      </c>
      <c r="D1618" s="10" t="n">
        <f aca="false">IF(OR(B1618="",C1618="",B1618&lt;=0.05,C1618&lt;=0.05),0,1)</f>
        <v>1</v>
      </c>
      <c r="E1618" s="25" t="n">
        <f aca="false">IF(OR(A1618&lt;Resumen!$B$6,A1618&gt;=Resumen!$B$7),0,MAX(0,AVERAGEIFS(B1570:B1666,D1570:D1666,1)-Resumen!$B$5*AVERAGEIFS(C1570:C1666,D1570:D1666,1)))</f>
        <v>0.828109679381443</v>
      </c>
      <c r="F1618" s="10" t="n">
        <f aca="false">IF(B1618="","",(B1618-E1618)/Resumen!$B$5)</f>
        <v>2.03311383686939</v>
      </c>
      <c r="G1618" s="10" t="n">
        <f aca="false">IF(OR(F1618="",C1618=""),0,(F1618-C1618)*0.9)</f>
        <v>0.0832624531824473</v>
      </c>
      <c r="H1618" s="26" t="n">
        <f aca="false">IF(A1618&lt;Resumen!$B$11,"",IF(H1617="",0,H1617)+G1618/Resumen!$B$9)</f>
        <v>1.33415981225167</v>
      </c>
      <c r="I1618" s="26" t="n">
        <f aca="false">IF(H1618="","",H1618-AVERAGE(H1570:H1666))</f>
        <v>0.113972544742987</v>
      </c>
      <c r="J1618" s="27" t="n">
        <f aca="false">IF(I1618="","",Resumen!$B$10-(MAX(I1570:I1666)-I1618))</f>
        <v>1.85</v>
      </c>
    </row>
    <row r="1619" customFormat="false" ht="15" hidden="false" customHeight="false" outlineLevel="0" collapsed="false">
      <c r="A1619" s="24" t="n">
        <v>46278.2395833333</v>
      </c>
      <c r="B1619" s="10" t="n">
        <v>2.2793</v>
      </c>
      <c r="C1619" s="10" t="n">
        <v>1.5429</v>
      </c>
      <c r="D1619" s="10" t="n">
        <f aca="false">IF(OR(B1619="",C1619="",B1619&lt;=0.05,C1619&lt;=0.05),0,1)</f>
        <v>1</v>
      </c>
      <c r="E1619" s="25" t="n">
        <f aca="false">IF(OR(A1619&lt;Resumen!$B$6,A1619&gt;=Resumen!$B$7),0,MAX(0,AVERAGEIFS(B1571:B1667,D1571:D1667,1)-Resumen!$B$5*AVERAGEIFS(C1571:C1667,D1571:D1667,1)))</f>
        <v>0.828481072164949</v>
      </c>
      <c r="F1619" s="10" t="n">
        <f aca="false">IF(B1619="","",(B1619-E1619)/Resumen!$B$5)</f>
        <v>1.15235816349091</v>
      </c>
      <c r="G1619" s="10" t="n">
        <f aca="false">IF(OR(F1619="",C1619=""),0,(F1619-C1619)*0.9)</f>
        <v>-0.351487652858184</v>
      </c>
      <c r="H1619" s="26" t="n">
        <f aca="false">IF(A1619&lt;Resumen!$B$11,"",IF(H1618="",0,H1618)+G1619/Resumen!$B$9)</f>
        <v>1.31754538109404</v>
      </c>
      <c r="I1619" s="26" t="n">
        <f aca="false">IF(H1619="","",H1619-AVERAGE(H1571:H1667))</f>
        <v>0.0976515071802782</v>
      </c>
      <c r="J1619" s="27" t="n">
        <f aca="false">IF(I1619="","",Resumen!$B$10-(MAX(I1571:I1667)-I1619))</f>
        <v>1.83367896243729</v>
      </c>
    </row>
    <row r="1620" customFormat="false" ht="15" hidden="false" customHeight="false" outlineLevel="0" collapsed="false">
      <c r="A1620" s="24" t="n">
        <v>46278.25</v>
      </c>
      <c r="B1620" s="10" t="n">
        <v>2.6258</v>
      </c>
      <c r="C1620" s="10" t="n">
        <v>1.997</v>
      </c>
      <c r="D1620" s="10" t="n">
        <f aca="false">IF(OR(B1620="",C1620="",B1620&lt;=0.05,C1620&lt;=0.05),0,1)</f>
        <v>1</v>
      </c>
      <c r="E1620" s="25" t="n">
        <f aca="false">IF(OR(A1620&lt;Resumen!$B$6,A1620&gt;=Resumen!$B$7),0,MAX(0,AVERAGEIFS(B1572:B1668,D1572:D1668,1)-Resumen!$B$5*AVERAGEIFS(C1572:C1668,D1572:D1668,1)))</f>
        <v>0.82942229072165</v>
      </c>
      <c r="F1620" s="10" t="n">
        <f aca="false">IF(B1620="","",(B1620-E1620)/Resumen!$B$5)</f>
        <v>1.42682899863253</v>
      </c>
      <c r="G1620" s="10" t="n">
        <f aca="false">IF(OR(F1620="",C1620=""),0,(F1620-C1620)*0.9)</f>
        <v>-0.513153901230727</v>
      </c>
      <c r="H1620" s="26" t="n">
        <f aca="false">IF(A1620&lt;Resumen!$B$11,"",IF(H1619="",0,H1619)+G1620/Resumen!$B$9)</f>
        <v>1.29328916584454</v>
      </c>
      <c r="I1620" s="26" t="n">
        <f aca="false">IF(H1620="","",H1620-AVERAGE(H1572:H1668))</f>
        <v>0.0737061495605185</v>
      </c>
      <c r="J1620" s="27" t="n">
        <f aca="false">IF(I1620="","",Resumen!$B$10-(MAX(I1572:I1668)-I1620))</f>
        <v>1.80973360481753</v>
      </c>
    </row>
    <row r="1621" customFormat="false" ht="15" hidden="false" customHeight="false" outlineLevel="0" collapsed="false">
      <c r="A1621" s="24" t="n">
        <v>46278.2604166667</v>
      </c>
      <c r="B1621" s="10" t="n">
        <v>3.124</v>
      </c>
      <c r="C1621" s="10" t="n">
        <v>1.8876</v>
      </c>
      <c r="D1621" s="10" t="n">
        <f aca="false">IF(OR(B1621="",C1621="",B1621&lt;=0.05,C1621&lt;=0.05),0,1)</f>
        <v>1</v>
      </c>
      <c r="E1621" s="25" t="n">
        <f aca="false">IF(OR(A1621&lt;Resumen!$B$6,A1621&gt;=Resumen!$B$7),0,MAX(0,AVERAGEIFS(B1573:B1669,D1573:D1669,1)-Resumen!$B$5*AVERAGEIFS(C1573:C1669,D1573:D1669,1)))</f>
        <v>0.832080707216496</v>
      </c>
      <c r="F1621" s="10" t="n">
        <f aca="false">IF(B1621="","",(B1621-E1621)/Resumen!$B$5)</f>
        <v>1.82042835010604</v>
      </c>
      <c r="G1621" s="10" t="n">
        <f aca="false">IF(OR(F1621="",C1621=""),0,(F1621-C1621)*0.9)</f>
        <v>-0.0604544849045637</v>
      </c>
      <c r="H1621" s="26" t="n">
        <f aca="false">IF(A1621&lt;Resumen!$B$11,"",IF(H1620="",0,H1620)+G1621/Resumen!$B$9)</f>
        <v>1.29043154945474</v>
      </c>
      <c r="I1621" s="26" t="n">
        <f aca="false">IF(H1621="","",H1621-AVERAGE(H1573:H1669))</f>
        <v>0.0711238728627717</v>
      </c>
      <c r="J1621" s="27" t="n">
        <f aca="false">IF(I1621="","",Resumen!$B$10-(MAX(I1573:I1669)-I1621))</f>
        <v>1.80715132811978</v>
      </c>
    </row>
    <row r="1622" customFormat="false" ht="15" hidden="false" customHeight="false" outlineLevel="0" collapsed="false">
      <c r="A1622" s="24" t="n">
        <v>46278.2708333333</v>
      </c>
      <c r="B1622" s="10" t="n">
        <v>3.3717</v>
      </c>
      <c r="C1622" s="10" t="n">
        <v>1.7103</v>
      </c>
      <c r="D1622" s="10" t="n">
        <f aca="false">IF(OR(B1622="",C1622="",B1622&lt;=0.05,C1622&lt;=0.05),0,1)</f>
        <v>1</v>
      </c>
      <c r="E1622" s="25" t="n">
        <f aca="false">IF(OR(A1622&lt;Resumen!$B$6,A1622&gt;=Resumen!$B$7),0,MAX(0,AVERAGEIFS(B1574:B1670,D1574:D1670,1)-Resumen!$B$5*AVERAGEIFS(C1574:C1670,D1574:D1670,1)))</f>
        <v>0.846783060824743</v>
      </c>
      <c r="F1622" s="10" t="n">
        <f aca="false">IF(B1622="","",(B1622-E1622)/Resumen!$B$5)</f>
        <v>2.00549399457924</v>
      </c>
      <c r="G1622" s="10" t="n">
        <f aca="false">IF(OR(F1622="",C1622=""),0,(F1622-C1622)*0.9)</f>
        <v>0.265674595121312</v>
      </c>
      <c r="H1622" s="26" t="n">
        <f aca="false">IF(A1622&lt;Resumen!$B$11,"",IF(H1621="",0,H1621)+G1622/Resumen!$B$9)</f>
        <v>1.30298969263583</v>
      </c>
      <c r="I1622" s="26" t="n">
        <f aca="false">IF(H1622="","",H1622-AVERAGE(H1574:H1670))</f>
        <v>0.0835204764680668</v>
      </c>
      <c r="J1622" s="27" t="n">
        <f aca="false">IF(I1622="","",Resumen!$B$10-(MAX(I1574:I1670)-I1622))</f>
        <v>1.81954793172508</v>
      </c>
    </row>
    <row r="1623" customFormat="false" ht="15" hidden="false" customHeight="false" outlineLevel="0" collapsed="false">
      <c r="A1623" s="24" t="n">
        <v>46278.28125</v>
      </c>
      <c r="B1623" s="10" t="n">
        <v>3.5961</v>
      </c>
      <c r="C1623" s="10" t="n">
        <v>2.302</v>
      </c>
      <c r="D1623" s="10" t="n">
        <f aca="false">IF(OR(B1623="",C1623="",B1623&lt;=0.05,C1623&lt;=0.05),0,1)</f>
        <v>1</v>
      </c>
      <c r="E1623" s="25" t="n">
        <f aca="false">IF(OR(A1623&lt;Resumen!$B$6,A1623&gt;=Resumen!$B$7),0,MAX(0,AVERAGEIFS(B1575:B1671,D1575:D1671,1)-Resumen!$B$5*AVERAGEIFS(C1575:C1671,D1575:D1671,1)))</f>
        <v>0.837749508247423</v>
      </c>
      <c r="F1623" s="10" t="n">
        <f aca="false">IF(B1623="","",(B1623-E1623)/Resumen!$B$5)</f>
        <v>2.19090587112993</v>
      </c>
      <c r="G1623" s="10" t="n">
        <f aca="false">IF(OR(F1623="",C1623=""),0,(F1623-C1623)*0.9)</f>
        <v>-0.0999847159830664</v>
      </c>
      <c r="H1623" s="26" t="n">
        <f aca="false">IF(A1623&lt;Resumen!$B$11,"",IF(H1622="",0,H1622)+G1623/Resumen!$B$9)</f>
        <v>1.2982635261062</v>
      </c>
      <c r="I1623" s="26" t="n">
        <f aca="false">IF(H1623="","",H1623-AVERAGE(H1575:H1671))</f>
        <v>0.078998165224544</v>
      </c>
      <c r="J1623" s="27" t="n">
        <f aca="false">IF(I1623="","",Resumen!$B$10-(MAX(I1575:I1671)-I1623))</f>
        <v>1.81502562048156</v>
      </c>
    </row>
    <row r="1624" customFormat="false" ht="15" hidden="false" customHeight="false" outlineLevel="0" collapsed="false">
      <c r="A1624" s="24" t="n">
        <v>46278.2916666667</v>
      </c>
      <c r="B1624" s="10" t="n">
        <v>4.2553</v>
      </c>
      <c r="C1624" s="10" t="n">
        <v>2.5173</v>
      </c>
      <c r="D1624" s="10" t="n">
        <f aca="false">IF(OR(B1624="",C1624="",B1624&lt;=0.05,C1624&lt;=0.05),0,1)</f>
        <v>1</v>
      </c>
      <c r="E1624" s="25" t="n">
        <f aca="false">IF(OR(A1624&lt;Resumen!$B$6,A1624&gt;=Resumen!$B$7),0,MAX(0,AVERAGEIFS(B1576:B1672,D1576:D1672,1)-Resumen!$B$5*AVERAGEIFS(C1576:C1672,D1576:D1672,1)))</f>
        <v>0.845844827835051</v>
      </c>
      <c r="F1624" s="10" t="n">
        <f aca="false">IF(B1624="","",(B1624-E1624)/Resumen!$B$5)</f>
        <v>2.70806606208495</v>
      </c>
      <c r="G1624" s="10" t="n">
        <f aca="false">IF(OR(F1624="",C1624=""),0,(F1624-C1624)*0.9)</f>
        <v>0.171689455876453</v>
      </c>
      <c r="H1624" s="26" t="n">
        <f aca="false">IF(A1624&lt;Resumen!$B$11,"",IF(H1623="",0,H1623)+G1624/Resumen!$B$9)</f>
        <v>1.30637909608982</v>
      </c>
      <c r="I1624" s="26" t="n">
        <f aca="false">IF(H1624="","",H1624-AVERAGE(H1576:H1672))</f>
        <v>0.0871072679190765</v>
      </c>
      <c r="J1624" s="27" t="n">
        <f aca="false">IF(I1624="","",Resumen!$B$10-(MAX(I1576:I1672)-I1624))</f>
        <v>1.82313472317609</v>
      </c>
    </row>
    <row r="1625" customFormat="false" ht="15" hidden="false" customHeight="false" outlineLevel="0" collapsed="false">
      <c r="A1625" s="24" t="n">
        <v>46278.3020833333</v>
      </c>
      <c r="B1625" s="10" t="n">
        <v>4.0945</v>
      </c>
      <c r="C1625" s="10" t="n">
        <v>2.3792</v>
      </c>
      <c r="D1625" s="10" t="n">
        <f aca="false">IF(OR(B1625="",C1625="",B1625&lt;=0.05,C1625&lt;=0.05),0,1)</f>
        <v>1</v>
      </c>
      <c r="E1625" s="25" t="n">
        <f aca="false">IF(OR(A1625&lt;Resumen!$B$6,A1625&gt;=Resumen!$B$7),0,MAX(0,AVERAGEIFS(B1577:B1673,D1577:D1673,1)-Resumen!$B$5*AVERAGEIFS(C1577:C1673,D1577:D1673,1)))</f>
        <v>0.834241558762886</v>
      </c>
      <c r="F1625" s="10" t="n">
        <f aca="false">IF(B1625="","",(B1625-E1625)/Resumen!$B$5)</f>
        <v>2.58956190725744</v>
      </c>
      <c r="G1625" s="10" t="n">
        <f aca="false">IF(OR(F1625="",C1625=""),0,(F1625-C1625)*0.9)</f>
        <v>0.189325716531694</v>
      </c>
      <c r="H1625" s="26" t="n">
        <f aca="false">IF(A1625&lt;Resumen!$B$11,"",IF(H1624="",0,H1624)+G1625/Resumen!$B$9)</f>
        <v>1.31532831253628</v>
      </c>
      <c r="I1625" s="26" t="n">
        <f aca="false">IF(H1625="","",H1625-AVERAGE(H1577:H1673))</f>
        <v>0.0965048327711491</v>
      </c>
      <c r="J1625" s="27" t="n">
        <f aca="false">IF(I1625="","",Resumen!$B$10-(MAX(I1577:I1673)-I1625))</f>
        <v>1.83253228802816</v>
      </c>
    </row>
    <row r="1626" customFormat="false" ht="15" hidden="false" customHeight="false" outlineLevel="0" collapsed="false">
      <c r="A1626" s="24" t="n">
        <v>46278.3125</v>
      </c>
      <c r="B1626" s="10" t="n">
        <v>3.8557</v>
      </c>
      <c r="C1626" s="10" t="n">
        <v>2.8714</v>
      </c>
      <c r="D1626" s="10" t="n">
        <f aca="false">IF(OR(B1626="",C1626="",B1626&lt;=0.05,C1626&lt;=0.05),0,1)</f>
        <v>1</v>
      </c>
      <c r="E1626" s="25" t="n">
        <f aca="false">IF(OR(A1626&lt;Resumen!$B$6,A1626&gt;=Resumen!$B$7),0,MAX(0,AVERAGEIFS(B1578:B1674,D1578:D1674,1)-Resumen!$B$5*AVERAGEIFS(C1578:C1674,D1578:D1674,1)))</f>
        <v>0.863571465979383</v>
      </c>
      <c r="F1626" s="10" t="n">
        <f aca="false">IF(B1626="","",(B1626-E1626)/Resumen!$B$5)</f>
        <v>2.37659136935712</v>
      </c>
      <c r="G1626" s="10" t="n">
        <f aca="false">IF(OR(F1626="",C1626=""),0,(F1626-C1626)*0.9)</f>
        <v>-0.445327767578589</v>
      </c>
      <c r="H1626" s="26" t="n">
        <f aca="false">IF(A1626&lt;Resumen!$B$11,"",IF(H1625="",0,H1625)+G1626/Resumen!$B$9)</f>
        <v>1.29427816332947</v>
      </c>
      <c r="I1626" s="26" t="n">
        <f aca="false">IF(H1626="","",H1626-AVERAGE(H1578:H1674))</f>
        <v>0.0749723714715196</v>
      </c>
      <c r="J1626" s="27" t="n">
        <f aca="false">IF(I1626="","",Resumen!$B$10-(MAX(I1578:I1674)-I1626))</f>
        <v>1.81099982672853</v>
      </c>
    </row>
    <row r="1627" customFormat="false" ht="15" hidden="false" customHeight="false" outlineLevel="0" collapsed="false">
      <c r="A1627" s="24" t="n">
        <v>46278.3229166667</v>
      </c>
      <c r="B1627" s="10" t="n">
        <v>5.7516</v>
      </c>
      <c r="C1627" s="10" t="n">
        <v>3.7318</v>
      </c>
      <c r="D1627" s="10" t="n">
        <f aca="false">IF(OR(B1627="",C1627="",B1627&lt;=0.05,C1627&lt;=0.05),0,1)</f>
        <v>1</v>
      </c>
      <c r="E1627" s="25" t="n">
        <f aca="false">IF(OR(A1627&lt;Resumen!$B$6,A1627&gt;=Resumen!$B$7),0,MAX(0,AVERAGEIFS(B1579:B1675,D1579:D1675,1)-Resumen!$B$5*AVERAGEIFS(C1579:C1675,D1579:D1675,1)))</f>
        <v>0.85731604742268</v>
      </c>
      <c r="F1627" s="10" t="n">
        <f aca="false">IF(B1627="","",(B1627-E1627)/Resumen!$B$5)</f>
        <v>3.88743761126078</v>
      </c>
      <c r="G1627" s="10" t="n">
        <f aca="false">IF(OR(F1627="",C1627=""),0,(F1627-C1627)*0.9)</f>
        <v>0.140073850134701</v>
      </c>
      <c r="H1627" s="26" t="n">
        <f aca="false">IF(A1627&lt;Resumen!$B$11,"",IF(H1626="",0,H1626)+G1627/Resumen!$B$9)</f>
        <v>1.30089929872675</v>
      </c>
      <c r="I1627" s="26" t="n">
        <f aca="false">IF(H1627="","",H1627-AVERAGE(H1579:H1675))</f>
        <v>0.0813898339957875</v>
      </c>
      <c r="J1627" s="27" t="n">
        <f aca="false">IF(I1627="","",Resumen!$B$10-(MAX(I1579:I1675)-I1627))</f>
        <v>1.8174172892528</v>
      </c>
    </row>
    <row r="1628" customFormat="false" ht="15" hidden="false" customHeight="false" outlineLevel="0" collapsed="false">
      <c r="A1628" s="24" t="n">
        <v>46278.3333333333</v>
      </c>
      <c r="B1628" s="10" t="n">
        <v>4.4315</v>
      </c>
      <c r="C1628" s="10" t="n">
        <v>3.1238</v>
      </c>
      <c r="D1628" s="10" t="n">
        <f aca="false">IF(OR(B1628="",C1628="",B1628&lt;=0.05,C1628&lt;=0.05),0,1)</f>
        <v>1</v>
      </c>
      <c r="E1628" s="25" t="n">
        <f aca="false">IF(OR(A1628&lt;Resumen!$B$6,A1628&gt;=Resumen!$B$7),0,MAX(0,AVERAGEIFS(B1580:B1676,D1580:D1676,1)-Resumen!$B$5*AVERAGEIFS(C1580:C1676,D1580:D1676,1)))</f>
        <v>0.861017369072166</v>
      </c>
      <c r="F1628" s="10" t="n">
        <f aca="false">IF(B1628="","",(B1628-E1628)/Resumen!$B$5)</f>
        <v>2.83596714132473</v>
      </c>
      <c r="G1628" s="10" t="n">
        <f aca="false">IF(OR(F1628="",C1628=""),0,(F1628-C1628)*0.9)</f>
        <v>-0.259049572807744</v>
      </c>
      <c r="H1628" s="26" t="n">
        <f aca="false">IF(A1628&lt;Resumen!$B$11,"",IF(H1627="",0,H1627)+G1628/Resumen!$B$9)</f>
        <v>1.28865431299587</v>
      </c>
      <c r="I1628" s="26" t="n">
        <f aca="false">IF(H1628="","",H1628-AVERAGE(H1580:H1676))</f>
        <v>0.0688890844327692</v>
      </c>
      <c r="J1628" s="27" t="n">
        <f aca="false">IF(I1628="","",Resumen!$B$10-(MAX(I1580:I1676)-I1628))</f>
        <v>1.80491653968978</v>
      </c>
    </row>
    <row r="1629" customFormat="false" ht="15" hidden="false" customHeight="false" outlineLevel="0" collapsed="false">
      <c r="A1629" s="24" t="n">
        <v>46278.34375</v>
      </c>
      <c r="B1629" s="10" t="n">
        <v>5.4294</v>
      </c>
      <c r="C1629" s="10" t="n">
        <v>4.152</v>
      </c>
      <c r="D1629" s="10" t="n">
        <f aca="false">IF(OR(B1629="",C1629="",B1629&lt;=0.05,C1629&lt;=0.05),0,1)</f>
        <v>1</v>
      </c>
      <c r="E1629" s="25" t="n">
        <f aca="false">IF(OR(A1629&lt;Resumen!$B$6,A1629&gt;=Resumen!$B$7),0,MAX(0,AVERAGEIFS(B1581:B1677,D1581:D1677,1)-Resumen!$B$5*AVERAGEIFS(C1581:C1677,D1581:D1677,1)))</f>
        <v>0.874252722680413</v>
      </c>
      <c r="F1629" s="10" t="n">
        <f aca="false">IF(B1629="","",(B1629-E1629)/Resumen!$B$5)</f>
        <v>3.61806773416965</v>
      </c>
      <c r="G1629" s="10" t="n">
        <f aca="false">IF(OR(F1629="",C1629=""),0,(F1629-C1629)*0.9)</f>
        <v>-0.480539039247316</v>
      </c>
      <c r="H1629" s="26" t="n">
        <f aca="false">IF(A1629&lt;Resumen!$B$11,"",IF(H1628="",0,H1628)+G1629/Resumen!$B$9)</f>
        <v>1.26593976606596</v>
      </c>
      <c r="I1629" s="26" t="n">
        <f aca="false">IF(H1629="","",H1629-AVERAGE(H1581:H1677))</f>
        <v>0.0455425480748426</v>
      </c>
      <c r="J1629" s="27" t="n">
        <f aca="false">IF(I1629="","",Resumen!$B$10-(MAX(I1581:I1677)-I1629))</f>
        <v>1.78157000333186</v>
      </c>
    </row>
    <row r="1630" customFormat="false" ht="15" hidden="false" customHeight="false" outlineLevel="0" collapsed="false">
      <c r="A1630" s="24" t="n">
        <v>46278.3541666667</v>
      </c>
      <c r="B1630" s="10" t="n">
        <v>3.9774</v>
      </c>
      <c r="C1630" s="10" t="n">
        <v>3.3111</v>
      </c>
      <c r="D1630" s="10" t="n">
        <f aca="false">IF(OR(B1630="",C1630="",B1630&lt;=0.05,C1630&lt;=0.05),0,1)</f>
        <v>1</v>
      </c>
      <c r="E1630" s="25" t="n">
        <f aca="false">IF(OR(A1630&lt;Resumen!$B$6,A1630&gt;=Resumen!$B$7),0,MAX(0,AVERAGEIFS(B1582:B1678,D1582:D1678,1)-Resumen!$B$5*AVERAGEIFS(C1582:C1678,D1582:D1678,1)))</f>
        <v>0.882002529896908</v>
      </c>
      <c r="F1630" s="10" t="n">
        <f aca="false">IF(B1630="","",(B1630-E1630)/Resumen!$B$5)</f>
        <v>2.45861594130508</v>
      </c>
      <c r="G1630" s="10" t="n">
        <f aca="false">IF(OR(F1630="",C1630=""),0,(F1630-C1630)*0.9)</f>
        <v>-0.767235652825431</v>
      </c>
      <c r="H1630" s="26" t="n">
        <f aca="false">IF(A1630&lt;Resumen!$B$11,"",IF(H1629="",0,H1629)+G1630/Resumen!$B$9)</f>
        <v>1.22967338847945</v>
      </c>
      <c r="I1630" s="26" t="n">
        <f aca="false">IF(H1630="","",H1630-AVERAGE(H1582:H1678))</f>
        <v>0.00846510420888125</v>
      </c>
      <c r="J1630" s="27" t="n">
        <f aca="false">IF(I1630="","",Resumen!$B$10-(MAX(I1582:I1678)-I1630))</f>
        <v>1.74449255946589</v>
      </c>
    </row>
    <row r="1631" customFormat="false" ht="15" hidden="false" customHeight="false" outlineLevel="0" collapsed="false">
      <c r="A1631" s="24" t="n">
        <v>46278.3645833333</v>
      </c>
      <c r="B1631" s="10" t="n">
        <v>8.3681</v>
      </c>
      <c r="C1631" s="10" t="n">
        <v>4.818</v>
      </c>
      <c r="D1631" s="10" t="n">
        <f aca="false">IF(OR(B1631="",C1631="",B1631&lt;=0.05,C1631&lt;=0.05),0,1)</f>
        <v>1</v>
      </c>
      <c r="E1631" s="25" t="n">
        <f aca="false">IF(OR(A1631&lt;Resumen!$B$6,A1631&gt;=Resumen!$B$7),0,MAX(0,AVERAGEIFS(B1583:B1679,D1583:D1679,1)-Resumen!$B$5*AVERAGEIFS(C1583:C1679,D1583:D1679,1)))</f>
        <v>0.871345545360825</v>
      </c>
      <c r="F1631" s="10" t="n">
        <f aca="false">IF(B1631="","",(B1631-E1631)/Resumen!$B$5)</f>
        <v>5.9545309409366</v>
      </c>
      <c r="G1631" s="10" t="n">
        <f aca="false">IF(OR(F1631="",C1631=""),0,(F1631-C1631)*0.9)</f>
        <v>1.02287784684294</v>
      </c>
      <c r="H1631" s="26" t="n">
        <f aca="false">IF(A1631&lt;Resumen!$B$11,"",IF(H1630="",0,H1630)+G1631/Resumen!$B$9)</f>
        <v>1.27802368878402</v>
      </c>
      <c r="I1631" s="26" t="n">
        <f aca="false">IF(H1631="","",H1631-AVERAGE(H1583:H1679))</f>
        <v>0.056452528591536</v>
      </c>
      <c r="J1631" s="27" t="n">
        <f aca="false">IF(I1631="","",Resumen!$B$10-(MAX(I1583:I1679)-I1631))</f>
        <v>1.79247998384855</v>
      </c>
    </row>
    <row r="1632" customFormat="false" ht="15" hidden="false" customHeight="false" outlineLevel="0" collapsed="false">
      <c r="A1632" s="24" t="n">
        <v>46278.375</v>
      </c>
      <c r="B1632" s="10" t="n">
        <v>4.5349</v>
      </c>
      <c r="C1632" s="10" t="n">
        <v>3.137</v>
      </c>
      <c r="D1632" s="10" t="n">
        <f aca="false">IF(OR(B1632="",C1632="",B1632&lt;=0.05,C1632&lt;=0.05),0,1)</f>
        <v>1</v>
      </c>
      <c r="E1632" s="25" t="n">
        <f aca="false">IF(OR(A1632&lt;Resumen!$B$6,A1632&gt;=Resumen!$B$7),0,MAX(0,AVERAGEIFS(B1584:B1680,D1584:D1680,1)-Resumen!$B$5*AVERAGEIFS(C1584:C1680,D1584:D1680,1)))</f>
        <v>0.885951060824743</v>
      </c>
      <c r="F1632" s="10" t="n">
        <f aca="false">IF(B1632="","",(B1632-E1632)/Resumen!$B$5)</f>
        <v>2.89829145287947</v>
      </c>
      <c r="G1632" s="10" t="n">
        <f aca="false">IF(OR(F1632="",C1632=""),0,(F1632-C1632)*0.9)</f>
        <v>-0.214837692408474</v>
      </c>
      <c r="H1632" s="26" t="n">
        <f aca="false">IF(A1632&lt;Resumen!$B$11,"",IF(H1631="",0,H1631)+G1632/Resumen!$B$9)</f>
        <v>1.26786854955919</v>
      </c>
      <c r="I1632" s="26" t="n">
        <f aca="false">IF(H1632="","",H1632-AVERAGE(H1584:H1680))</f>
        <v>0.0455224052175469</v>
      </c>
      <c r="J1632" s="27" t="n">
        <f aca="false">IF(I1632="","",Resumen!$B$10-(MAX(I1584:I1680)-I1632))</f>
        <v>1.78154986047456</v>
      </c>
    </row>
    <row r="1633" customFormat="false" ht="15" hidden="false" customHeight="false" outlineLevel="0" collapsed="false">
      <c r="A1633" s="24" t="n">
        <v>46278.3854166667</v>
      </c>
      <c r="B1633" s="10" t="n">
        <v>6.0202</v>
      </c>
      <c r="C1633" s="10" t="n">
        <v>4.1424</v>
      </c>
      <c r="D1633" s="10" t="n">
        <f aca="false">IF(OR(B1633="",C1633="",B1633&lt;=0.05,C1633&lt;=0.05),0,1)</f>
        <v>1</v>
      </c>
      <c r="E1633" s="25" t="n">
        <f aca="false">IF(OR(A1633&lt;Resumen!$B$6,A1633&gt;=Resumen!$B$7),0,MAX(0,AVERAGEIFS(B1585:B1681,D1585:D1681,1)-Resumen!$B$5*AVERAGEIFS(C1585:C1681,D1585:D1681,1)))</f>
        <v>0.884982041237114</v>
      </c>
      <c r="F1633" s="10" t="n">
        <f aca="false">IF(B1633="","",(B1633-E1633)/Resumen!$B$5)</f>
        <v>4.07880695692048</v>
      </c>
      <c r="G1633" s="10" t="n">
        <f aca="false">IF(OR(F1633="",C1633=""),0,(F1633-C1633)*0.9)</f>
        <v>-0.057233738771566</v>
      </c>
      <c r="H1633" s="26" t="n">
        <f aca="false">IF(A1633&lt;Resumen!$B$11,"",IF(H1632="",0,H1632)+G1633/Resumen!$B$9)</f>
        <v>1.26516317426369</v>
      </c>
      <c r="I1633" s="26" t="n">
        <f aca="false">IF(H1633="","",H1633-AVERAGE(H1585:H1681))</f>
        <v>0.0421622837912035</v>
      </c>
      <c r="J1633" s="27" t="n">
        <f aca="false">IF(I1633="","",Resumen!$B$10-(MAX(I1585:I1681)-I1633))</f>
        <v>1.77818973904822</v>
      </c>
    </row>
    <row r="1634" customFormat="false" ht="15" hidden="false" customHeight="false" outlineLevel="0" collapsed="false">
      <c r="A1634" s="24" t="n">
        <v>46278.3958333333</v>
      </c>
      <c r="B1634" s="10" t="n">
        <v>4.0629</v>
      </c>
      <c r="C1634" s="10" t="n">
        <v>2.8174</v>
      </c>
      <c r="D1634" s="10" t="n">
        <f aca="false">IF(OR(B1634="",C1634="",B1634&lt;=0.05,C1634&lt;=0.05),0,1)</f>
        <v>1</v>
      </c>
      <c r="E1634" s="25" t="n">
        <f aca="false">IF(OR(A1634&lt;Resumen!$B$6,A1634&gt;=Resumen!$B$7),0,MAX(0,AVERAGEIFS(B1586:B1682,D1586:D1682,1)-Resumen!$B$5*AVERAGEIFS(C1586:C1682,D1586:D1682,1)))</f>
        <v>0.893422208247423</v>
      </c>
      <c r="F1634" s="10" t="n">
        <f aca="false">IF(B1634="","",(B1634-E1634)/Resumen!$B$5)</f>
        <v>2.51745654626893</v>
      </c>
      <c r="G1634" s="10" t="n">
        <f aca="false">IF(OR(F1634="",C1634=""),0,(F1634-C1634)*0.9)</f>
        <v>-0.269949108357967</v>
      </c>
      <c r="H1634" s="26" t="n">
        <f aca="false">IF(A1634&lt;Resumen!$B$11,"",IF(H1633="",0,H1633)+G1634/Resumen!$B$9)</f>
        <v>1.25240297958713</v>
      </c>
      <c r="I1634" s="26" t="n">
        <f aca="false">IF(H1634="","",H1634-AVERAGE(H1586:H1682))</f>
        <v>0.0285542408116413</v>
      </c>
      <c r="J1634" s="27" t="n">
        <f aca="false">IF(I1634="","",Resumen!$B$10-(MAX(I1586:I1682)-I1634))</f>
        <v>1.76458169606865</v>
      </c>
    </row>
    <row r="1635" customFormat="false" ht="15" hidden="false" customHeight="false" outlineLevel="0" collapsed="false">
      <c r="A1635" s="24" t="n">
        <v>46278.40625</v>
      </c>
      <c r="B1635" s="10" t="n">
        <v>5.7404</v>
      </c>
      <c r="C1635" s="10" t="n">
        <v>3.7523</v>
      </c>
      <c r="D1635" s="10" t="n">
        <f aca="false">IF(OR(B1635="",C1635="",B1635&lt;=0.05,C1635&lt;=0.05),0,1)</f>
        <v>1</v>
      </c>
      <c r="E1635" s="25" t="n">
        <f aca="false">IF(OR(A1635&lt;Resumen!$B$6,A1635&gt;=Resumen!$B$7),0,MAX(0,AVERAGEIFS(B1587:B1683,D1587:D1683,1)-Resumen!$B$5*AVERAGEIFS(C1587:C1683,D1587:D1683,1)))</f>
        <v>0.897280491752578</v>
      </c>
      <c r="F1635" s="10" t="n">
        <f aca="false">IF(B1635="","",(B1635-E1635)/Resumen!$B$5)</f>
        <v>3.84679865627277</v>
      </c>
      <c r="G1635" s="10" t="n">
        <f aca="false">IF(OR(F1635="",C1635=""),0,(F1635-C1635)*0.9)</f>
        <v>0.0850487906454971</v>
      </c>
      <c r="H1635" s="26" t="n">
        <f aca="false">IF(A1635&lt;Resumen!$B$11,"",IF(H1634="",0,H1634)+G1635/Resumen!$B$9)</f>
        <v>1.2564231415067</v>
      </c>
      <c r="I1635" s="26" t="n">
        <f aca="false">IF(H1635="","",H1635-AVERAGE(H1587:H1683))</f>
        <v>0.0316924231900566</v>
      </c>
      <c r="J1635" s="27" t="n">
        <f aca="false">IF(I1635="","",Resumen!$B$10-(MAX(I1587:I1683)-I1635))</f>
        <v>1.76771987844707</v>
      </c>
    </row>
    <row r="1636" customFormat="false" ht="15" hidden="false" customHeight="false" outlineLevel="0" collapsed="false">
      <c r="A1636" s="24" t="n">
        <v>46278.4166666667</v>
      </c>
      <c r="B1636" s="10" t="n">
        <v>5.5379</v>
      </c>
      <c r="C1636" s="10" t="n">
        <v>3.6766</v>
      </c>
      <c r="D1636" s="10" t="n">
        <f aca="false">IF(OR(B1636="",C1636="",B1636&lt;=0.05,C1636&lt;=0.05),0,1)</f>
        <v>1</v>
      </c>
      <c r="E1636" s="25" t="n">
        <f aca="false">IF(OR(A1636&lt;Resumen!$B$6,A1636&gt;=Resumen!$B$7),0,MAX(0,AVERAGEIFS(B1588:B1684,D1588:D1684,1)-Resumen!$B$5*AVERAGEIFS(C1588:C1684,D1588:D1684,1)))</f>
        <v>0.8973559</v>
      </c>
      <c r="F1636" s="10" t="n">
        <f aca="false">IF(B1636="","",(B1636-E1636)/Resumen!$B$5)</f>
        <v>3.6858968228753</v>
      </c>
      <c r="G1636" s="10" t="n">
        <f aca="false">IF(OR(F1636="",C1636=""),0,(F1636-C1636)*0.9)</f>
        <v>0.00836714058776789</v>
      </c>
      <c r="H1636" s="26" t="n">
        <f aca="false">IF(A1636&lt;Resumen!$B$11,"",IF(H1635="",0,H1635)+G1636/Resumen!$B$9)</f>
        <v>1.25681864695377</v>
      </c>
      <c r="I1636" s="26" t="n">
        <f aca="false">IF(H1636="","",H1636-AVERAGE(H1588:H1684))</f>
        <v>0.0312982522627348</v>
      </c>
      <c r="J1636" s="27" t="n">
        <f aca="false">IF(I1636="","",Resumen!$B$10-(MAX(I1588:I1684)-I1636))</f>
        <v>1.76732570751975</v>
      </c>
    </row>
    <row r="1637" customFormat="false" ht="15" hidden="false" customHeight="false" outlineLevel="0" collapsed="false">
      <c r="A1637" s="24" t="n">
        <v>46278.4270833333</v>
      </c>
      <c r="B1637" s="10" t="n">
        <v>6.5502</v>
      </c>
      <c r="C1637" s="10" t="n">
        <v>4.1876</v>
      </c>
      <c r="D1637" s="10" t="n">
        <f aca="false">IF(OR(B1637="",C1637="",B1637&lt;=0.05,C1637&lt;=0.05),0,1)</f>
        <v>1</v>
      </c>
      <c r="E1637" s="25" t="n">
        <f aca="false">IF(OR(A1637&lt;Resumen!$B$6,A1637&gt;=Resumen!$B$7),0,MAX(0,AVERAGEIFS(B1589:B1685,D1589:D1685,1)-Resumen!$B$5*AVERAGEIFS(C1589:C1685,D1589:D1685,1)))</f>
        <v>0.907949510309279</v>
      </c>
      <c r="F1637" s="10" t="n">
        <f aca="false">IF(B1637="","",(B1637-E1637)/Resumen!$B$5)</f>
        <v>4.48153335162091</v>
      </c>
      <c r="G1637" s="10" t="n">
        <f aca="false">IF(OR(F1637="",C1637=""),0,(F1637-C1637)*0.9)</f>
        <v>0.264540016458816</v>
      </c>
      <c r="H1637" s="26" t="n">
        <f aca="false">IF(A1637&lt;Resumen!$B$11,"",IF(H1636="",0,H1636)+G1637/Resumen!$B$9)</f>
        <v>1.26932315986099</v>
      </c>
      <c r="I1637" s="26" t="n">
        <f aca="false">IF(H1637="","",H1637-AVERAGE(H1589:H1685))</f>
        <v>0.0427448795661578</v>
      </c>
      <c r="J1637" s="27" t="n">
        <f aca="false">IF(I1637="","",Resumen!$B$10-(MAX(I1589:I1685)-I1637))</f>
        <v>1.77877233482317</v>
      </c>
    </row>
    <row r="1638" customFormat="false" ht="15" hidden="false" customHeight="false" outlineLevel="0" collapsed="false">
      <c r="A1638" s="24" t="n">
        <v>46278.4375</v>
      </c>
      <c r="B1638" s="10" t="n">
        <v>5.8587</v>
      </c>
      <c r="C1638" s="10" t="n">
        <v>3.7225</v>
      </c>
      <c r="D1638" s="10" t="n">
        <f aca="false">IF(OR(B1638="",C1638="",B1638&lt;=0.05,C1638&lt;=0.05),0,1)</f>
        <v>1</v>
      </c>
      <c r="E1638" s="25" t="n">
        <f aca="false">IF(OR(A1638&lt;Resumen!$B$6,A1638&gt;=Resumen!$B$7),0,MAX(0,AVERAGEIFS(B1590:B1686,D1590:D1686,1)-Resumen!$B$5*AVERAGEIFS(C1590:C1686,D1590:D1686,1)))</f>
        <v>0.903906577319587</v>
      </c>
      <c r="F1638" s="10" t="n">
        <f aca="false">IF(B1638="","",(B1638-E1638)/Resumen!$B$5)</f>
        <v>3.93549914430533</v>
      </c>
      <c r="G1638" s="10" t="n">
        <f aca="false">IF(OR(F1638="",C1638=""),0,(F1638-C1638)*0.9)</f>
        <v>0.191699229874798</v>
      </c>
      <c r="H1638" s="26" t="n">
        <f aca="false">IF(A1638&lt;Resumen!$B$11,"",IF(H1637="",0,H1637)+G1638/Resumen!$B$9)</f>
        <v>1.2783845696483</v>
      </c>
      <c r="I1638" s="26" t="n">
        <f aca="false">IF(H1638="","",H1638-AVERAGE(H1590:H1686))</f>
        <v>0.0509778520859143</v>
      </c>
      <c r="J1638" s="27" t="n">
        <f aca="false">IF(I1638="","",Resumen!$B$10-(MAX(I1590:I1686)-I1638))</f>
        <v>1.78700530734293</v>
      </c>
    </row>
    <row r="1639" customFormat="false" ht="15" hidden="false" customHeight="false" outlineLevel="0" collapsed="false">
      <c r="A1639" s="24" t="n">
        <v>46278.4479166667</v>
      </c>
      <c r="B1639" s="10" t="n">
        <v>6.0929</v>
      </c>
      <c r="C1639" s="10" t="n">
        <v>3.9246</v>
      </c>
      <c r="D1639" s="10" t="n">
        <f aca="false">IF(OR(B1639="",C1639="",B1639&lt;=0.05,C1639&lt;=0.05),0,1)</f>
        <v>1</v>
      </c>
      <c r="E1639" s="25" t="n">
        <f aca="false">IF(OR(A1639&lt;Resumen!$B$6,A1639&gt;=Resumen!$B$7),0,MAX(0,AVERAGEIFS(B1591:B1687,D1591:D1687,1)-Resumen!$B$5*AVERAGEIFS(C1591:C1687,D1591:D1687,1)))</f>
        <v>0.897044716494846</v>
      </c>
      <c r="F1639" s="10" t="n">
        <f aca="false">IF(B1639="","",(B1639-E1639)/Resumen!$B$5)</f>
        <v>4.12697004249814</v>
      </c>
      <c r="G1639" s="10" t="n">
        <f aca="false">IF(OR(F1639="",C1639=""),0,(F1639-C1639)*0.9)</f>
        <v>0.182133038248324</v>
      </c>
      <c r="H1639" s="26" t="n">
        <f aca="false">IF(A1639&lt;Resumen!$B$11,"",IF(H1638="",0,H1638)+G1639/Resumen!$B$9)</f>
        <v>1.28699379617703</v>
      </c>
      <c r="I1639" s="26" t="n">
        <f aca="false">IF(H1639="","",H1639-AVERAGE(H1591:H1687))</f>
        <v>0.0590832271227455</v>
      </c>
      <c r="J1639" s="27" t="n">
        <f aca="false">IF(I1639="","",Resumen!$B$10-(MAX(I1591:I1687)-I1639))</f>
        <v>1.79511068237976</v>
      </c>
    </row>
    <row r="1640" customFormat="false" ht="15" hidden="false" customHeight="false" outlineLevel="0" collapsed="false">
      <c r="A1640" s="24" t="n">
        <v>46278.4583333333</v>
      </c>
      <c r="B1640" s="10" t="n">
        <v>5.4367</v>
      </c>
      <c r="C1640" s="10" t="n">
        <v>3.8796</v>
      </c>
      <c r="D1640" s="10" t="n">
        <f aca="false">IF(OR(B1640="",C1640="",B1640&lt;=0.05,C1640&lt;=0.05),0,1)</f>
        <v>1</v>
      </c>
      <c r="E1640" s="25" t="n">
        <f aca="false">IF(OR(A1640&lt;Resumen!$B$6,A1640&gt;=Resumen!$B$7),0,MAX(0,AVERAGEIFS(B1592:B1688,D1592:D1688,1)-Resumen!$B$5*AVERAGEIFS(C1592:C1688,D1592:D1688,1)))</f>
        <v>0.902157055670104</v>
      </c>
      <c r="F1640" s="10" t="n">
        <f aca="false">IF(B1640="","",(B1640-E1640)/Resumen!$B$5)</f>
        <v>3.60170210034146</v>
      </c>
      <c r="G1640" s="10" t="n">
        <f aca="false">IF(OR(F1640="",C1640=""),0,(F1640-C1640)*0.9)</f>
        <v>-0.250108109692687</v>
      </c>
      <c r="H1640" s="26" t="n">
        <f aca="false">IF(A1640&lt;Resumen!$B$11,"",IF(H1639="",0,H1639)+G1640/Resumen!$B$9)</f>
        <v>1.27517146348151</v>
      </c>
      <c r="I1640" s="26" t="n">
        <f aca="false">IF(H1640="","",H1640-AVERAGE(H1592:H1688))</f>
        <v>0.0466873957479683</v>
      </c>
      <c r="J1640" s="27" t="n">
        <f aca="false">IF(I1640="","",Resumen!$B$10-(MAX(I1592:I1688)-I1640))</f>
        <v>1.78271485100498</v>
      </c>
    </row>
    <row r="1641" customFormat="false" ht="15" hidden="false" customHeight="false" outlineLevel="0" collapsed="false">
      <c r="A1641" s="24" t="n">
        <v>46278.46875</v>
      </c>
      <c r="B1641" s="10" t="n">
        <v>5.2028</v>
      </c>
      <c r="C1641" s="10" t="n">
        <v>3.7265</v>
      </c>
      <c r="D1641" s="10" t="n">
        <f aca="false">IF(OR(B1641="",C1641="",B1641&lt;=0.05,C1641&lt;=0.05),0,1)</f>
        <v>1</v>
      </c>
      <c r="E1641" s="25" t="n">
        <f aca="false">IF(OR(A1641&lt;Resumen!$B$6,A1641&gt;=Resumen!$B$7),0,MAX(0,AVERAGEIFS(B1593:B1689,D1593:D1689,1)-Resumen!$B$5*AVERAGEIFS(C1593:C1689,D1593:D1689,1)))</f>
        <v>0.89270623814433</v>
      </c>
      <c r="F1641" s="10" t="n">
        <f aca="false">IF(B1641="","",(B1641-E1641)/Resumen!$B$5)</f>
        <v>3.42342633983771</v>
      </c>
      <c r="G1641" s="10" t="n">
        <f aca="false">IF(OR(F1641="",C1641=""),0,(F1641-C1641)*0.9)</f>
        <v>-0.272766294146066</v>
      </c>
      <c r="H1641" s="26" t="n">
        <f aca="false">IF(A1641&lt;Resumen!$B$11,"",IF(H1640="",0,H1640)+G1641/Resumen!$B$9)</f>
        <v>1.26227810356015</v>
      </c>
      <c r="I1641" s="26" t="n">
        <f aca="false">IF(H1641="","",H1641-AVERAGE(H1593:H1689))</f>
        <v>0.0336459154109396</v>
      </c>
      <c r="J1641" s="27" t="n">
        <f aca="false">IF(I1641="","",Resumen!$B$10-(MAX(I1593:I1689)-I1641))</f>
        <v>1.76967337066795</v>
      </c>
    </row>
    <row r="1642" customFormat="false" ht="15" hidden="false" customHeight="false" outlineLevel="0" collapsed="false">
      <c r="A1642" s="24" t="n">
        <v>46278.4791666667</v>
      </c>
      <c r="B1642" s="10" t="n">
        <v>5.0895</v>
      </c>
      <c r="C1642" s="10" t="n">
        <v>3.3548</v>
      </c>
      <c r="D1642" s="10" t="n">
        <f aca="false">IF(OR(B1642="",C1642="",B1642&lt;=0.05,C1642&lt;=0.05),0,1)</f>
        <v>1</v>
      </c>
      <c r="E1642" s="25" t="n">
        <f aca="false">IF(OR(A1642&lt;Resumen!$B$6,A1642&gt;=Resumen!$B$7),0,MAX(0,AVERAGEIFS(B1594:B1690,D1594:D1690,1)-Resumen!$B$5*AVERAGEIFS(C1594:C1690,D1594:D1690,1)))</f>
        <v>0.893693830927835</v>
      </c>
      <c r="F1642" s="10" t="n">
        <f aca="false">IF(B1642="","",(B1642-E1642)/Resumen!$B$5)</f>
        <v>3.33264985629243</v>
      </c>
      <c r="G1642" s="10" t="n">
        <f aca="false">IF(OR(F1642="",C1642=""),0,(F1642-C1642)*0.9)</f>
        <v>-0.0199351293368156</v>
      </c>
      <c r="H1642" s="26" t="n">
        <f aca="false">IF(A1642&lt;Resumen!$B$11,"",IF(H1641="",0,H1641)+G1642/Resumen!$B$9)</f>
        <v>1.26133579212676</v>
      </c>
      <c r="I1642" s="26" t="n">
        <f aca="false">IF(H1642="","",H1642-AVERAGE(H1594:H1690))</f>
        <v>0.0326269507372314</v>
      </c>
      <c r="J1642" s="27" t="n">
        <f aca="false">IF(I1642="","",Resumen!$B$10-(MAX(I1594:I1690)-I1642))</f>
        <v>1.76865440599424</v>
      </c>
    </row>
    <row r="1643" customFormat="false" ht="15" hidden="false" customHeight="false" outlineLevel="0" collapsed="false">
      <c r="A1643" s="24" t="n">
        <v>46278.4895833333</v>
      </c>
      <c r="B1643" s="10" t="n">
        <v>5.3648</v>
      </c>
      <c r="C1643" s="10" t="n">
        <v>3.8057</v>
      </c>
      <c r="D1643" s="10" t="n">
        <f aca="false">IF(OR(B1643="",C1643="",B1643&lt;=0.05,C1643&lt;=0.05),0,1)</f>
        <v>1</v>
      </c>
      <c r="E1643" s="25" t="n">
        <f aca="false">IF(OR(A1643&lt;Resumen!$B$6,A1643&gt;=Resumen!$B$7),0,MAX(0,AVERAGEIFS(B1595:B1691,D1595:D1691,1)-Resumen!$B$5*AVERAGEIFS(C1595:C1691,D1595:D1691,1)))</f>
        <v>0.889963497938145</v>
      </c>
      <c r="F1643" s="10" t="n">
        <f aca="false">IF(B1643="","",(B1643-E1643)/Resumen!$B$5)</f>
        <v>3.55427839718972</v>
      </c>
      <c r="G1643" s="10" t="n">
        <f aca="false">IF(OR(F1643="",C1643=""),0,(F1643-C1643)*0.9)</f>
        <v>-0.226279442529253</v>
      </c>
      <c r="H1643" s="26" t="n">
        <f aca="false">IF(A1643&lt;Resumen!$B$11,"",IF(H1642="",0,H1642)+G1643/Resumen!$B$9)</f>
        <v>1.25063981407541</v>
      </c>
      <c r="I1643" s="26" t="n">
        <f aca="false">IF(H1643="","",H1643-AVERAGE(H1595:H1691))</f>
        <v>0.0220888966424271</v>
      </c>
      <c r="J1643" s="27" t="n">
        <f aca="false">IF(I1643="","",Resumen!$B$10-(MAX(I1595:I1691)-I1643))</f>
        <v>1.75811635189944</v>
      </c>
    </row>
    <row r="1644" customFormat="false" ht="15" hidden="false" customHeight="false" outlineLevel="0" collapsed="false">
      <c r="A1644" s="24" t="n">
        <v>46278.5</v>
      </c>
      <c r="B1644" s="10" t="n">
        <v>5.2454</v>
      </c>
      <c r="C1644" s="10" t="n">
        <v>3.2707</v>
      </c>
      <c r="D1644" s="10" t="n">
        <f aca="false">IF(OR(B1644="",C1644="",B1644&lt;=0.05,C1644&lt;=0.05),0,1)</f>
        <v>1</v>
      </c>
      <c r="E1644" s="25" t="n">
        <f aca="false">IF(OR(A1644&lt;Resumen!$B$6,A1644&gt;=Resumen!$B$7),0,MAX(0,AVERAGEIFS(B1596:B1692,D1596:D1692,1)-Resumen!$B$5*AVERAGEIFS(C1596:C1692,D1596:D1692,1)))</f>
        <v>0.891975307216495</v>
      </c>
      <c r="F1644" s="10" t="n">
        <f aca="false">IF(B1644="","",(B1644-E1644)/Resumen!$B$5)</f>
        <v>3.45784328259214</v>
      </c>
      <c r="G1644" s="10" t="n">
        <f aca="false">IF(OR(F1644="",C1644=""),0,(F1644-C1644)*0.9)</f>
        <v>0.168428954332927</v>
      </c>
      <c r="H1644" s="26" t="n">
        <f aca="false">IF(A1644&lt;Resumen!$B$11,"",IF(H1643="",0,H1643)+G1644/Resumen!$B$9)</f>
        <v>1.25860126377062</v>
      </c>
      <c r="I1644" s="26" t="n">
        <f aca="false">IF(H1644="","",H1644-AVERAGE(H1596:H1692))</f>
        <v>0.0302517076007518</v>
      </c>
      <c r="J1644" s="27" t="n">
        <f aca="false">IF(I1644="","",Resumen!$B$10-(MAX(I1596:I1692)-I1644))</f>
        <v>1.76627916285776</v>
      </c>
    </row>
    <row r="1645" customFormat="false" ht="15" hidden="false" customHeight="false" outlineLevel="0" collapsed="false">
      <c r="A1645" s="24" t="n">
        <v>46278.5104166667</v>
      </c>
      <c r="B1645" s="10" t="n">
        <v>5.573</v>
      </c>
      <c r="C1645" s="10" t="n">
        <v>4.4545</v>
      </c>
      <c r="D1645" s="10" t="n">
        <f aca="false">IF(OR(B1645="",C1645="",B1645&lt;=0.05,C1645&lt;=0.05),0,1)</f>
        <v>1</v>
      </c>
      <c r="E1645" s="25" t="n">
        <f aca="false">IF(OR(A1645&lt;Resumen!$B$6,A1645&gt;=Resumen!$B$7),0,MAX(0,AVERAGEIFS(B1597:B1693,D1597:D1693,1)-Resumen!$B$5*AVERAGEIFS(C1597:C1693,D1597:D1693,1)))</f>
        <v>0.900870356701031</v>
      </c>
      <c r="F1645" s="10" t="n">
        <f aca="false">IF(B1645="","",(B1645-E1645)/Resumen!$B$5)</f>
        <v>3.71098462533675</v>
      </c>
      <c r="G1645" s="10" t="n">
        <f aca="false">IF(OR(F1645="",C1645=""),0,(F1645-C1645)*0.9)</f>
        <v>-0.669163837196924</v>
      </c>
      <c r="H1645" s="26" t="n">
        <f aca="false">IF(A1645&lt;Resumen!$B$11,"",IF(H1644="",0,H1644)+G1645/Resumen!$B$9)</f>
        <v>1.22697063203753</v>
      </c>
      <c r="I1645" s="26" t="n">
        <f aca="false">IF(H1645="","",H1645-AVERAGE(H1597:H1693))</f>
        <v>-0.0013709731225322</v>
      </c>
      <c r="J1645" s="27" t="n">
        <f aca="false">IF(I1645="","",Resumen!$B$10-(MAX(I1597:I1693)-I1645))</f>
        <v>1.73465648213448</v>
      </c>
    </row>
    <row r="1646" customFormat="false" ht="15" hidden="false" customHeight="false" outlineLevel="0" collapsed="false">
      <c r="A1646" s="24" t="n">
        <v>46278.5208333333</v>
      </c>
      <c r="B1646" s="10" t="n">
        <v>5.3636</v>
      </c>
      <c r="C1646" s="10" t="n">
        <v>4.0568</v>
      </c>
      <c r="D1646" s="10" t="n">
        <f aca="false">IF(OR(B1646="",C1646="",B1646&lt;=0.05,C1646&lt;=0.05),0,1)</f>
        <v>1</v>
      </c>
      <c r="E1646" s="25" t="n">
        <f aca="false">IF(OR(A1646&lt;Resumen!$B$6,A1646&gt;=Resumen!$B$7),0,MAX(0,AVERAGEIFS(B1598:B1694,D1598:D1694,1)-Resumen!$B$5*AVERAGEIFS(C1598:C1694,D1598:D1694,1)))</f>
        <v>0.90218157113402</v>
      </c>
      <c r="F1646" s="10" t="n">
        <f aca="false">IF(B1646="","",(B1646-E1646)/Resumen!$B$5)</f>
        <v>3.54362067423827</v>
      </c>
      <c r="G1646" s="10" t="n">
        <f aca="false">IF(OR(F1646="",C1646=""),0,(F1646-C1646)*0.9)</f>
        <v>-0.461861393185559</v>
      </c>
      <c r="H1646" s="26" t="n">
        <f aca="false">IF(A1646&lt;Resumen!$B$11,"",IF(H1645="",0,H1645)+G1646/Resumen!$B$9)</f>
        <v>1.20513895670255</v>
      </c>
      <c r="I1646" s="26" t="n">
        <f aca="false">IF(H1646="","",H1646-AVERAGE(H1598:H1694))</f>
        <v>-0.0231217746127641</v>
      </c>
      <c r="J1646" s="27" t="n">
        <f aca="false">IF(I1646="","",Resumen!$B$10-(MAX(I1598:I1694)-I1646))</f>
        <v>1.71290568064425</v>
      </c>
    </row>
    <row r="1647" customFormat="false" ht="15" hidden="false" customHeight="false" outlineLevel="0" collapsed="false">
      <c r="A1647" s="24" t="n">
        <v>46278.53125</v>
      </c>
      <c r="B1647" s="10" t="n">
        <v>5.056</v>
      </c>
      <c r="C1647" s="10" t="n">
        <v>3.5248</v>
      </c>
      <c r="D1647" s="10" t="n">
        <f aca="false">IF(OR(B1647="",C1647="",B1647&lt;=0.05,C1647&lt;=0.05),0,1)</f>
        <v>1</v>
      </c>
      <c r="E1647" s="25" t="n">
        <f aca="false">IF(OR(A1647&lt;Resumen!$B$6,A1647&gt;=Resumen!$B$7),0,MAX(0,AVERAGEIFS(B1599:B1695,D1599:D1695,1)-Resumen!$B$5*AVERAGEIFS(C1599:C1695,D1599:D1695,1)))</f>
        <v>0.900653713402063</v>
      </c>
      <c r="F1647" s="10" t="n">
        <f aca="false">IF(B1647="","",(B1647-E1647)/Resumen!$B$5)</f>
        <v>3.30051333327874</v>
      </c>
      <c r="G1647" s="10" t="n">
        <f aca="false">IF(OR(F1647="",C1647=""),0,(F1647-C1647)*0.9)</f>
        <v>-0.201858000049131</v>
      </c>
      <c r="H1647" s="26" t="n">
        <f aca="false">IF(A1647&lt;Resumen!$B$11,"",IF(H1646="",0,H1646)+G1647/Resumen!$B$9)</f>
        <v>1.19559735312655</v>
      </c>
      <c r="I1647" s="26" t="n">
        <f aca="false">IF(H1647="","",H1647-AVERAGE(H1599:H1695))</f>
        <v>-0.0324066080453471</v>
      </c>
      <c r="J1647" s="27" t="n">
        <f aca="false">IF(I1647="","",Resumen!$B$10-(MAX(I1599:I1695)-I1647))</f>
        <v>1.70362084721167</v>
      </c>
    </row>
    <row r="1648" customFormat="false" ht="15" hidden="false" customHeight="false" outlineLevel="0" collapsed="false">
      <c r="A1648" s="24" t="n">
        <v>46278.5416666667</v>
      </c>
      <c r="B1648" s="10" t="n">
        <v>5.5488</v>
      </c>
      <c r="C1648" s="10" t="n">
        <v>3.7006</v>
      </c>
      <c r="D1648" s="10" t="n">
        <f aca="false">IF(OR(B1648="",C1648="",B1648&lt;=0.05,C1648&lt;=0.05),0,1)</f>
        <v>1</v>
      </c>
      <c r="E1648" s="25" t="n">
        <f aca="false">IF(OR(A1648&lt;Resumen!$B$6,A1648&gt;=Resumen!$B$7),0,MAX(0,AVERAGEIFS(B1600:B1696,D1600:D1696,1)-Resumen!$B$5*AVERAGEIFS(C1600:C1696,D1600:D1696,1)))</f>
        <v>0.903260835051547</v>
      </c>
      <c r="F1648" s="10" t="n">
        <f aca="false">IF(B1648="","",(B1648-E1648)/Resumen!$B$5)</f>
        <v>3.68986430893444</v>
      </c>
      <c r="G1648" s="10" t="n">
        <f aca="false">IF(OR(F1648="",C1648=""),0,(F1648-C1648)*0.9)</f>
        <v>-0.00966212195900864</v>
      </c>
      <c r="H1648" s="26" t="n">
        <f aca="false">IF(A1648&lt;Resumen!$B$11,"",IF(H1647="",0,H1647)+G1648/Resumen!$B$9)</f>
        <v>1.19514063534764</v>
      </c>
      <c r="I1648" s="26" t="n">
        <f aca="false">IF(H1648="","",H1648-AVERAGE(H1600:H1696))</f>
        <v>-0.0325624671636069</v>
      </c>
      <c r="J1648" s="27" t="n">
        <f aca="false">IF(I1648="","",Resumen!$B$10-(MAX(I1600:I1696)-I1648))</f>
        <v>1.70346498809341</v>
      </c>
    </row>
    <row r="1649" customFormat="false" ht="15" hidden="false" customHeight="false" outlineLevel="0" collapsed="false">
      <c r="A1649" s="24" t="n">
        <v>46278.5520833333</v>
      </c>
      <c r="B1649" s="10" t="n">
        <v>5.1971</v>
      </c>
      <c r="C1649" s="10" t="n">
        <v>3.4623</v>
      </c>
      <c r="D1649" s="10" t="n">
        <f aca="false">IF(OR(B1649="",C1649="",B1649&lt;=0.05,C1649&lt;=0.05),0,1)</f>
        <v>1</v>
      </c>
      <c r="E1649" s="25" t="n">
        <f aca="false">IF(OR(A1649&lt;Resumen!$B$6,A1649&gt;=Resumen!$B$7),0,MAX(0,AVERAGEIFS(B1601:B1697,D1601:D1697,1)-Resumen!$B$5*AVERAGEIFS(C1601:C1697,D1601:D1697,1)))</f>
        <v>0.909927648453609</v>
      </c>
      <c r="F1649" s="10" t="n">
        <f aca="false">IF(B1649="","",(B1649-E1649)/Resumen!$B$5)</f>
        <v>3.4052202951123</v>
      </c>
      <c r="G1649" s="10" t="n">
        <f aca="false">IF(OR(F1649="",C1649=""),0,(F1649-C1649)*0.9)</f>
        <v>-0.0513717343989257</v>
      </c>
      <c r="H1649" s="26" t="n">
        <f aca="false">IF(A1649&lt;Resumen!$B$11,"",IF(H1648="",0,H1648)+G1649/Resumen!$B$9)</f>
        <v>1.19271235049132</v>
      </c>
      <c r="I1649" s="26" t="n">
        <f aca="false">IF(H1649="","",H1649-AVERAGE(H1601:H1697))</f>
        <v>-0.0347823622386356</v>
      </c>
      <c r="J1649" s="27" t="n">
        <f aca="false">IF(I1649="","",Resumen!$B$10-(MAX(I1601:I1697)-I1649))</f>
        <v>1.70124509301838</v>
      </c>
    </row>
    <row r="1650" customFormat="false" ht="15" hidden="false" customHeight="false" outlineLevel="0" collapsed="false">
      <c r="A1650" s="24" t="n">
        <v>46278.5625</v>
      </c>
      <c r="B1650" s="10" t="n">
        <v>5.2498</v>
      </c>
      <c r="C1650" s="10" t="n">
        <v>3.1439</v>
      </c>
      <c r="D1650" s="10" t="n">
        <f aca="false">IF(OR(B1650="",C1650="",B1650&lt;=0.05,C1650&lt;=0.05),0,1)</f>
        <v>1</v>
      </c>
      <c r="E1650" s="25" t="n">
        <f aca="false">IF(OR(A1650&lt;Resumen!$B$6,A1650&gt;=Resumen!$B$7),0,MAX(0,AVERAGEIFS(B1602:B1698,D1602:D1698,1)-Resumen!$B$5*AVERAGEIFS(C1602:C1698,D1602:D1698,1)))</f>
        <v>0.918774034020618</v>
      </c>
      <c r="F1650" s="10" t="n">
        <f aca="false">IF(B1650="","",(B1650-E1650)/Resumen!$B$5)</f>
        <v>3.44005239553565</v>
      </c>
      <c r="G1650" s="10" t="n">
        <f aca="false">IF(OR(F1650="",C1650=""),0,(F1650-C1650)*0.9)</f>
        <v>0.266537155982084</v>
      </c>
      <c r="H1650" s="26" t="n">
        <f aca="false">IF(A1650&lt;Resumen!$B$11,"",IF(H1649="",0,H1649)+G1650/Resumen!$B$9)</f>
        <v>1.20531126596675</v>
      </c>
      <c r="I1650" s="26" t="n">
        <f aca="false">IF(H1650="","",H1650-AVERAGE(H1602:H1698))</f>
        <v>-0.0221431208478808</v>
      </c>
      <c r="J1650" s="27" t="n">
        <f aca="false">IF(I1650="","",Resumen!$B$10-(MAX(I1602:I1698)-I1650))</f>
        <v>1.71388433440913</v>
      </c>
    </row>
    <row r="1651" customFormat="false" ht="15" hidden="false" customHeight="false" outlineLevel="0" collapsed="false">
      <c r="A1651" s="24" t="n">
        <v>46278.5729166667</v>
      </c>
      <c r="B1651" s="10" t="n">
        <v>4.5407</v>
      </c>
      <c r="C1651" s="10" t="n">
        <v>2.876</v>
      </c>
      <c r="D1651" s="10" t="n">
        <f aca="false">IF(OR(B1651="",C1651="",B1651&lt;=0.05,C1651&lt;=0.05),0,1)</f>
        <v>1</v>
      </c>
      <c r="E1651" s="25" t="n">
        <f aca="false">IF(OR(A1651&lt;Resumen!$B$6,A1651&gt;=Resumen!$B$7),0,MAX(0,AVERAGEIFS(B1603:B1699,D1603:D1699,1)-Resumen!$B$5*AVERAGEIFS(C1603:C1699,D1603:D1699,1)))</f>
        <v>0.927845750515464</v>
      </c>
      <c r="F1651" s="10" t="n">
        <f aca="false">IF(B1651="","",(B1651-E1651)/Resumen!$B$5)</f>
        <v>2.86962212032132</v>
      </c>
      <c r="G1651" s="10" t="n">
        <f aca="false">IF(OR(F1651="",C1651=""),0,(F1651-C1651)*0.9)</f>
        <v>-0.00574009171081578</v>
      </c>
      <c r="H1651" s="26" t="n">
        <f aca="false">IF(A1651&lt;Resumen!$B$11,"",IF(H1650="",0,H1650)+G1651/Resumen!$B$9)</f>
        <v>1.20503993820376</v>
      </c>
      <c r="I1651" s="26" t="n">
        <f aca="false">IF(H1651="","",H1651-AVERAGE(H1603:H1699))</f>
        <v>-0.0225524372348385</v>
      </c>
      <c r="J1651" s="27" t="n">
        <f aca="false">IF(I1651="","",Resumen!$B$10-(MAX(I1603:I1699)-I1651))</f>
        <v>1.71347501802217</v>
      </c>
    </row>
    <row r="1652" customFormat="false" ht="15" hidden="false" customHeight="false" outlineLevel="0" collapsed="false">
      <c r="A1652" s="24" t="n">
        <v>46278.5833333333</v>
      </c>
      <c r="B1652" s="10" t="n">
        <v>4.3678</v>
      </c>
      <c r="C1652" s="10" t="n">
        <v>2.6443</v>
      </c>
      <c r="D1652" s="10" t="n">
        <f aca="false">IF(OR(B1652="",C1652="",B1652&lt;=0.05,C1652&lt;=0.05),0,1)</f>
        <v>1</v>
      </c>
      <c r="E1652" s="25" t="n">
        <f aca="false">IF(OR(A1652&lt;Resumen!$B$6,A1652&gt;=Resumen!$B$7),0,MAX(0,AVERAGEIFS(B1604:B1700,D1604:D1700,1)-Resumen!$B$5*AVERAGEIFS(C1604:C1700,D1604:D1700,1)))</f>
        <v>0.927319945360825</v>
      </c>
      <c r="F1652" s="10" t="n">
        <f aca="false">IF(B1652="","",(B1652-E1652)/Resumen!$B$5)</f>
        <v>2.73270854220745</v>
      </c>
      <c r="G1652" s="10" t="n">
        <f aca="false">IF(OR(F1652="",C1652=""),0,(F1652-C1652)*0.9)</f>
        <v>0.0795676879867021</v>
      </c>
      <c r="H1652" s="26" t="n">
        <f aca="false">IF(A1652&lt;Resumen!$B$11,"",IF(H1651="",0,H1651)+G1652/Resumen!$B$9)</f>
        <v>1.20880101448533</v>
      </c>
      <c r="I1652" s="26" t="n">
        <f aca="false">IF(H1652="","",H1652-AVERAGE(H1604:H1700))</f>
        <v>-0.0187829503521453</v>
      </c>
      <c r="J1652" s="27" t="n">
        <f aca="false">IF(I1652="","",Resumen!$B$10-(MAX(I1604:I1700)-I1652))</f>
        <v>1.71724450490487</v>
      </c>
    </row>
    <row r="1653" customFormat="false" ht="15" hidden="false" customHeight="false" outlineLevel="0" collapsed="false">
      <c r="A1653" s="24" t="n">
        <v>46278.59375</v>
      </c>
      <c r="B1653" s="10" t="n">
        <v>5.0335</v>
      </c>
      <c r="C1653" s="10" t="n">
        <v>3.3645</v>
      </c>
      <c r="D1653" s="10" t="n">
        <f aca="false">IF(OR(B1653="",C1653="",B1653&lt;=0.05,C1653&lt;=0.05),0,1)</f>
        <v>1</v>
      </c>
      <c r="E1653" s="25" t="n">
        <f aca="false">IF(OR(A1653&lt;Resumen!$B$6,A1653&gt;=Resumen!$B$7),0,MAX(0,AVERAGEIFS(B1605:B1701,D1605:D1701,1)-Resumen!$B$5*AVERAGEIFS(C1605:C1701,D1605:D1701,1)))</f>
        <v>0.923882694845361</v>
      </c>
      <c r="F1653" s="10" t="n">
        <f aca="false">IF(B1653="","",(B1653-E1653)/Resumen!$B$5)</f>
        <v>3.26419166414189</v>
      </c>
      <c r="G1653" s="10" t="n">
        <f aca="false">IF(OR(F1653="",C1653=""),0,(F1653-C1653)*0.9)</f>
        <v>-0.0902775022722989</v>
      </c>
      <c r="H1653" s="26" t="n">
        <f aca="false">IF(A1653&lt;Resumen!$B$11,"",IF(H1652="",0,H1652)+G1653/Resumen!$B$9)</f>
        <v>1.20453369717165</v>
      </c>
      <c r="I1653" s="26" t="n">
        <f aca="false">IF(H1653="","",H1653-AVERAGE(H1605:H1701))</f>
        <v>-0.0227926100586275</v>
      </c>
      <c r="J1653" s="27" t="n">
        <f aca="false">IF(I1653="","",Resumen!$B$10-(MAX(I1605:I1701)-I1653))</f>
        <v>1.71323484519839</v>
      </c>
    </row>
    <row r="1654" customFormat="false" ht="15" hidden="false" customHeight="false" outlineLevel="0" collapsed="false">
      <c r="A1654" s="24" t="n">
        <v>46278.6041666667</v>
      </c>
      <c r="B1654" s="10" t="n">
        <v>4.2144</v>
      </c>
      <c r="C1654" s="10" t="n">
        <v>3.5332</v>
      </c>
      <c r="D1654" s="10" t="n">
        <f aca="false">IF(OR(B1654="",C1654="",B1654&lt;=0.05,C1654&lt;=0.05),0,1)</f>
        <v>1</v>
      </c>
      <c r="E1654" s="25" t="n">
        <f aca="false">IF(OR(A1654&lt;Resumen!$B$6,A1654&gt;=Resumen!$B$7),0,MAX(0,AVERAGEIFS(B1606:B1702,D1606:D1702,1)-Resumen!$B$5*AVERAGEIFS(C1606:C1702,D1606:D1702,1)))</f>
        <v>0.925761875257733</v>
      </c>
      <c r="F1654" s="10" t="n">
        <f aca="false">IF(B1654="","",(B1654-E1654)/Resumen!$B$5)</f>
        <v>2.61210335563326</v>
      </c>
      <c r="G1654" s="10" t="n">
        <f aca="false">IF(OR(F1654="",C1654=""),0,(F1654-C1654)*0.9)</f>
        <v>-0.82898697993007</v>
      </c>
      <c r="H1654" s="26" t="n">
        <f aca="false">IF(A1654&lt;Resumen!$B$11,"",IF(H1653="",0,H1653)+G1654/Resumen!$B$9)</f>
        <v>1.16534840290419</v>
      </c>
      <c r="I1654" s="26" t="n">
        <f aca="false">IF(H1654="","",H1654-AVERAGE(H1606:H1702))</f>
        <v>-0.0616474489142089</v>
      </c>
      <c r="J1654" s="27" t="n">
        <f aca="false">IF(I1654="","",Resumen!$B$10-(MAX(I1606:I1702)-I1654))</f>
        <v>1.6743800063428</v>
      </c>
    </row>
    <row r="1655" customFormat="false" ht="15" hidden="false" customHeight="false" outlineLevel="0" collapsed="false">
      <c r="A1655" s="24" t="n">
        <v>46278.6145833333</v>
      </c>
      <c r="B1655" s="10" t="n">
        <v>5.4608</v>
      </c>
      <c r="C1655" s="10" t="n">
        <v>3.9082</v>
      </c>
      <c r="D1655" s="10" t="n">
        <f aca="false">IF(OR(B1655="",C1655="",B1655&lt;=0.05,C1655&lt;=0.05),0,1)</f>
        <v>1</v>
      </c>
      <c r="E1655" s="25" t="n">
        <f aca="false">IF(OR(A1655&lt;Resumen!$B$6,A1655&gt;=Resumen!$B$7),0,MAX(0,AVERAGEIFS(B1607:B1703,D1607:D1703,1)-Resumen!$B$5*AVERAGEIFS(C1607:C1703,D1607:D1703,1)))</f>
        <v>0.925515395876289</v>
      </c>
      <c r="F1655" s="10" t="n">
        <f aca="false">IF(B1655="","",(B1655-E1655)/Resumen!$B$5)</f>
        <v>3.60229118675434</v>
      </c>
      <c r="G1655" s="10" t="n">
        <f aca="false">IF(OR(F1655="",C1655=""),0,(F1655-C1655)*0.9)</f>
        <v>-0.275317931921096</v>
      </c>
      <c r="H1655" s="26" t="n">
        <f aca="false">IF(A1655&lt;Resumen!$B$11,"",IF(H1654="",0,H1654)+G1655/Resumen!$B$9)</f>
        <v>1.15233442989783</v>
      </c>
      <c r="I1655" s="26" t="n">
        <f aca="false">IF(H1655="","",H1655-AVERAGE(H1607:H1703))</f>
        <v>-0.0741793902208936</v>
      </c>
      <c r="J1655" s="27" t="n">
        <f aca="false">IF(I1655="","",Resumen!$B$10-(MAX(I1607:I1703)-I1655))</f>
        <v>1.66184806503612</v>
      </c>
    </row>
    <row r="1656" customFormat="false" ht="15" hidden="false" customHeight="false" outlineLevel="0" collapsed="false">
      <c r="A1656" s="24" t="n">
        <v>46278.625</v>
      </c>
      <c r="B1656" s="10" t="n">
        <v>6.1723</v>
      </c>
      <c r="C1656" s="10" t="n">
        <v>3.5561</v>
      </c>
      <c r="D1656" s="10" t="n">
        <f aca="false">IF(OR(B1656="",C1656="",B1656&lt;=0.05,C1656&lt;=0.05),0,1)</f>
        <v>1</v>
      </c>
      <c r="E1656" s="25" t="n">
        <f aca="false">IF(OR(A1656&lt;Resumen!$B$6,A1656&gt;=Resumen!$B$7),0,MAX(0,AVERAGEIFS(B1608:B1704,D1608:D1704,1)-Resumen!$B$5*AVERAGEIFS(C1608:C1704,D1608:D1704,1)))</f>
        <v>0.916469710309279</v>
      </c>
      <c r="F1656" s="10" t="n">
        <f aca="false">IF(B1656="","",(B1656-E1656)/Resumen!$B$5)</f>
        <v>4.174607060914</v>
      </c>
      <c r="G1656" s="10" t="n">
        <f aca="false">IF(OR(F1656="",C1656=""),0,(F1656-C1656)*0.9)</f>
        <v>0.556656354822597</v>
      </c>
      <c r="H1656" s="26" t="n">
        <f aca="false">IF(A1656&lt;Resumen!$B$11,"",IF(H1655="",0,H1655)+G1656/Resumen!$B$9)</f>
        <v>1.17864695783574</v>
      </c>
      <c r="I1656" s="26" t="n">
        <f aca="false">IF(H1656="","",H1656-AVERAGE(H1608:H1704))</f>
        <v>-0.0469322069093903</v>
      </c>
      <c r="J1656" s="27" t="n">
        <f aca="false">IF(I1656="","",Resumen!$B$10-(MAX(I1608:I1704)-I1656))</f>
        <v>1.68909524834762</v>
      </c>
    </row>
    <row r="1657" customFormat="false" ht="15" hidden="false" customHeight="false" outlineLevel="0" collapsed="false">
      <c r="A1657" s="24" t="n">
        <v>46278.6354166667</v>
      </c>
      <c r="B1657" s="10" t="n">
        <v>4.7354</v>
      </c>
      <c r="C1657" s="10" t="n">
        <v>3.0522</v>
      </c>
      <c r="D1657" s="10" t="n">
        <f aca="false">IF(OR(B1657="",C1657="",B1657&lt;=0.05,C1657&lt;=0.05),0,1)</f>
        <v>1</v>
      </c>
      <c r="E1657" s="25" t="n">
        <f aca="false">IF(OR(A1657&lt;Resumen!$B$6,A1657&gt;=Resumen!$B$7),0,MAX(0,AVERAGEIFS(B1609:B1705,D1609:D1705,1)-Resumen!$B$5*AVERAGEIFS(C1609:C1705,D1609:D1705,1)))</f>
        <v>0.910945559793815</v>
      </c>
      <c r="F1657" s="10" t="n">
        <f aca="false">IF(B1657="","",(B1657-E1657)/Resumen!$B$5)</f>
        <v>3.03769216855138</v>
      </c>
      <c r="G1657" s="10" t="n">
        <f aca="false">IF(OR(F1657="",C1657=""),0,(F1657-C1657)*0.9)</f>
        <v>-0.013057048303759</v>
      </c>
      <c r="H1657" s="26" t="n">
        <f aca="false">IF(A1657&lt;Resumen!$B$11,"",IF(H1656="",0,H1656)+G1657/Resumen!$B$9)</f>
        <v>1.17802976565729</v>
      </c>
      <c r="I1657" s="26" t="n">
        <f aca="false">IF(H1657="","",H1657-AVERAGE(H1609:H1705))</f>
        <v>-0.0462911035953895</v>
      </c>
      <c r="J1657" s="27" t="n">
        <f aca="false">IF(I1657="","",Resumen!$B$10-(MAX(I1609:I1705)-I1657))</f>
        <v>1.68973635166162</v>
      </c>
    </row>
    <row r="1658" customFormat="false" ht="15" hidden="false" customHeight="false" outlineLevel="0" collapsed="false">
      <c r="A1658" s="24" t="n">
        <v>46278.6458333333</v>
      </c>
      <c r="B1658" s="10" t="n">
        <v>5.9846</v>
      </c>
      <c r="C1658" s="10" t="n">
        <v>3.5749</v>
      </c>
      <c r="D1658" s="10" t="n">
        <f aca="false">IF(OR(B1658="",C1658="",B1658&lt;=0.05,C1658&lt;=0.05),0,1)</f>
        <v>1</v>
      </c>
      <c r="E1658" s="25" t="n">
        <f aca="false">IF(OR(A1658&lt;Resumen!$B$6,A1658&gt;=Resumen!$B$7),0,MAX(0,AVERAGEIFS(B1610:B1706,D1610:D1706,1)-Resumen!$B$5*AVERAGEIFS(C1610:C1706,D1610:D1706,1)))</f>
        <v>0.90642197628866</v>
      </c>
      <c r="F1658" s="10" t="n">
        <f aca="false">IF(B1658="","",(B1658-E1658)/Resumen!$B$5)</f>
        <v>4.03350121025524</v>
      </c>
      <c r="G1658" s="10" t="n">
        <f aca="false">IF(OR(F1658="",C1658=""),0,(F1658-C1658)*0.9)</f>
        <v>0.412741089229712</v>
      </c>
      <c r="H1658" s="26" t="n">
        <f aca="false">IF(A1658&lt;Resumen!$B$11,"",IF(H1657="",0,H1657)+G1658/Resumen!$B$9)</f>
        <v>1.19753957875363</v>
      </c>
      <c r="I1658" s="26" t="n">
        <f aca="false">IF(H1658="","",H1658-AVERAGE(H1610:H1706))</f>
        <v>-0.0252329389412256</v>
      </c>
      <c r="J1658" s="27" t="n">
        <f aca="false">IF(I1658="","",Resumen!$B$10-(MAX(I1610:I1706)-I1658))</f>
        <v>1.71079451631579</v>
      </c>
    </row>
    <row r="1659" customFormat="false" ht="15" hidden="false" customHeight="false" outlineLevel="0" collapsed="false">
      <c r="A1659" s="24" t="n">
        <v>46278.65625</v>
      </c>
      <c r="B1659" s="10" t="n">
        <v>4.3301</v>
      </c>
      <c r="C1659" s="10" t="n">
        <v>3.1517</v>
      </c>
      <c r="D1659" s="10" t="n">
        <f aca="false">IF(OR(B1659="",C1659="",B1659&lt;=0.05,C1659&lt;=0.05),0,1)</f>
        <v>1</v>
      </c>
      <c r="E1659" s="25" t="n">
        <f aca="false">IF(OR(A1659&lt;Resumen!$B$6,A1659&gt;=Resumen!$B$7),0,MAX(0,AVERAGEIFS(B1611:B1707,D1611:D1707,1)-Resumen!$B$5*AVERAGEIFS(C1611:C1707,D1611:D1707,1)))</f>
        <v>0.899315065979382</v>
      </c>
      <c r="F1659" s="10" t="n">
        <f aca="false">IF(B1659="","",(B1659-E1659)/Resumen!$B$5)</f>
        <v>2.72500789040558</v>
      </c>
      <c r="G1659" s="10" t="n">
        <f aca="false">IF(OR(F1659="",C1659=""),0,(F1659-C1659)*0.9)</f>
        <v>-0.384022898634983</v>
      </c>
      <c r="H1659" s="26" t="n">
        <f aca="false">IF(A1659&lt;Resumen!$B$11,"",IF(H1658="",0,H1658)+G1659/Resumen!$B$9)</f>
        <v>1.17938724264611</v>
      </c>
      <c r="I1659" s="26" t="n">
        <f aca="false">IF(H1659="","",H1659-AVERAGE(H1611:H1707))</f>
        <v>-0.0414615614075262</v>
      </c>
      <c r="J1659" s="27" t="n">
        <f aca="false">IF(I1659="","",Resumen!$B$10-(MAX(I1611:I1707)-I1659))</f>
        <v>1.69456589384949</v>
      </c>
    </row>
    <row r="1660" customFormat="false" ht="15" hidden="false" customHeight="false" outlineLevel="0" collapsed="false">
      <c r="A1660" s="24" t="n">
        <v>46278.6666666667</v>
      </c>
      <c r="B1660" s="10" t="n">
        <v>4.5464</v>
      </c>
      <c r="C1660" s="10" t="n">
        <v>3.3118</v>
      </c>
      <c r="D1660" s="10" t="n">
        <f aca="false">IF(OR(B1660="",C1660="",B1660&lt;=0.05,C1660&lt;=0.05),0,1)</f>
        <v>1</v>
      </c>
      <c r="E1660" s="25" t="n">
        <f aca="false">IF(OR(A1660&lt;Resumen!$B$6,A1660&gt;=Resumen!$B$7),0,MAX(0,AVERAGEIFS(B1612:B1708,D1612:D1708,1)-Resumen!$B$5*AVERAGEIFS(C1612:C1708,D1612:D1708,1)))</f>
        <v>0.904485716494846</v>
      </c>
      <c r="F1660" s="10" t="n">
        <f aca="false">IF(B1660="","",(B1660-E1660)/Resumen!$B$5)</f>
        <v>2.89270395830433</v>
      </c>
      <c r="G1660" s="10" t="n">
        <f aca="false">IF(OR(F1660="",C1660=""),0,(F1660-C1660)*0.9)</f>
        <v>-0.377186437526101</v>
      </c>
      <c r="H1660" s="26" t="n">
        <f aca="false">IF(A1660&lt;Resumen!$B$11,"",IF(H1659="",0,H1659)+G1660/Resumen!$B$9)</f>
        <v>1.16155805846592</v>
      </c>
      <c r="I1660" s="26" t="n">
        <f aca="false">IF(H1660="","",H1660-AVERAGE(H1612:H1708))</f>
        <v>-0.0574030023953063</v>
      </c>
      <c r="J1660" s="27" t="n">
        <f aca="false">IF(I1660="","",Resumen!$B$10-(MAX(I1612:I1708)-I1660))</f>
        <v>1.67862445286171</v>
      </c>
    </row>
    <row r="1661" customFormat="false" ht="15" hidden="false" customHeight="false" outlineLevel="0" collapsed="false">
      <c r="A1661" s="24" t="n">
        <v>46278.6770833333</v>
      </c>
      <c r="B1661" s="10" t="n">
        <v>4.505</v>
      </c>
      <c r="C1661" s="10" t="n">
        <v>2.9965</v>
      </c>
      <c r="D1661" s="10" t="n">
        <f aca="false">IF(OR(B1661="",C1661="",B1661&lt;=0.05,C1661&lt;=0.05),0,1)</f>
        <v>1</v>
      </c>
      <c r="E1661" s="25" t="n">
        <f aca="false">IF(OR(A1661&lt;Resumen!$B$6,A1661&gt;=Resumen!$B$7),0,MAX(0,AVERAGEIFS(B1613:B1709,D1613:D1709,1)-Resumen!$B$5*AVERAGEIFS(C1613:C1709,D1613:D1709,1)))</f>
        <v>0.901800723711341</v>
      </c>
      <c r="F1661" s="10" t="n">
        <f aca="false">IF(B1661="","",(B1661-E1661)/Resumen!$B$5)</f>
        <v>2.86195335686152</v>
      </c>
      <c r="G1661" s="10" t="n">
        <f aca="false">IF(OR(F1661="",C1661=""),0,(F1661-C1661)*0.9)</f>
        <v>-0.121091978824628</v>
      </c>
      <c r="H1661" s="26" t="n">
        <f aca="false">IF(A1661&lt;Resumen!$B$11,"",IF(H1660="",0,H1660)+G1661/Resumen!$B$9)</f>
        <v>1.15583417505333</v>
      </c>
      <c r="I1661" s="26" t="n">
        <f aca="false">IF(H1661="","",H1661-AVERAGE(H1613:H1709))</f>
        <v>-0.0610054095978336</v>
      </c>
      <c r="J1661" s="27" t="n">
        <f aca="false">IF(I1661="","",Resumen!$B$10-(MAX(I1613:I1709)-I1661))</f>
        <v>1.67502204565918</v>
      </c>
    </row>
    <row r="1662" customFormat="false" ht="15" hidden="false" customHeight="false" outlineLevel="0" collapsed="false">
      <c r="A1662" s="24" t="n">
        <v>46278.6875</v>
      </c>
      <c r="B1662" s="10" t="n">
        <v>4.3097</v>
      </c>
      <c r="C1662" s="10" t="n">
        <v>2.3729</v>
      </c>
      <c r="D1662" s="10" t="n">
        <f aca="false">IF(OR(B1662="",C1662="",B1662&lt;=0.05,C1662&lt;=0.05),0,1)</f>
        <v>1</v>
      </c>
      <c r="E1662" s="25" t="n">
        <f aca="false">IF(OR(A1662&lt;Resumen!$B$6,A1662&gt;=Resumen!$B$7),0,MAX(0,AVERAGEIFS(B1614:B1710,D1614:D1710,1)-Resumen!$B$5*AVERAGEIFS(C1614:C1710,D1614:D1710,1)))</f>
        <v>0.909465707216496</v>
      </c>
      <c r="F1662" s="10" t="n">
        <f aca="false">IF(B1662="","",(B1662-E1662)/Resumen!$B$5)</f>
        <v>2.70074209117038</v>
      </c>
      <c r="G1662" s="10" t="n">
        <f aca="false">IF(OR(F1662="",C1662=""),0,(F1662-C1662)*0.9)</f>
        <v>0.29505788205334</v>
      </c>
      <c r="H1662" s="26" t="n">
        <f aca="false">IF(A1662&lt;Resumen!$B$11,"",IF(H1661="",0,H1661)+G1662/Resumen!$B$9)</f>
        <v>1.16978123358876</v>
      </c>
      <c r="I1662" s="26" t="n">
        <f aca="false">IF(H1662="","",H1662-AVERAGE(H1614:H1710))</f>
        <v>-0.0450506496705854</v>
      </c>
      <c r="J1662" s="27" t="n">
        <f aca="false">IF(I1662="","",Resumen!$B$10-(MAX(I1614:I1710)-I1662))</f>
        <v>1.69097680558643</v>
      </c>
    </row>
    <row r="1663" customFormat="false" ht="15" hidden="false" customHeight="false" outlineLevel="0" collapsed="false">
      <c r="A1663" s="24" t="n">
        <v>46278.6979166667</v>
      </c>
      <c r="B1663" s="10" t="n">
        <v>4.9582</v>
      </c>
      <c r="C1663" s="10" t="n">
        <v>2.6262</v>
      </c>
      <c r="D1663" s="10" t="n">
        <f aca="false">IF(OR(B1663="",C1663="",B1663&lt;=0.05,C1663&lt;=0.05),0,1)</f>
        <v>1</v>
      </c>
      <c r="E1663" s="25" t="n">
        <f aca="false">IF(OR(A1663&lt;Resumen!$B$6,A1663&gt;=Resumen!$B$7),0,MAX(0,AVERAGEIFS(B1615:B1711,D1615:D1711,1)-Resumen!$B$5*AVERAGEIFS(C1615:C1711,D1615:D1711,1)))</f>
        <v>0.916627148453609</v>
      </c>
      <c r="F1663" s="10" t="n">
        <f aca="false">IF(B1663="","",(B1663-E1663)/Resumen!$B$5)</f>
        <v>3.21014523554122</v>
      </c>
      <c r="G1663" s="10" t="n">
        <f aca="false">IF(OR(F1663="",C1663=""),0,(F1663-C1663)*0.9)</f>
        <v>0.525550711987095</v>
      </c>
      <c r="H1663" s="26" t="n">
        <f aca="false">IF(A1663&lt;Resumen!$B$11,"",IF(H1662="",0,H1662)+G1663/Resumen!$B$9)</f>
        <v>1.19462343232079</v>
      </c>
      <c r="I1663" s="26" t="n">
        <f aca="false">IF(H1663="","",H1663-AVERAGE(H1615:H1711))</f>
        <v>-0.0183005737370396</v>
      </c>
      <c r="J1663" s="27" t="n">
        <f aca="false">IF(I1663="","",Resumen!$B$10-(MAX(I1615:I1711)-I1663))</f>
        <v>1.71772688151997</v>
      </c>
    </row>
    <row r="1664" customFormat="false" ht="15" hidden="false" customHeight="false" outlineLevel="0" collapsed="false">
      <c r="A1664" s="24" t="n">
        <v>46278.7083333333</v>
      </c>
      <c r="B1664" s="10" t="n">
        <v>3.7097</v>
      </c>
      <c r="C1664" s="10" t="n">
        <v>2.6451</v>
      </c>
      <c r="D1664" s="10" t="n">
        <f aca="false">IF(OR(B1664="",C1664="",B1664&lt;=0.05,C1664&lt;=0.05),0,1)</f>
        <v>1</v>
      </c>
      <c r="E1664" s="25" t="n">
        <f aca="false">IF(OR(A1664&lt;Resumen!$B$6,A1664&gt;=Resumen!$B$7),0,MAX(0,AVERAGEIFS(B1616:B1712,D1616:D1712,1)-Resumen!$B$5*AVERAGEIFS(C1616:C1712,D1616:D1712,1)))</f>
        <v>0.911311364948454</v>
      </c>
      <c r="F1664" s="10" t="n">
        <f aca="false">IF(B1664="","",(B1664-E1664)/Resumen!$B$5)</f>
        <v>2.22270741465572</v>
      </c>
      <c r="G1664" s="10" t="n">
        <f aca="false">IF(OR(F1664="",C1664=""),0,(F1664-C1664)*0.9)</f>
        <v>-0.380153326809856</v>
      </c>
      <c r="H1664" s="26" t="n">
        <f aca="false">IF(A1664&lt;Resumen!$B$11,"",IF(H1663="",0,H1663)+G1664/Resumen!$B$9)</f>
        <v>1.17665400657775</v>
      </c>
      <c r="I1664" s="26" t="n">
        <f aca="false">IF(H1664="","",H1664-AVERAGE(H1616:H1712))</f>
        <v>-0.0340496655264084</v>
      </c>
      <c r="J1664" s="27" t="n">
        <f aca="false">IF(I1664="","",Resumen!$B$10-(MAX(I1616:I1712)-I1664))</f>
        <v>1.7019777897306</v>
      </c>
    </row>
    <row r="1665" customFormat="false" ht="15" hidden="false" customHeight="false" outlineLevel="0" collapsed="false">
      <c r="A1665" s="24" t="n">
        <v>46278.71875</v>
      </c>
      <c r="B1665" s="10" t="n">
        <v>4.7958</v>
      </c>
      <c r="C1665" s="10" t="n">
        <v>2.8545</v>
      </c>
      <c r="D1665" s="10" t="n">
        <f aca="false">IF(OR(B1665="",C1665="",B1665&lt;=0.05,C1665&lt;=0.05),0,1)</f>
        <v>1</v>
      </c>
      <c r="E1665" s="25" t="n">
        <f aca="false">IF(OR(A1665&lt;Resumen!$B$6,A1665&gt;=Resumen!$B$7),0,MAX(0,AVERAGEIFS(B1617:B1713,D1617:D1713,1)-Resumen!$B$5*AVERAGEIFS(C1617:C1713,D1617:D1713,1)))</f>
        <v>0.908590488659794</v>
      </c>
      <c r="F1665" s="10" t="n">
        <f aca="false">IF(B1665="","",(B1665-E1665)/Resumen!$B$5)</f>
        <v>3.08753734022256</v>
      </c>
      <c r="G1665" s="10" t="n">
        <f aca="false">IF(OR(F1665="",C1665=""),0,(F1665-C1665)*0.9)</f>
        <v>0.209733606200306</v>
      </c>
      <c r="H1665" s="26" t="n">
        <f aca="false">IF(A1665&lt;Resumen!$B$11,"",IF(H1664="",0,H1664)+G1665/Resumen!$B$9)</f>
        <v>1.18656788131367</v>
      </c>
      <c r="I1665" s="26" t="n">
        <f aca="false">IF(H1665="","",H1665-AVERAGE(H1617:H1713))</f>
        <v>-0.0216881664494968</v>
      </c>
      <c r="J1665" s="27" t="n">
        <f aca="false">IF(I1665="","",Resumen!$B$10-(MAX(I1617:I1713)-I1665))</f>
        <v>1.71433928880752</v>
      </c>
    </row>
    <row r="1666" customFormat="false" ht="15" hidden="false" customHeight="false" outlineLevel="0" collapsed="false">
      <c r="A1666" s="24" t="n">
        <v>46278.7291666667</v>
      </c>
      <c r="B1666" s="10" t="n">
        <v>4.8965</v>
      </c>
      <c r="C1666" s="10" t="n">
        <v>2.391</v>
      </c>
      <c r="D1666" s="10" t="n">
        <f aca="false">IF(OR(B1666="",C1666="",B1666&lt;=0.05,C1666&lt;=0.05),0,1)</f>
        <v>1</v>
      </c>
      <c r="E1666" s="25" t="n">
        <f aca="false">IF(OR(A1666&lt;Resumen!$B$6,A1666&gt;=Resumen!$B$7),0,MAX(0,AVERAGEIFS(B1618:B1714,D1618:D1714,1)-Resumen!$B$5*AVERAGEIFS(C1618:C1714,D1618:D1714,1)))</f>
        <v>0.904411204123711</v>
      </c>
      <c r="F1666" s="10" t="n">
        <f aca="false">IF(B1666="","",(B1666-E1666)/Resumen!$B$5)</f>
        <v>3.17084098163327</v>
      </c>
      <c r="G1666" s="10" t="n">
        <f aca="false">IF(OR(F1666="",C1666=""),0,(F1666-C1666)*0.9)</f>
        <v>0.701856883469944</v>
      </c>
      <c r="H1666" s="26" t="n">
        <f aca="false">IF(A1666&lt;Resumen!$B$11,"",IF(H1665="",0,H1665)+G1666/Resumen!$B$9)</f>
        <v>1.21974387705093</v>
      </c>
      <c r="I1666" s="26" t="n">
        <f aca="false">IF(H1666="","",H1666-AVERAGE(H1618:H1714))</f>
        <v>0.0142120176002463</v>
      </c>
      <c r="J1666" s="27" t="n">
        <f aca="false">IF(I1666="","",Resumen!$B$10-(MAX(I1618:I1714)-I1666))</f>
        <v>1.75023947285726</v>
      </c>
    </row>
    <row r="1667" customFormat="false" ht="15" hidden="false" customHeight="false" outlineLevel="0" collapsed="false">
      <c r="A1667" s="24" t="n">
        <v>46278.7395833333</v>
      </c>
      <c r="B1667" s="10" t="n">
        <v>4.4583</v>
      </c>
      <c r="C1667" s="10" t="n">
        <v>3.2363</v>
      </c>
      <c r="D1667" s="10" t="n">
        <f aca="false">IF(OR(B1667="",C1667="",B1667&lt;=0.05,C1667&lt;=0.05),0,1)</f>
        <v>1</v>
      </c>
      <c r="E1667" s="25" t="n">
        <f aca="false">IF(OR(A1667&lt;Resumen!$B$6,A1667&gt;=Resumen!$B$7),0,MAX(0,AVERAGEIFS(B1619:B1715,D1619:D1715,1)-Resumen!$B$5*AVERAGEIFS(C1619:C1715,D1619:D1715,1)))</f>
        <v>0.897832442268042</v>
      </c>
      <c r="F1667" s="10" t="n">
        <f aca="false">IF(B1667="","",(B1667-E1667)/Resumen!$B$5)</f>
        <v>2.82801235721363</v>
      </c>
      <c r="G1667" s="10" t="n">
        <f aca="false">IF(OR(F1667="",C1667=""),0,(F1667-C1667)*0.9)</f>
        <v>-0.367458878507734</v>
      </c>
      <c r="H1667" s="26" t="n">
        <f aca="false">IF(A1667&lt;Resumen!$B$11,"",IF(H1666="",0,H1666)+G1667/Resumen!$B$9)</f>
        <v>1.2023745037868</v>
      </c>
      <c r="I1667" s="26" t="n">
        <f aca="false">IF(H1667="","",H1667-AVERAGE(H1619:H1715))</f>
        <v>-8.66945020683296E-005</v>
      </c>
      <c r="J1667" s="27" t="n">
        <f aca="false">IF(I1667="","",Resumen!$B$10-(MAX(I1619:I1715)-I1667))</f>
        <v>1.75226179831765</v>
      </c>
    </row>
    <row r="1668" customFormat="false" ht="15" hidden="false" customHeight="false" outlineLevel="0" collapsed="false">
      <c r="A1668" s="24" t="n">
        <v>46278.75</v>
      </c>
      <c r="B1668" s="10" t="n">
        <v>3.7877</v>
      </c>
      <c r="C1668" s="10" t="n">
        <v>2.8024</v>
      </c>
      <c r="D1668" s="10" t="n">
        <f aca="false">IF(OR(B1668="",C1668="",B1668&lt;=0.05,C1668&lt;=0.05),0,1)</f>
        <v>1</v>
      </c>
      <c r="E1668" s="25" t="n">
        <f aca="false">IF(OR(A1668&lt;Resumen!$B$6,A1668&gt;=Resumen!$B$7),0,MAX(0,AVERAGEIFS(B1620:B1716,D1620:D1716,1)-Resumen!$B$5*AVERAGEIFS(C1620:C1716,D1620:D1716,1)))</f>
        <v>0.913940123711341</v>
      </c>
      <c r="F1668" s="10" t="n">
        <f aca="false">IF(B1668="","",(B1668-E1668)/Resumen!$B$5)</f>
        <v>2.28257337274715</v>
      </c>
      <c r="G1668" s="10" t="n">
        <f aca="false">IF(OR(F1668="",C1668=""),0,(F1668-C1668)*0.9)</f>
        <v>-0.467843964527567</v>
      </c>
      <c r="H1668" s="26" t="n">
        <f aca="false">IF(A1668&lt;Resumen!$B$11,"",IF(H1667="",0,H1667)+G1668/Resumen!$B$9)</f>
        <v>1.18026003894585</v>
      </c>
      <c r="I1668" s="26" t="n">
        <f aca="false">IF(H1668="","",H1668-AVERAGE(H1620:H1716))</f>
        <v>-0.0195459280228825</v>
      </c>
      <c r="J1668" s="27" t="n">
        <f aca="false">IF(I1668="","",Resumen!$B$10-(MAX(I1620:I1716)-I1668))</f>
        <v>1.73394923920597</v>
      </c>
    </row>
    <row r="1669" customFormat="false" ht="15" hidden="false" customHeight="false" outlineLevel="0" collapsed="false">
      <c r="A1669" s="24" t="n">
        <v>46278.7604166667</v>
      </c>
      <c r="B1669" s="10" t="n">
        <v>4.8722</v>
      </c>
      <c r="C1669" s="10" t="n">
        <v>2.979</v>
      </c>
      <c r="D1669" s="10" t="n">
        <f aca="false">IF(OR(B1669="",C1669="",B1669&lt;=0.05,C1669&lt;=0.05),0,1)</f>
        <v>1</v>
      </c>
      <c r="E1669" s="25" t="n">
        <f aca="false">IF(OR(A1669&lt;Resumen!$B$6,A1669&gt;=Resumen!$B$7),0,MAX(0,AVERAGEIFS(B1621:B1717,D1621:D1717,1)-Resumen!$B$5*AVERAGEIFS(C1621:C1717,D1621:D1717,1)))</f>
        <v>0.923207616494846</v>
      </c>
      <c r="F1669" s="10" t="n">
        <f aca="false">IF(B1669="","",(B1669-E1669)/Resumen!$B$5)</f>
        <v>3.13661031255374</v>
      </c>
      <c r="G1669" s="10" t="n">
        <f aca="false">IF(OR(F1669="",C1669=""),0,(F1669-C1669)*0.9)</f>
        <v>0.141849281298363</v>
      </c>
      <c r="H1669" s="26" t="n">
        <f aca="false">IF(A1669&lt;Resumen!$B$11,"",IF(H1668="",0,H1668)+G1669/Resumen!$B$9)</f>
        <v>1.1869650970033</v>
      </c>
      <c r="I1669" s="26" t="n">
        <f aca="false">IF(H1669="","",H1669-AVERAGE(H1621:H1717))</f>
        <v>-0.0103698559675718</v>
      </c>
      <c r="J1669" s="27" t="n">
        <f aca="false">IF(I1669="","",Resumen!$B$10-(MAX(I1621:I1717)-I1669))</f>
        <v>1.74312531126128</v>
      </c>
    </row>
    <row r="1670" customFormat="false" ht="15" hidden="false" customHeight="false" outlineLevel="0" collapsed="false">
      <c r="A1670" s="24" t="n">
        <v>46278.7708333333</v>
      </c>
      <c r="B1670" s="10" t="n">
        <v>4.8529</v>
      </c>
      <c r="C1670" s="10" t="n">
        <v>2.3118</v>
      </c>
      <c r="D1670" s="10" t="n">
        <f aca="false">IF(OR(B1670="",C1670="",B1670&lt;=0.05,C1670&lt;=0.05),0,1)</f>
        <v>1</v>
      </c>
      <c r="E1670" s="25" t="n">
        <f aca="false">IF(OR(A1670&lt;Resumen!$B$6,A1670&gt;=Resumen!$B$7),0,MAX(0,AVERAGEIFS(B1622:B1718,D1622:D1718,1)-Resumen!$B$5*AVERAGEIFS(C1622:C1718,D1622:D1718,1)))</f>
        <v>0.92943329072165</v>
      </c>
      <c r="F1670" s="10" t="n">
        <f aca="false">IF(B1670="","",(B1670-E1670)/Resumen!$B$5)</f>
        <v>3.11633575002252</v>
      </c>
      <c r="G1670" s="10" t="n">
        <f aca="false">IF(OR(F1670="",C1670=""),0,(F1670-C1670)*0.9)</f>
        <v>0.724082175020267</v>
      </c>
      <c r="H1670" s="26" t="n">
        <f aca="false">IF(A1670&lt;Resumen!$B$11,"",IF(H1669="",0,H1669)+G1670/Resumen!$B$9)</f>
        <v>1.22119165759944</v>
      </c>
      <c r="I1670" s="26" t="n">
        <f aca="false">IF(H1670="","",H1670-AVERAGE(H1622:H1718))</f>
        <v>0.0262498446232486</v>
      </c>
      <c r="J1670" s="27" t="n">
        <f aca="false">IF(I1670="","",Resumen!$B$10-(MAX(I1622:I1718)-I1670))</f>
        <v>1.7797450118521</v>
      </c>
    </row>
    <row r="1671" customFormat="false" ht="15" hidden="false" customHeight="false" outlineLevel="0" collapsed="false">
      <c r="A1671" s="24" t="n">
        <v>46278.78125</v>
      </c>
      <c r="B1671" s="10" t="n">
        <v>4.2512</v>
      </c>
      <c r="C1671" s="10" t="n">
        <v>2.6779</v>
      </c>
      <c r="D1671" s="10" t="n">
        <f aca="false">IF(OR(B1671="",C1671="",B1671&lt;=0.05,C1671&lt;=0.05),0,1)</f>
        <v>1</v>
      </c>
      <c r="E1671" s="25" t="n">
        <f aca="false">IF(OR(A1671&lt;Resumen!$B$6,A1671&gt;=Resumen!$B$7),0,MAX(0,AVERAGEIFS(B1623:B1719,D1623:D1719,1)-Resumen!$B$5*AVERAGEIFS(C1623:C1719,D1623:D1719,1)))</f>
        <v>0.933181747422681</v>
      </c>
      <c r="F1671" s="10" t="n">
        <f aca="false">IF(B1671="","",(B1671-E1671)/Resumen!$B$5)</f>
        <v>2.63543943810748</v>
      </c>
      <c r="G1671" s="10" t="n">
        <f aca="false">IF(OR(F1671="",C1671=""),0,(F1671-C1671)*0.9)</f>
        <v>-0.0382145057032666</v>
      </c>
      <c r="H1671" s="26" t="n">
        <f aca="false">IF(A1671&lt;Resumen!$B$11,"",IF(H1670="",0,H1670)+G1671/Resumen!$B$9)</f>
        <v>1.21938530033748</v>
      </c>
      <c r="I1671" s="26" t="n">
        <f aca="false">IF(H1671="","",H1671-AVERAGE(H1623:H1719))</f>
        <v>0.0268360973673933</v>
      </c>
      <c r="J1671" s="27" t="n">
        <f aca="false">IF(I1671="","",Resumen!$B$10-(MAX(I1623:I1719)-I1671))</f>
        <v>1.78033126459624</v>
      </c>
    </row>
    <row r="1672" customFormat="false" ht="15" hidden="false" customHeight="false" outlineLevel="0" collapsed="false">
      <c r="A1672" s="24" t="n">
        <v>46278.7916666667</v>
      </c>
      <c r="B1672" s="10" t="n">
        <v>5.3896</v>
      </c>
      <c r="C1672" s="10" t="n">
        <v>3.0053</v>
      </c>
      <c r="D1672" s="10" t="n">
        <f aca="false">IF(OR(B1672="",C1672="",B1672&lt;=0.05,C1672&lt;=0.05),0,1)</f>
        <v>1</v>
      </c>
      <c r="E1672" s="25" t="n">
        <f aca="false">IF(OR(A1672&lt;Resumen!$B$6,A1672&gt;=Resumen!$B$7),0,MAX(0,AVERAGEIFS(B1624:B1720,D1624:D1720,1)-Resumen!$B$5*AVERAGEIFS(C1624:C1720,D1624:D1720,1)))</f>
        <v>0.932596105154639</v>
      </c>
      <c r="F1672" s="10" t="n">
        <f aca="false">IF(B1672="","",(B1672-E1672)/Resumen!$B$5)</f>
        <v>3.54011429296693</v>
      </c>
      <c r="G1672" s="10" t="n">
        <f aca="false">IF(OR(F1672="",C1672=""),0,(F1672-C1672)*0.9)</f>
        <v>0.481332863670234</v>
      </c>
      <c r="H1672" s="26" t="n">
        <f aca="false">IF(A1672&lt;Resumen!$B$11,"",IF(H1671="",0,H1671)+G1672/Resumen!$B$9)</f>
        <v>1.24213737046662</v>
      </c>
      <c r="I1672" s="26" t="n">
        <f aca="false">IF(H1672="","",H1672-AVERAGE(H1624:H1720))</f>
        <v>0.0521334927106545</v>
      </c>
      <c r="J1672" s="27" t="n">
        <f aca="false">IF(I1672="","",Resumen!$B$10-(MAX(I1624:I1720)-I1672))</f>
        <v>1.80562865993951</v>
      </c>
    </row>
    <row r="1673" customFormat="false" ht="15" hidden="false" customHeight="false" outlineLevel="0" collapsed="false">
      <c r="A1673" s="24" t="n">
        <v>46278.8020833333</v>
      </c>
      <c r="B1673" s="10" t="n">
        <v>4.1261</v>
      </c>
      <c r="C1673" s="10" t="n">
        <v>2.9469</v>
      </c>
      <c r="D1673" s="10" t="n">
        <f aca="false">IF(OR(B1673="",C1673="",B1673&lt;=0.05,C1673&lt;=0.05),0,1)</f>
        <v>1</v>
      </c>
      <c r="E1673" s="25" t="n">
        <f aca="false">IF(OR(A1673&lt;Resumen!$B$6,A1673&gt;=Resumen!$B$7),0,MAX(0,AVERAGEIFS(B1625:B1721,D1625:D1721,1)-Resumen!$B$5*AVERAGEIFS(C1625:C1721,D1625:D1721,1)))</f>
        <v>0.929225380412372</v>
      </c>
      <c r="F1673" s="10" t="n">
        <f aca="false">IF(B1673="","",(B1673-E1673)/Resumen!$B$5)</f>
        <v>2.53921733088771</v>
      </c>
      <c r="G1673" s="10" t="n">
        <f aca="false">IF(OR(F1673="",C1673=""),0,(F1673-C1673)*0.9)</f>
        <v>-0.36691440220106</v>
      </c>
      <c r="H1673" s="26" t="n">
        <f aca="false">IF(A1673&lt;Resumen!$B$11,"",IF(H1672="",0,H1672)+G1673/Resumen!$B$9)</f>
        <v>1.22479373399307</v>
      </c>
      <c r="I1673" s="26" t="n">
        <f aca="false">IF(H1673="","",H1673-AVERAGE(H1625:H1721))</f>
        <v>0.0375788139901667</v>
      </c>
      <c r="J1673" s="27" t="n">
        <f aca="false">IF(I1673="","",Resumen!$B$10-(MAX(I1625:I1721)-I1673))</f>
        <v>1.79107398121902</v>
      </c>
    </row>
    <row r="1674" customFormat="false" ht="15" hidden="false" customHeight="false" outlineLevel="0" collapsed="false">
      <c r="A1674" s="24" t="n">
        <v>46278.8125</v>
      </c>
      <c r="B1674" s="10" t="n">
        <v>5.8825</v>
      </c>
      <c r="C1674" s="10" t="n">
        <v>2.6595</v>
      </c>
      <c r="D1674" s="10" t="n">
        <f aca="false">IF(OR(B1674="",C1674="",B1674&lt;=0.05,C1674&lt;=0.05),0,1)</f>
        <v>1</v>
      </c>
      <c r="E1674" s="25" t="n">
        <f aca="false">IF(OR(A1674&lt;Resumen!$B$6,A1674&gt;=Resumen!$B$7),0,MAX(0,AVERAGEIFS(B1626:B1722,D1626:D1722,1)-Resumen!$B$5*AVERAGEIFS(C1626:C1722,D1626:D1722,1)))</f>
        <v>0.922168103092784</v>
      </c>
      <c r="F1674" s="10" t="n">
        <f aca="false">IF(B1674="","",(B1674-E1674)/Resumen!$B$5)</f>
        <v>3.93989825012488</v>
      </c>
      <c r="G1674" s="10" t="n">
        <f aca="false">IF(OR(F1674="",C1674=""),0,(F1674-C1674)*0.9)</f>
        <v>1.15235842511239</v>
      </c>
      <c r="H1674" s="26" t="n">
        <f aca="false">IF(A1674&lt;Resumen!$B$11,"",IF(H1673="",0,H1673)+G1674/Resumen!$B$9)</f>
        <v>1.27926443749365</v>
      </c>
      <c r="I1674" s="26" t="n">
        <f aca="false">IF(H1674="","",H1674-AVERAGE(H1626:H1722))</f>
        <v>0.0952133326301869</v>
      </c>
      <c r="J1674" s="27" t="n">
        <f aca="false">IF(I1674="","",Resumen!$B$10-(MAX(I1626:I1722)-I1674))</f>
        <v>1.85</v>
      </c>
    </row>
    <row r="1675" customFormat="false" ht="15" hidden="false" customHeight="false" outlineLevel="0" collapsed="false">
      <c r="A1675" s="24" t="n">
        <v>46278.8229166667</v>
      </c>
      <c r="B1675" s="10" t="n">
        <v>2.8384</v>
      </c>
      <c r="C1675" s="10" t="n">
        <v>2.726</v>
      </c>
      <c r="D1675" s="10" t="n">
        <f aca="false">IF(OR(B1675="",C1675="",B1675&lt;=0.05,C1675&lt;=0.05),0,1)</f>
        <v>1</v>
      </c>
      <c r="E1675" s="25" t="n">
        <f aca="false">IF(OR(A1675&lt;Resumen!$B$6,A1675&gt;=Resumen!$B$7),0,MAX(0,AVERAGEIFS(B1627:B1723,D1627:D1723,1)-Resumen!$B$5*AVERAGEIFS(C1627:C1723,D1627:D1723,1)))</f>
        <v>0.942033449484537</v>
      </c>
      <c r="F1675" s="10" t="n">
        <f aca="false">IF(B1675="","",(B1675-E1675)/Resumen!$B$5)</f>
        <v>1.50624825299084</v>
      </c>
      <c r="G1675" s="10" t="n">
        <f aca="false">IF(OR(F1675="",C1675=""),0,(F1675-C1675)*0.9)</f>
        <v>-1.09777657230825</v>
      </c>
      <c r="H1675" s="26" t="n">
        <f aca="false">IF(A1675&lt;Resumen!$B$11,"",IF(H1674="",0,H1674)+G1675/Resumen!$B$9)</f>
        <v>1.22737375758279</v>
      </c>
      <c r="I1675" s="26" t="n">
        <f aca="false">IF(H1675="","",H1675-AVERAGE(H1627:H1723))</f>
        <v>0.0459372316836664</v>
      </c>
      <c r="J1675" s="27" t="n">
        <f aca="false">IF(I1675="","",Resumen!$B$10-(MAX(I1627:I1723)-I1675))</f>
        <v>1.80072389905348</v>
      </c>
    </row>
    <row r="1676" customFormat="false" ht="15" hidden="false" customHeight="false" outlineLevel="0" collapsed="false">
      <c r="A1676" s="24" t="n">
        <v>46278.8333333333</v>
      </c>
      <c r="B1676" s="10" t="n">
        <v>4.5821</v>
      </c>
      <c r="C1676" s="10" t="n">
        <v>3.3703</v>
      </c>
      <c r="D1676" s="10" t="n">
        <f aca="false">IF(OR(B1676="",C1676="",B1676&lt;=0.05,C1676&lt;=0.05),0,1)</f>
        <v>1</v>
      </c>
      <c r="E1676" s="25" t="n">
        <f aca="false">IF(OR(A1676&lt;Resumen!$B$6,A1676&gt;=Resumen!$B$7),0,MAX(0,AVERAGEIFS(B1628:B1724,D1628:D1724,1)-Resumen!$B$5*AVERAGEIFS(C1628:C1724,D1628:D1724,1)))</f>
        <v>0.965204327835052</v>
      </c>
      <c r="F1676" s="10" t="n">
        <f aca="false">IF(B1676="","",(B1676-E1676)/Resumen!$B$5)</f>
        <v>2.87283214627875</v>
      </c>
      <c r="G1676" s="10" t="n">
        <f aca="false">IF(OR(F1676="",C1676=""),0,(F1676-C1676)*0.9)</f>
        <v>-0.447721068349124</v>
      </c>
      <c r="H1676" s="26" t="n">
        <f aca="false">IF(A1676&lt;Resumen!$B$11,"",IF(H1675="",0,H1675)+G1676/Resumen!$B$9)</f>
        <v>1.2062104797054</v>
      </c>
      <c r="I1676" s="26" t="n">
        <f aca="false">IF(H1676="","",H1676-AVERAGE(H1628:H1724))</f>
        <v>0.0267370370194695</v>
      </c>
      <c r="J1676" s="27" t="n">
        <f aca="false">IF(I1676="","",Resumen!$B$10-(MAX(I1628:I1724)-I1676))</f>
        <v>1.78152370438928</v>
      </c>
    </row>
    <row r="1677" customFormat="false" ht="15" hidden="false" customHeight="false" outlineLevel="0" collapsed="false">
      <c r="A1677" s="24" t="n">
        <v>46278.84375</v>
      </c>
      <c r="B1677" s="10" t="n">
        <v>5.2024</v>
      </c>
      <c r="C1677" s="10" t="n">
        <v>2.4817</v>
      </c>
      <c r="D1677" s="10" t="n">
        <f aca="false">IF(OR(B1677="",C1677="",B1677&lt;=0.05,C1677&lt;=0.05),0,1)</f>
        <v>1</v>
      </c>
      <c r="E1677" s="25" t="n">
        <f aca="false">IF(OR(A1677&lt;Resumen!$B$6,A1677&gt;=Resumen!$B$7),0,MAX(0,AVERAGEIFS(B1629:B1725,D1629:D1725,1)-Resumen!$B$5*AVERAGEIFS(C1629:C1725,D1629:D1725,1)))</f>
        <v>0.967355902061855</v>
      </c>
      <c r="F1677" s="10" t="n">
        <f aca="false">IF(B1677="","",(B1677-E1677)/Resumen!$B$5)</f>
        <v>3.3638158045577</v>
      </c>
      <c r="G1677" s="10" t="n">
        <f aca="false">IF(OR(F1677="",C1677=""),0,(F1677-C1677)*0.9)</f>
        <v>0.793904224101931</v>
      </c>
      <c r="H1677" s="26" t="n">
        <f aca="false">IF(A1677&lt;Resumen!$B$11,"",IF(H1676="",0,H1676)+G1677/Resumen!$B$9)</f>
        <v>1.24373745105088</v>
      </c>
      <c r="I1677" s="26" t="n">
        <f aca="false">IF(H1677="","",H1677-AVERAGE(H1629:H1725))</f>
        <v>0.0662866850858344</v>
      </c>
      <c r="J1677" s="27" t="n">
        <f aca="false">IF(I1677="","",Resumen!$B$10-(MAX(I1629:I1725)-I1677))</f>
        <v>1.82107335245565</v>
      </c>
    </row>
    <row r="1678" customFormat="false" ht="15" hidden="false" customHeight="false" outlineLevel="0" collapsed="false">
      <c r="A1678" s="24" t="n">
        <v>46278.8541666667</v>
      </c>
      <c r="B1678" s="10" t="n">
        <v>4.5306</v>
      </c>
      <c r="C1678" s="10" t="n">
        <v>2.9482</v>
      </c>
      <c r="D1678" s="10" t="n">
        <f aca="false">IF(OR(B1678="",C1678="",B1678&lt;=0.05,C1678&lt;=0.05),0,1)</f>
        <v>1</v>
      </c>
      <c r="E1678" s="25" t="n">
        <f aca="false">IF(OR(A1678&lt;Resumen!$B$6,A1678&gt;=Resumen!$B$7),0,MAX(0,AVERAGEIFS(B1630:B1726,D1630:D1726,1)-Resumen!$B$5*AVERAGEIFS(C1630:C1726,D1630:D1726,1)))</f>
        <v>1.00056992474227</v>
      </c>
      <c r="F1678" s="10" t="n">
        <f aca="false">IF(B1678="","",(B1678-E1678)/Resumen!$B$5)</f>
        <v>2.80383643785364</v>
      </c>
      <c r="G1678" s="10" t="n">
        <f aca="false">IF(OR(F1678="",C1678=""),0,(F1678-C1678)*0.9)</f>
        <v>-0.129927205931724</v>
      </c>
      <c r="H1678" s="26" t="n">
        <f aca="false">IF(A1678&lt;Resumen!$B$11,"",IF(H1677="",0,H1677)+G1678/Resumen!$B$9)</f>
        <v>1.23759593626109</v>
      </c>
      <c r="I1678" s="26" t="n">
        <f aca="false">IF(H1678="","",H1678-AVERAGE(H1630:H1726))</f>
        <v>0.0611727342044208</v>
      </c>
      <c r="J1678" s="27" t="n">
        <f aca="false">IF(I1678="","",Resumen!$B$10-(MAX(I1630:I1726)-I1678))</f>
        <v>1.81595940157423</v>
      </c>
    </row>
    <row r="1679" customFormat="false" ht="15" hidden="false" customHeight="false" outlineLevel="0" collapsed="false">
      <c r="A1679" s="24" t="n">
        <v>46278.8645833333</v>
      </c>
      <c r="B1679" s="10" t="n">
        <v>3.838</v>
      </c>
      <c r="C1679" s="10" t="n">
        <v>2.8732</v>
      </c>
      <c r="D1679" s="10" t="n">
        <f aca="false">IF(OR(B1679="",C1679="",B1679&lt;=0.05,C1679&lt;=0.05),0,1)</f>
        <v>1</v>
      </c>
      <c r="E1679" s="25" t="n">
        <f aca="false">IF(OR(A1679&lt;Resumen!$B$6,A1679&gt;=Resumen!$B$7),0,MAX(0,AVERAGEIFS(B1631:B1727,D1631:D1727,1)-Resumen!$B$5*AVERAGEIFS(C1631:C1727,D1631:D1727,1)))</f>
        <v>1.01249382061856</v>
      </c>
      <c r="F1679" s="10" t="n">
        <f aca="false">IF(B1679="","",(B1679-E1679)/Resumen!$B$5)</f>
        <v>2.24424636964372</v>
      </c>
      <c r="G1679" s="10" t="n">
        <f aca="false">IF(OR(F1679="",C1679=""),0,(F1679-C1679)*0.9)</f>
        <v>-0.566058267320653</v>
      </c>
      <c r="H1679" s="26" t="n">
        <f aca="false">IF(A1679&lt;Resumen!$B$11,"",IF(H1678="",0,H1678)+G1679/Resumen!$B$9)</f>
        <v>1.21083899035664</v>
      </c>
      <c r="I1679" s="26" t="n">
        <f aca="false">IF(H1679="","",H1679-AVERAGE(H1631:H1727))</f>
        <v>0.0351666718073498</v>
      </c>
      <c r="J1679" s="27" t="n">
        <f aca="false">IF(I1679="","",Resumen!$B$10-(MAX(I1631:I1727)-I1679))</f>
        <v>1.78995333917716</v>
      </c>
    </row>
    <row r="1680" customFormat="false" ht="15" hidden="false" customHeight="false" outlineLevel="0" collapsed="false">
      <c r="A1680" s="24" t="n">
        <v>46278.875</v>
      </c>
      <c r="B1680" s="10" t="n">
        <v>4.6044</v>
      </c>
      <c r="C1680" s="10" t="n">
        <v>2.7681</v>
      </c>
      <c r="D1680" s="10" t="n">
        <f aca="false">IF(OR(B1680="",C1680="",B1680&lt;=0.05,C1680&lt;=0.05),0,1)</f>
        <v>1</v>
      </c>
      <c r="E1680" s="25" t="n">
        <f aca="false">IF(OR(A1680&lt;Resumen!$B$6,A1680&gt;=Resumen!$B$7),0,MAX(0,AVERAGEIFS(B1632:B1728,D1632:D1728,1)-Resumen!$B$5*AVERAGEIFS(C1632:C1728,D1632:D1728,1)))</f>
        <v>1.00995086494845</v>
      </c>
      <c r="F1680" s="10" t="n">
        <f aca="false">IF(B1680="","",(B1680-E1680)/Resumen!$B$5)</f>
        <v>2.8550032843936</v>
      </c>
      <c r="G1680" s="10" t="n">
        <f aca="false">IF(OR(F1680="",C1680=""),0,(F1680-C1680)*0.9)</f>
        <v>0.0782129559542426</v>
      </c>
      <c r="H1680" s="26" t="n">
        <f aca="false">IF(A1680&lt;Resumen!$B$11,"",IF(H1679="",0,H1679)+G1680/Resumen!$B$9)</f>
        <v>1.21453602995894</v>
      </c>
      <c r="I1680" s="26" t="n">
        <f aca="false">IF(H1680="","",H1680-AVERAGE(H1632:H1728))</f>
        <v>0.0398322473284729</v>
      </c>
      <c r="J1680" s="27" t="n">
        <f aca="false">IF(I1680="","",Resumen!$B$10-(MAX(I1632:I1728)-I1680))</f>
        <v>1.79461891469829</v>
      </c>
    </row>
    <row r="1681" customFormat="false" ht="15" hidden="false" customHeight="false" outlineLevel="0" collapsed="false">
      <c r="A1681" s="24" t="n">
        <v>46278.8854166667</v>
      </c>
      <c r="B1681" s="10" t="n">
        <v>3.098</v>
      </c>
      <c r="C1681" s="10" t="n">
        <v>2.3337</v>
      </c>
      <c r="D1681" s="10" t="n">
        <f aca="false">IF(OR(B1681="",C1681="",B1681&lt;=0.05,C1681&lt;=0.05),0,1)</f>
        <v>1</v>
      </c>
      <c r="E1681" s="25" t="n">
        <f aca="false">IF(OR(A1681&lt;Resumen!$B$6,A1681&gt;=Resumen!$B$7),0,MAX(0,AVERAGEIFS(B1633:B1729,D1633:D1729,1)-Resumen!$B$5*AVERAGEIFS(C1633:C1729,D1633:D1729,1)))</f>
        <v>1.02259135360825</v>
      </c>
      <c r="F1681" s="10" t="n">
        <f aca="false">IF(B1681="","",(B1681-E1681)/Resumen!$B$5)</f>
        <v>1.64845801937391</v>
      </c>
      <c r="G1681" s="10" t="n">
        <f aca="false">IF(OR(F1681="",C1681=""),0,(F1681-C1681)*0.9)</f>
        <v>-0.616717782563481</v>
      </c>
      <c r="H1681" s="26" t="n">
        <f aca="false">IF(A1681&lt;Resumen!$B$11,"",IF(H1680="",0,H1680)+G1681/Resumen!$B$9)</f>
        <v>1.18538446500703</v>
      </c>
      <c r="I1681" s="26" t="n">
        <f aca="false">IF(H1681="","",H1681-AVERAGE(H1633:H1729))</f>
        <v>0.011348286633448</v>
      </c>
      <c r="J1681" s="27" t="n">
        <f aca="false">IF(I1681="","",Resumen!$B$10-(MAX(I1633:I1729)-I1681))</f>
        <v>1.76613495400326</v>
      </c>
    </row>
    <row r="1682" customFormat="false" ht="15" hidden="false" customHeight="false" outlineLevel="0" collapsed="false">
      <c r="A1682" s="24" t="n">
        <v>46278.8958333333</v>
      </c>
      <c r="B1682" s="10" t="n">
        <v>3.9455</v>
      </c>
      <c r="C1682" s="10" t="n">
        <v>2.0618</v>
      </c>
      <c r="D1682" s="10" t="n">
        <f aca="false">IF(OR(B1682="",C1682="",B1682&lt;=0.05,C1682&lt;=0.05),0,1)</f>
        <v>1</v>
      </c>
      <c r="E1682" s="25" t="n">
        <f aca="false">IF(OR(A1682&lt;Resumen!$B$6,A1682&gt;=Resumen!$B$7),0,MAX(0,AVERAGEIFS(B1634:B1730,D1634:D1730,1)-Resumen!$B$5*AVERAGEIFS(C1634:C1730,D1634:D1730,1)))</f>
        <v>1.0387685443299</v>
      </c>
      <c r="F1682" s="10" t="n">
        <f aca="false">IF(B1682="","",(B1682-E1682)/Resumen!$B$5)</f>
        <v>2.30876207757752</v>
      </c>
      <c r="G1682" s="10" t="n">
        <f aca="false">IF(OR(F1682="",C1682=""),0,(F1682-C1682)*0.9)</f>
        <v>0.222265869819772</v>
      </c>
      <c r="H1682" s="26" t="n">
        <f aca="false">IF(A1682&lt;Resumen!$B$11,"",IF(H1681="",0,H1681)+G1682/Resumen!$B$9)</f>
        <v>1.19589072593194</v>
      </c>
      <c r="I1682" s="26" t="n">
        <f aca="false">IF(H1682="","",H1682-AVERAGE(H1634:H1730))</f>
        <v>0.022106607583892</v>
      </c>
      <c r="J1682" s="27" t="n">
        <f aca="false">IF(I1682="","",Resumen!$B$10-(MAX(I1634:I1730)-I1682))</f>
        <v>1.77689327495371</v>
      </c>
    </row>
    <row r="1683" customFormat="false" ht="15" hidden="false" customHeight="false" outlineLevel="0" collapsed="false">
      <c r="A1683" s="24" t="n">
        <v>46278.90625</v>
      </c>
      <c r="B1683" s="10" t="n">
        <v>3.6504</v>
      </c>
      <c r="C1683" s="10" t="n">
        <v>1.9147</v>
      </c>
      <c r="D1683" s="10" t="n">
        <f aca="false">IF(OR(B1683="",C1683="",B1683&lt;=0.05,C1683&lt;=0.05),0,1)</f>
        <v>1</v>
      </c>
      <c r="E1683" s="25" t="n">
        <f aca="false">IF(OR(A1683&lt;Resumen!$B$6,A1683&gt;=Resumen!$B$7),0,MAX(0,AVERAGEIFS(B1635:B1731,D1635:D1731,1)-Resumen!$B$5*AVERAGEIFS(C1635:C1731,D1635:D1731,1)))</f>
        <v>1.0451729185567</v>
      </c>
      <c r="F1683" s="10" t="n">
        <f aca="false">IF(B1683="","",(B1683-E1683)/Resumen!$B$5)</f>
        <v>2.06928282878737</v>
      </c>
      <c r="G1683" s="10" t="n">
        <f aca="false">IF(OR(F1683="",C1683=""),0,(F1683-C1683)*0.9)</f>
        <v>0.139124545908633</v>
      </c>
      <c r="H1683" s="26" t="n">
        <f aca="false">IF(A1683&lt;Resumen!$B$11,"",IF(H1682="",0,H1682)+G1683/Resumen!$B$9)</f>
        <v>1.2024669887723</v>
      </c>
      <c r="I1683" s="26" t="n">
        <f aca="false">IF(H1683="","",H1683-AVERAGE(H1635:H1731))</f>
        <v>0.0288471258367176</v>
      </c>
      <c r="J1683" s="27" t="n">
        <f aca="false">IF(I1683="","",Resumen!$B$10-(MAX(I1635:I1731)-I1683))</f>
        <v>1.78363379320653</v>
      </c>
    </row>
    <row r="1684" customFormat="false" ht="15" hidden="false" customHeight="false" outlineLevel="0" collapsed="false">
      <c r="A1684" s="24" t="n">
        <v>46278.9166666667</v>
      </c>
      <c r="B1684" s="10" t="n">
        <v>4.4508</v>
      </c>
      <c r="C1684" s="10" t="n">
        <v>2.4746</v>
      </c>
      <c r="D1684" s="10" t="n">
        <f aca="false">IF(OR(B1684="",C1684="",B1684&lt;=0.05,C1684&lt;=0.05),0,1)</f>
        <v>1</v>
      </c>
      <c r="E1684" s="25" t="n">
        <f aca="false">IF(OR(A1684&lt;Resumen!$B$6,A1684&gt;=Resumen!$B$7),0,MAX(0,AVERAGEIFS(B1636:B1732,D1636:D1732,1)-Resumen!$B$5*AVERAGEIFS(C1636:C1732,D1636:D1732,1)))</f>
        <v>1.04479633402062</v>
      </c>
      <c r="F1684" s="10" t="n">
        <f aca="false">IF(B1684="","",(B1684-E1684)/Resumen!$B$5)</f>
        <v>2.7053245956945</v>
      </c>
      <c r="G1684" s="10" t="n">
        <f aca="false">IF(OR(F1684="",C1684=""),0,(F1684-C1684)*0.9)</f>
        <v>0.207652136125054</v>
      </c>
      <c r="H1684" s="26" t="n">
        <f aca="false">IF(A1684&lt;Resumen!$B$11,"",IF(H1683="",0,H1683)+G1684/Resumen!$B$9)</f>
        <v>1.21228247472844</v>
      </c>
      <c r="I1684" s="26" t="n">
        <f aca="false">IF(H1684="","",H1684-AVERAGE(H1636:H1732))</f>
        <v>0.038966088684339</v>
      </c>
      <c r="J1684" s="27" t="n">
        <f aca="false">IF(I1684="","",Resumen!$B$10-(MAX(I1636:I1732)-I1684))</f>
        <v>1.79375275605415</v>
      </c>
    </row>
    <row r="1685" customFormat="false" ht="15" hidden="false" customHeight="false" outlineLevel="0" collapsed="false">
      <c r="A1685" s="24" t="n">
        <v>46278.9270833333</v>
      </c>
      <c r="B1685" s="10" t="n">
        <v>4.555</v>
      </c>
      <c r="C1685" s="10" t="n">
        <v>2.2431</v>
      </c>
      <c r="D1685" s="10" t="n">
        <f aca="false">IF(OR(B1685="",C1685="",B1685&lt;=0.05,C1685&lt;=0.05),0,1)</f>
        <v>1</v>
      </c>
      <c r="E1685" s="25" t="n">
        <f aca="false">IF(OR(A1685&lt;Resumen!$B$6,A1685&gt;=Resumen!$B$7),0,MAX(0,AVERAGEIFS(B1637:B1733,D1637:D1733,1)-Resumen!$B$5*AVERAGEIFS(C1637:C1733,D1637:D1733,1)))</f>
        <v>1.03398507319588</v>
      </c>
      <c r="F1685" s="10" t="n">
        <f aca="false">IF(B1685="","",(B1685-E1685)/Resumen!$B$5)</f>
        <v>2.79667587514228</v>
      </c>
      <c r="G1685" s="10" t="n">
        <f aca="false">IF(OR(F1685="",C1685=""),0,(F1685-C1685)*0.9)</f>
        <v>0.498218287628048</v>
      </c>
      <c r="H1685" s="26" t="n">
        <f aca="false">IF(A1685&lt;Resumen!$B$11,"",IF(H1684="",0,H1684)+G1685/Resumen!$B$9)</f>
        <v>1.23583270010324</v>
      </c>
      <c r="I1685" s="26" t="n">
        <f aca="false">IF(H1685="","",H1685-AVERAGE(H1637:H1733))</f>
        <v>0.0633092781941094</v>
      </c>
      <c r="J1685" s="27" t="n">
        <f aca="false">IF(I1685="","",Resumen!$B$10-(MAX(I1637:I1733)-I1685))</f>
        <v>1.81809594556392</v>
      </c>
    </row>
    <row r="1686" customFormat="false" ht="15" hidden="false" customHeight="false" outlineLevel="0" collapsed="false">
      <c r="A1686" s="24" t="n">
        <v>46278.9375</v>
      </c>
      <c r="B1686" s="10" t="n">
        <v>3.1944</v>
      </c>
      <c r="C1686" s="10" t="n">
        <v>2.3382</v>
      </c>
      <c r="D1686" s="10" t="n">
        <f aca="false">IF(OR(B1686="",C1686="",B1686&lt;=0.05,C1686&lt;=0.05),0,1)</f>
        <v>1</v>
      </c>
      <c r="E1686" s="25" t="n">
        <f aca="false">IF(OR(A1686&lt;Resumen!$B$6,A1686&gt;=Resumen!$B$7),0,MAX(0,AVERAGEIFS(B1638:B1734,D1638:D1734,1)-Resumen!$B$5*AVERAGEIFS(C1638:C1734,D1638:D1734,1)))</f>
        <v>1.04691827113402</v>
      </c>
      <c r="F1686" s="10" t="n">
        <f aca="false">IF(B1686="","",(B1686-E1686)/Resumen!$B$5)</f>
        <v>1.70570431204605</v>
      </c>
      <c r="G1686" s="10" t="n">
        <f aca="false">IF(OR(F1686="",C1686=""),0,(F1686-C1686)*0.9)</f>
        <v>-0.569246119158553</v>
      </c>
      <c r="H1686" s="26" t="n">
        <f aca="false">IF(A1686&lt;Resumen!$B$11,"",IF(H1685="",0,H1685)+G1686/Resumen!$B$9)</f>
        <v>1.2089250679813</v>
      </c>
      <c r="I1686" s="26" t="n">
        <f aca="false">IF(H1686="","",H1686-AVERAGE(H1638:H1734))</f>
        <v>0.0368787354485529</v>
      </c>
      <c r="J1686" s="27" t="n">
        <f aca="false">IF(I1686="","",Resumen!$B$10-(MAX(I1638:I1734)-I1686))</f>
        <v>1.79166540281837</v>
      </c>
    </row>
    <row r="1687" customFormat="false" ht="15" hidden="false" customHeight="false" outlineLevel="0" collapsed="false">
      <c r="A1687" s="24" t="n">
        <v>46278.9479166667</v>
      </c>
      <c r="B1687" s="10" t="n">
        <v>3.3508</v>
      </c>
      <c r="C1687" s="10" t="n">
        <v>2.1923</v>
      </c>
      <c r="D1687" s="10" t="n">
        <f aca="false">IF(OR(B1687="",C1687="",B1687&lt;=0.05,C1687&lt;=0.05),0,1)</f>
        <v>1</v>
      </c>
      <c r="E1687" s="25" t="n">
        <f aca="false">IF(OR(A1687&lt;Resumen!$B$6,A1687&gt;=Resumen!$B$7),0,MAX(0,AVERAGEIFS(B1639:B1735,D1639:D1735,1)-Resumen!$B$5*AVERAGEIFS(C1639:C1735,D1639:D1735,1)))</f>
        <v>1.05042802371134</v>
      </c>
      <c r="F1687" s="10" t="n">
        <f aca="false">IF(B1687="","",(B1687-E1687)/Resumen!$B$5)</f>
        <v>1.82714215749695</v>
      </c>
      <c r="G1687" s="10" t="n">
        <f aca="false">IF(OR(F1687="",C1687=""),0,(F1687-C1687)*0.9)</f>
        <v>-0.328642058252745</v>
      </c>
      <c r="H1687" s="26" t="n">
        <f aca="false">IF(A1687&lt;Resumen!$B$11,"",IF(H1686="",0,H1686)+G1687/Resumen!$B$9)</f>
        <v>1.19339052271935</v>
      </c>
      <c r="I1687" s="26" t="n">
        <f aca="false">IF(H1687="","",H1687-AVERAGE(H1639:H1735))</f>
        <v>0.0218253664983366</v>
      </c>
      <c r="J1687" s="27" t="n">
        <f aca="false">IF(I1687="","",Resumen!$B$10-(MAX(I1639:I1735)-I1687))</f>
        <v>1.77661203386815</v>
      </c>
    </row>
    <row r="1688" customFormat="false" ht="15" hidden="false" customHeight="false" outlineLevel="0" collapsed="false">
      <c r="A1688" s="24" t="n">
        <v>46278.9583333333</v>
      </c>
      <c r="B1688" s="10" t="n">
        <v>3.0816</v>
      </c>
      <c r="C1688" s="10" t="n">
        <v>1.6392</v>
      </c>
      <c r="D1688" s="10" t="n">
        <f aca="false">IF(OR(B1688="",C1688="",B1688&lt;=0.05,C1688&lt;=0.05),0,1)</f>
        <v>1</v>
      </c>
      <c r="E1688" s="25" t="n">
        <f aca="false">IF(OR(A1688&lt;Resumen!$B$6,A1688&gt;=Resumen!$B$7),0,MAX(0,AVERAGEIFS(B1640:B1736,D1640:D1736,1)-Resumen!$B$5*AVERAGEIFS(C1640:C1736,D1640:D1736,1)))</f>
        <v>1.08525197938144</v>
      </c>
      <c r="F1688" s="10" t="n">
        <f aca="false">IF(B1688="","",(B1688-E1688)/Resumen!$B$5)</f>
        <v>1.58566165259615</v>
      </c>
      <c r="G1688" s="10" t="n">
        <f aca="false">IF(OR(F1688="",C1688=""),0,(F1688-C1688)*0.9)</f>
        <v>-0.0481845126634626</v>
      </c>
      <c r="H1688" s="26" t="n">
        <f aca="false">IF(A1688&lt;Resumen!$B$11,"",IF(H1687="",0,H1687)+G1688/Resumen!$B$9)</f>
        <v>1.19111289429627</v>
      </c>
      <c r="I1688" s="26" t="n">
        <f aca="false">IF(H1688="","",H1688-AVERAGE(H1640:H1736))</f>
        <v>0.0189813971494495</v>
      </c>
      <c r="J1688" s="27" t="n">
        <f aca="false">IF(I1688="","",Resumen!$B$10-(MAX(I1640:I1736)-I1688))</f>
        <v>1.71970027631525</v>
      </c>
    </row>
    <row r="1689" customFormat="false" ht="15" hidden="false" customHeight="false" outlineLevel="0" collapsed="false">
      <c r="A1689" s="24" t="n">
        <v>46278.96875</v>
      </c>
      <c r="B1689" s="10" t="n">
        <v>2.91</v>
      </c>
      <c r="C1689" s="10" t="n">
        <v>1.8989</v>
      </c>
      <c r="D1689" s="10" t="n">
        <f aca="false">IF(OR(B1689="",C1689="",B1689&lt;=0.05,C1689&lt;=0.05),0,1)</f>
        <v>1</v>
      </c>
      <c r="E1689" s="25" t="n">
        <f aca="false">IF(OR(A1689&lt;Resumen!$B$6,A1689&gt;=Resumen!$B$7),0,MAX(0,AVERAGEIFS(B1641:B1737,D1641:D1737,1)-Resumen!$B$5*AVERAGEIFS(C1641:C1737,D1641:D1737,1)))</f>
        <v>1.08762705360825</v>
      </c>
      <c r="F1689" s="10" t="n">
        <f aca="false">IF(B1689="","",(B1689-E1689)/Resumen!$B$5)</f>
        <v>1.4474765261253</v>
      </c>
      <c r="G1689" s="10" t="n">
        <f aca="false">IF(OR(F1689="",C1689=""),0,(F1689-C1689)*0.9)</f>
        <v>-0.40628112648723</v>
      </c>
      <c r="H1689" s="26" t="n">
        <f aca="false">IF(A1689&lt;Resumen!$B$11,"",IF(H1688="",0,H1688)+G1689/Resumen!$B$9)</f>
        <v>1.17190843646744</v>
      </c>
      <c r="I1689" s="26" t="n">
        <f aca="false">IF(H1689="","",H1689-AVERAGE(H1641:H1737))</f>
        <v>-0.000739021563795461</v>
      </c>
      <c r="J1689" s="27" t="n">
        <f aca="false">IF(I1689="","",Resumen!$B$10-(MAX(I1641:I1737)-I1689))</f>
        <v>1.69997985760201</v>
      </c>
    </row>
    <row r="1690" customFormat="false" ht="15" hidden="false" customHeight="false" outlineLevel="0" collapsed="false">
      <c r="A1690" s="24" t="n">
        <v>46278.9791666667</v>
      </c>
      <c r="B1690" s="10" t="n">
        <v>2.6759</v>
      </c>
      <c r="C1690" s="10" t="n">
        <v>1.5604</v>
      </c>
      <c r="D1690" s="10" t="n">
        <f aca="false">IF(OR(B1690="",C1690="",B1690&lt;=0.05,C1690&lt;=0.05),0,1)</f>
        <v>1</v>
      </c>
      <c r="E1690" s="25" t="n">
        <f aca="false">IF(OR(A1690&lt;Resumen!$B$6,A1690&gt;=Resumen!$B$7),0,MAX(0,AVERAGEIFS(B1642:B1738,D1642:D1738,1)-Resumen!$B$5*AVERAGEIFS(C1642:C1738,D1642:D1738,1)))</f>
        <v>1.09124236494845</v>
      </c>
      <c r="F1690" s="10" t="n">
        <f aca="false">IF(B1690="","",(B1690-E1690)/Resumen!$B$5)</f>
        <v>1.25866372919106</v>
      </c>
      <c r="G1690" s="10" t="n">
        <f aca="false">IF(OR(F1690="",C1690=""),0,(F1690-C1690)*0.9)</f>
        <v>-0.271562643728045</v>
      </c>
      <c r="H1690" s="26" t="n">
        <f aca="false">IF(A1690&lt;Resumen!$B$11,"",IF(H1689="",0,H1689)+G1690/Resumen!$B$9)</f>
        <v>1.15907197176515</v>
      </c>
      <c r="I1690" s="26" t="n">
        <f aca="false">IF(H1690="","",H1690-AVERAGE(H1642:H1738))</f>
        <v>-0.0140759434722766</v>
      </c>
      <c r="J1690" s="27" t="n">
        <f aca="false">IF(I1690="","",Resumen!$B$10-(MAX(I1642:I1738)-I1690))</f>
        <v>1.68664293569352</v>
      </c>
    </row>
    <row r="1691" customFormat="false" ht="15" hidden="false" customHeight="false" outlineLevel="0" collapsed="false">
      <c r="A1691" s="24" t="n">
        <v>46278.9895833333</v>
      </c>
      <c r="B1691" s="10" t="n">
        <v>3.6892</v>
      </c>
      <c r="C1691" s="10" t="n">
        <v>2.0115</v>
      </c>
      <c r="D1691" s="10" t="n">
        <f aca="false">IF(OR(B1691="",C1691="",B1691&lt;=0.05,C1691&lt;=0.05),0,1)</f>
        <v>1</v>
      </c>
      <c r="E1691" s="25" t="n">
        <f aca="false">IF(OR(A1691&lt;Resumen!$B$6,A1691&gt;=Resumen!$B$7),0,MAX(0,AVERAGEIFS(B1643:B1739,D1643:D1739,1)-Resumen!$B$5*AVERAGEIFS(C1643:C1739,D1643:D1739,1)))</f>
        <v>1.0997332814433</v>
      </c>
      <c r="F1691" s="10" t="n">
        <f aca="false">IF(B1691="","",(B1691-E1691)/Resumen!$B$5)</f>
        <v>2.05676466922693</v>
      </c>
      <c r="G1691" s="10" t="n">
        <f aca="false">IF(OR(F1691="",C1691=""),0,(F1691-C1691)*0.9)</f>
        <v>0.0407382023042345</v>
      </c>
      <c r="H1691" s="26" t="n">
        <f aca="false">IF(A1691&lt;Resumen!$B$11,"",IF(H1690="",0,H1690)+G1691/Resumen!$B$9)</f>
        <v>1.16099762136384</v>
      </c>
      <c r="I1691" s="26" t="n">
        <f aca="false">IF(H1691="","",H1691-AVERAGE(H1643:H1739))</f>
        <v>-0.0127948360051149</v>
      </c>
      <c r="J1691" s="27" t="n">
        <f aca="false">IF(I1691="","",Resumen!$B$10-(MAX(I1643:I1739)-I1691))</f>
        <v>1.68792404316069</v>
      </c>
    </row>
    <row r="1692" customFormat="false" ht="15" hidden="false" customHeight="false" outlineLevel="0" collapsed="false">
      <c r="A1692" s="24" t="n">
        <v>46279</v>
      </c>
      <c r="B1692" s="10" t="n">
        <v>3.2814</v>
      </c>
      <c r="C1692" s="10" t="n">
        <v>1.7174</v>
      </c>
      <c r="D1692" s="10" t="n">
        <f aca="false">IF(OR(B1692="",C1692="",B1692&lt;=0.05,C1692&lt;=0.05),0,1)</f>
        <v>1</v>
      </c>
      <c r="E1692" s="25" t="n">
        <f aca="false">IF(OR(A1692&lt;Resumen!$B$6,A1692&gt;=Resumen!$B$7),0,MAX(0,AVERAGEIFS(B1644:B1740,D1644:D1740,1)-Resumen!$B$5*AVERAGEIFS(C1644:C1740,D1644:D1740,1)))</f>
        <v>1.10560229587629</v>
      </c>
      <c r="F1692" s="10" t="n">
        <f aca="false">IF(B1692="","",(B1692-E1692)/Resumen!$B$5)</f>
        <v>1.72819515816022</v>
      </c>
      <c r="G1692" s="10" t="n">
        <f aca="false">IF(OR(F1692="",C1692=""),0,(F1692-C1692)*0.9)</f>
        <v>0.00971564234419453</v>
      </c>
      <c r="H1692" s="26" t="n">
        <f aca="false">IF(A1692&lt;Resumen!$B$11,"",IF(H1691="",0,H1691)+G1692/Resumen!$B$9)</f>
        <v>1.16145686899193</v>
      </c>
      <c r="I1692" s="26" t="n">
        <f aca="false">IF(H1692="","",H1692-AVERAGE(H1644:H1740))</f>
        <v>-0.0130357398642611</v>
      </c>
      <c r="J1692" s="27" t="n">
        <f aca="false">IF(I1692="","",Resumen!$B$10-(MAX(I1644:I1740)-I1692))</f>
        <v>1.68768313930154</v>
      </c>
    </row>
    <row r="1693" customFormat="false" ht="15" hidden="false" customHeight="false" outlineLevel="0" collapsed="false">
      <c r="A1693" s="24" t="n">
        <v>46279.0104166667</v>
      </c>
      <c r="B1693" s="10" t="n">
        <v>3.4824</v>
      </c>
      <c r="C1693" s="10" t="n">
        <v>1.6169</v>
      </c>
      <c r="D1693" s="10" t="n">
        <f aca="false">IF(OR(B1693="",C1693="",B1693&lt;=0.05,C1693&lt;=0.05),0,1)</f>
        <v>1</v>
      </c>
      <c r="E1693" s="25" t="n">
        <f aca="false">IF(OR(A1693&lt;Resumen!$B$6,A1693&gt;=Resumen!$B$7),0,MAX(0,AVERAGEIFS(B1645:B1741,D1645:D1741,1)-Resumen!$B$5*AVERAGEIFS(C1645:C1741,D1645:D1741,1)))</f>
        <v>1.1012899443299</v>
      </c>
      <c r="F1693" s="10" t="n">
        <f aca="false">IF(B1693="","",(B1693-E1693)/Resumen!$B$5)</f>
        <v>1.89127089409857</v>
      </c>
      <c r="G1693" s="10" t="n">
        <f aca="false">IF(OR(F1693="",C1693=""),0,(F1693-C1693)*0.9)</f>
        <v>0.246933804688715</v>
      </c>
      <c r="H1693" s="26" t="n">
        <f aca="false">IF(A1693&lt;Resumen!$B$11,"",IF(H1692="",0,H1692)+G1693/Resumen!$B$9)</f>
        <v>1.17312915581377</v>
      </c>
      <c r="I1693" s="26" t="n">
        <f aca="false">IF(H1693="","",H1693-AVERAGE(H1645:H1741))</f>
        <v>-0.00177793531999182</v>
      </c>
      <c r="J1693" s="27" t="n">
        <f aca="false">IF(I1693="","",Resumen!$B$10-(MAX(I1645:I1741)-I1693))</f>
        <v>1.69894094384581</v>
      </c>
    </row>
    <row r="1694" customFormat="false" ht="15" hidden="false" customHeight="false" outlineLevel="0" collapsed="false">
      <c r="A1694" s="24" t="n">
        <v>46279.0208333333</v>
      </c>
      <c r="B1694" s="10" t="n">
        <v>3.2649</v>
      </c>
      <c r="C1694" s="10" t="n">
        <v>1.7415</v>
      </c>
      <c r="D1694" s="10" t="n">
        <f aca="false">IF(OR(B1694="",C1694="",B1694&lt;=0.05,C1694&lt;=0.05),0,1)</f>
        <v>1</v>
      </c>
      <c r="E1694" s="25" t="n">
        <f aca="false">IF(OR(A1694&lt;Resumen!$B$6,A1694&gt;=Resumen!$B$7),0,MAX(0,AVERAGEIFS(B1646:B1742,D1646:D1742,1)-Resumen!$B$5*AVERAGEIFS(C1646:C1742,D1646:D1742,1)))</f>
        <v>1.1207371371134</v>
      </c>
      <c r="F1694" s="10" t="n">
        <f aca="false">IF(B1694="","",(B1694-E1694)/Resumen!$B$5)</f>
        <v>1.7030681992745</v>
      </c>
      <c r="G1694" s="10" t="n">
        <f aca="false">IF(OR(F1694="",C1694=""),0,(F1694-C1694)*0.9)</f>
        <v>-0.0345886206529486</v>
      </c>
      <c r="H1694" s="26" t="n">
        <f aca="false">IF(A1694&lt;Resumen!$B$11,"",IF(H1693="",0,H1693)+G1694/Resumen!$B$9)</f>
        <v>1.17149419011297</v>
      </c>
      <c r="I1694" s="26" t="n">
        <f aca="false">IF(H1694="","",H1694-AVERAGE(H1646:H1742))</f>
        <v>-0.0043503982402977</v>
      </c>
      <c r="J1694" s="27" t="n">
        <f aca="false">IF(I1694="","",Resumen!$B$10-(MAX(I1646:I1742)-I1694))</f>
        <v>1.6963684809255</v>
      </c>
    </row>
    <row r="1695" customFormat="false" ht="15" hidden="false" customHeight="false" outlineLevel="0" collapsed="false">
      <c r="A1695" s="24" t="n">
        <v>46279.03125</v>
      </c>
      <c r="B1695" s="10" t="n">
        <v>3.2536</v>
      </c>
      <c r="C1695" s="10" t="n">
        <v>2.1081</v>
      </c>
      <c r="D1695" s="10" t="n">
        <f aca="false">IF(OR(B1695="",C1695="",B1695&lt;=0.05,C1695&lt;=0.05),0,1)</f>
        <v>1</v>
      </c>
      <c r="E1695" s="25" t="n">
        <f aca="false">IF(OR(A1695&lt;Resumen!$B$6,A1695&gt;=Resumen!$B$7),0,MAX(0,AVERAGEIFS(B1647:B1743,D1647:D1743,1)-Resumen!$B$5*AVERAGEIFS(C1647:C1743,D1647:D1743,1)))</f>
        <v>1.13859824742268</v>
      </c>
      <c r="F1695" s="10" t="n">
        <f aca="false">IF(B1695="","",(B1695-E1695)/Resumen!$B$5)</f>
        <v>1.67990607829811</v>
      </c>
      <c r="G1695" s="10" t="n">
        <f aca="false">IF(OR(F1695="",C1695=""),0,(F1695-C1695)*0.9)</f>
        <v>-0.385374529531701</v>
      </c>
      <c r="H1695" s="26" t="n">
        <f aca="false">IF(A1695&lt;Resumen!$B$11,"",IF(H1694="",0,H1694)+G1695/Resumen!$B$9)</f>
        <v>1.15327796391343</v>
      </c>
      <c r="I1695" s="26" t="n">
        <f aca="false">IF(H1695="","",H1695-AVERAGE(H1647:H1743))</f>
        <v>-0.0239734428304568</v>
      </c>
      <c r="J1695" s="27" t="n">
        <f aca="false">IF(I1695="","",Resumen!$B$10-(MAX(I1647:I1743)-I1695))</f>
        <v>1.66787116722238</v>
      </c>
    </row>
    <row r="1696" customFormat="false" ht="15" hidden="false" customHeight="false" outlineLevel="0" collapsed="false">
      <c r="A1696" s="24" t="n">
        <v>46279.0416666667</v>
      </c>
      <c r="B1696" s="10" t="n">
        <v>3.2745</v>
      </c>
      <c r="C1696" s="10" t="n">
        <v>1.5176</v>
      </c>
      <c r="D1696" s="10" t="n">
        <f aca="false">IF(OR(B1696="",C1696="",B1696&lt;=0.05,C1696&lt;=0.05),0,1)</f>
        <v>1</v>
      </c>
      <c r="E1696" s="25" t="n">
        <f aca="false">IF(OR(A1696&lt;Resumen!$B$6,A1696&gt;=Resumen!$B$7),0,MAX(0,AVERAGEIFS(B1648:B1744,D1648:D1744,1)-Resumen!$B$5*AVERAGEIFS(C1648:C1744,D1648:D1744,1)))</f>
        <v>1.15854497835052</v>
      </c>
      <c r="F1696" s="10" t="n">
        <f aca="false">IF(B1696="","",(B1696-E1696)/Resumen!$B$5)</f>
        <v>1.68066324197735</v>
      </c>
      <c r="G1696" s="10" t="n">
        <f aca="false">IF(OR(F1696="",C1696=""),0,(F1696-C1696)*0.9)</f>
        <v>0.146756917779616</v>
      </c>
      <c r="H1696" s="26" t="n">
        <f aca="false">IF(A1696&lt;Resumen!$B$11,"",IF(H1695="",0,H1695)+G1696/Resumen!$B$9)</f>
        <v>1.16021500049929</v>
      </c>
      <c r="I1696" s="26" t="n">
        <f aca="false">IF(H1696="","",H1696-AVERAGE(H1648:H1744))</f>
        <v>-0.0189786402375567</v>
      </c>
      <c r="J1696" s="27" t="n">
        <f aca="false">IF(I1696="","",Resumen!$B$10-(MAX(I1648:I1744)-I1696))</f>
        <v>1.62876963659665</v>
      </c>
    </row>
    <row r="1697" customFormat="false" ht="15" hidden="false" customHeight="false" outlineLevel="0" collapsed="false">
      <c r="A1697" s="24" t="n">
        <v>46279.0520833333</v>
      </c>
      <c r="B1697" s="10" t="n">
        <v>3.6372</v>
      </c>
      <c r="C1697" s="10" t="n">
        <v>1.4579</v>
      </c>
      <c r="D1697" s="10" t="n">
        <f aca="false">IF(OR(B1697="",C1697="",B1697&lt;=0.05,C1697&lt;=0.05),0,1)</f>
        <v>1</v>
      </c>
      <c r="E1697" s="25" t="n">
        <f aca="false">IF(OR(A1697&lt;Resumen!$B$6,A1697&gt;=Resumen!$B$7),0,MAX(0,AVERAGEIFS(B1649:B1745,D1649:D1745,1)-Resumen!$B$5*AVERAGEIFS(C1649:C1745,D1649:D1745,1)))</f>
        <v>1.16677399587629</v>
      </c>
      <c r="F1697" s="10" t="n">
        <f aca="false">IF(B1697="","",(B1697-E1697)/Resumen!$B$5)</f>
        <v>1.96221287063043</v>
      </c>
      <c r="G1697" s="10" t="n">
        <f aca="false">IF(OR(F1697="",C1697=""),0,(F1697-C1697)*0.9)</f>
        <v>0.453881583567386</v>
      </c>
      <c r="H1697" s="26" t="n">
        <f aca="false">IF(A1697&lt;Resumen!$B$11,"",IF(H1696="",0,H1696)+G1697/Resumen!$B$9)</f>
        <v>1.18166947909215</v>
      </c>
      <c r="I1697" s="26" t="n">
        <f aca="false">IF(H1697="","",H1697-AVERAGE(H1649:H1745))</f>
        <v>0.000392805753528513</v>
      </c>
      <c r="J1697" s="27" t="n">
        <f aca="false">IF(I1697="","",Resumen!$B$10-(MAX(I1649:I1745)-I1697))</f>
        <v>1.63304986346666</v>
      </c>
    </row>
    <row r="1698" customFormat="false" ht="15" hidden="false" customHeight="false" outlineLevel="0" collapsed="false">
      <c r="A1698" s="24" t="n">
        <v>46279.0625</v>
      </c>
      <c r="B1698" s="10" t="n">
        <v>3.1609</v>
      </c>
      <c r="C1698" s="10" t="n">
        <v>1.4906</v>
      </c>
      <c r="D1698" s="10" t="n">
        <f aca="false">IF(OR(B1698="",C1698="",B1698&lt;=0.05,C1698&lt;=0.05),0,1)</f>
        <v>1</v>
      </c>
      <c r="E1698" s="25" t="n">
        <f aca="false">IF(OR(A1698&lt;Resumen!$B$6,A1698&gt;=Resumen!$B$7),0,MAX(0,AVERAGEIFS(B1650:B1746,D1650:D1746,1)-Resumen!$B$5*AVERAGEIFS(C1650:C1746,D1650:D1746,1)))</f>
        <v>1.16631917216495</v>
      </c>
      <c r="F1698" s="10" t="n">
        <f aca="false">IF(B1698="","",(B1698-E1698)/Resumen!$B$5)</f>
        <v>1.58425800463467</v>
      </c>
      <c r="G1698" s="10" t="n">
        <f aca="false">IF(OR(F1698="",C1698=""),0,(F1698-C1698)*0.9)</f>
        <v>0.0842922041712046</v>
      </c>
      <c r="H1698" s="26" t="n">
        <f aca="false">IF(A1698&lt;Resumen!$B$11,"",IF(H1697="",0,H1697)+G1698/Resumen!$B$9)</f>
        <v>1.18565387800898</v>
      </c>
      <c r="I1698" s="26" t="n">
        <f aca="false">IF(H1698="","",H1698-AVERAGE(H1650:H1746))</f>
        <v>0.0024446712732793</v>
      </c>
      <c r="J1698" s="27" t="n">
        <f aca="false">IF(I1698="","",Resumen!$B$10-(MAX(I1650:I1746)-I1698))</f>
        <v>1.63510172898641</v>
      </c>
    </row>
    <row r="1699" customFormat="false" ht="15" hidden="false" customHeight="false" outlineLevel="0" collapsed="false">
      <c r="A1699" s="24" t="n">
        <v>46279.0729166667</v>
      </c>
      <c r="B1699" s="10" t="n">
        <v>3.0257</v>
      </c>
      <c r="C1699" s="10" t="n">
        <v>1.3745</v>
      </c>
      <c r="D1699" s="10" t="n">
        <f aca="false">IF(OR(B1699="",C1699="",B1699&lt;=0.05,C1699&lt;=0.05),0,1)</f>
        <v>1</v>
      </c>
      <c r="E1699" s="25" t="n">
        <f aca="false">IF(OR(A1699&lt;Resumen!$B$6,A1699&gt;=Resumen!$B$7),0,MAX(0,AVERAGEIFS(B1651:B1747,D1651:D1747,1)-Resumen!$B$5*AVERAGEIFS(C1651:C1747,D1651:D1747,1)))</f>
        <v>1.16536607938144</v>
      </c>
      <c r="F1699" s="10" t="n">
        <f aca="false">IF(B1699="","",(B1699-E1699)/Resumen!$B$5)</f>
        <v>1.47762821335866</v>
      </c>
      <c r="G1699" s="10" t="n">
        <f aca="false">IF(OR(F1699="",C1699=""),0,(F1699-C1699)*0.9)</f>
        <v>0.0928153920227968</v>
      </c>
      <c r="H1699" s="26" t="n">
        <f aca="false">IF(A1699&lt;Resumen!$B$11,"",IF(H1698="",0,H1698)+G1699/Resumen!$B$9)</f>
        <v>1.19004115855381</v>
      </c>
      <c r="I1699" s="26" t="n">
        <f aca="false">IF(H1699="","",H1699-AVERAGE(H1651:H1747))</f>
        <v>0.00506798480230919</v>
      </c>
      <c r="J1699" s="27" t="n">
        <f aca="false">IF(I1699="","",Resumen!$B$10-(MAX(I1651:I1747)-I1699))</f>
        <v>1.63772504251544</v>
      </c>
    </row>
    <row r="1700" customFormat="false" ht="15" hidden="false" customHeight="false" outlineLevel="0" collapsed="false">
      <c r="A1700" s="24" t="n">
        <v>46279.0833333333</v>
      </c>
      <c r="B1700" s="10" t="n">
        <v>2.7281</v>
      </c>
      <c r="C1700" s="10" t="n">
        <v>1.4484</v>
      </c>
      <c r="D1700" s="10" t="n">
        <f aca="false">IF(OR(B1700="",C1700="",B1700&lt;=0.05,C1700&lt;=0.05),0,1)</f>
        <v>1</v>
      </c>
      <c r="E1700" s="25" t="n">
        <f aca="false">IF(OR(A1700&lt;Resumen!$B$6,A1700&gt;=Resumen!$B$7),0,MAX(0,AVERAGEIFS(B1652:B1748,D1652:D1748,1)-Resumen!$B$5*AVERAGEIFS(C1652:C1748,D1652:D1748,1)))</f>
        <v>1.16880937835052</v>
      </c>
      <c r="F1700" s="10" t="n">
        <f aca="false">IF(B1700="","",(B1700-E1700)/Resumen!$B$5)</f>
        <v>1.23851518796623</v>
      </c>
      <c r="G1700" s="10" t="n">
        <f aca="false">IF(OR(F1700="",C1700=""),0,(F1700-C1700)*0.9)</f>
        <v>-0.188896330830392</v>
      </c>
      <c r="H1700" s="26" t="n">
        <f aca="false">IF(A1700&lt;Resumen!$B$11,"",IF(H1699="",0,H1699)+G1700/Resumen!$B$9)</f>
        <v>1.18111223869278</v>
      </c>
      <c r="I1700" s="26" t="n">
        <f aca="false">IF(H1700="","",H1700-AVERAGE(H1652:H1748))</f>
        <v>-0.00560540622068317</v>
      </c>
      <c r="J1700" s="27" t="n">
        <f aca="false">IF(I1700="","",Resumen!$B$10-(MAX(I1652:I1748)-I1700))</f>
        <v>1.62705165149245</v>
      </c>
    </row>
    <row r="1701" customFormat="false" ht="15" hidden="false" customHeight="false" outlineLevel="0" collapsed="false">
      <c r="A1701" s="24" t="n">
        <v>46279.09375</v>
      </c>
      <c r="B1701" s="10" t="n">
        <v>2.3864</v>
      </c>
      <c r="C1701" s="10" t="n">
        <v>1.4805</v>
      </c>
      <c r="D1701" s="10" t="n">
        <f aca="false">IF(OR(B1701="",C1701="",B1701&lt;=0.05,C1701&lt;=0.05),0,1)</f>
        <v>1</v>
      </c>
      <c r="E1701" s="25" t="n">
        <f aca="false">IF(OR(A1701&lt;Resumen!$B$6,A1701&gt;=Resumen!$B$7),0,MAX(0,AVERAGEIFS(B1653:B1749,D1653:D1749,1)-Resumen!$B$5*AVERAGEIFS(C1653:C1749,D1653:D1749,1)))</f>
        <v>1.18427843917526</v>
      </c>
      <c r="F1701" s="10" t="n">
        <f aca="false">IF(B1701="","",(B1701-E1701)/Resumen!$B$5)</f>
        <v>0.954822526469215</v>
      </c>
      <c r="G1701" s="10" t="n">
        <f aca="false">IF(OR(F1701="",C1701=""),0,(F1701-C1701)*0.9)</f>
        <v>-0.473109726177706</v>
      </c>
      <c r="H1701" s="26" t="n">
        <f aca="false">IF(A1701&lt;Resumen!$B$11,"",IF(H1700="",0,H1700)+G1701/Resumen!$B$9)</f>
        <v>1.15874886714425</v>
      </c>
      <c r="I1701" s="26" t="n">
        <f aca="false">IF(H1701="","",H1701-AVERAGE(H1653:H1749))</f>
        <v>-0.0300968163524076</v>
      </c>
      <c r="J1701" s="27" t="n">
        <f aca="false">IF(I1701="","",Resumen!$B$10-(MAX(I1653:I1749)-I1701))</f>
        <v>1.57761677020882</v>
      </c>
    </row>
    <row r="1702" customFormat="false" ht="15" hidden="false" customHeight="false" outlineLevel="0" collapsed="false">
      <c r="A1702" s="24" t="n">
        <v>46279.1041666667</v>
      </c>
      <c r="B1702" s="10" t="n">
        <v>3.039</v>
      </c>
      <c r="C1702" s="10" t="n">
        <v>1.4419</v>
      </c>
      <c r="D1702" s="10" t="n">
        <f aca="false">IF(OR(B1702="",C1702="",B1702&lt;=0.05,C1702&lt;=0.05),0,1)</f>
        <v>1</v>
      </c>
      <c r="E1702" s="25" t="n">
        <f aca="false">IF(OR(A1702&lt;Resumen!$B$6,A1702&gt;=Resumen!$B$7),0,MAX(0,AVERAGEIFS(B1654:B1750,D1654:D1750,1)-Resumen!$B$5*AVERAGEIFS(C1654:C1750,D1654:D1750,1)))</f>
        <v>1.18956402886598</v>
      </c>
      <c r="F1702" s="10" t="n">
        <f aca="false">IF(B1702="","",(B1702-E1702)/Resumen!$B$5)</f>
        <v>1.46897217723115</v>
      </c>
      <c r="G1702" s="10" t="n">
        <f aca="false">IF(OR(F1702="",C1702=""),0,(F1702-C1702)*0.9)</f>
        <v>0.024364959508037</v>
      </c>
      <c r="H1702" s="26" t="n">
        <f aca="false">IF(A1702&lt;Resumen!$B$11,"",IF(H1701="",0,H1701)+G1702/Resumen!$B$9)</f>
        <v>1.1599005717322</v>
      </c>
      <c r="I1702" s="26" t="n">
        <f aca="false">IF(H1702="","",H1702-AVERAGE(H1654:H1750))</f>
        <v>-0.0311071688172477</v>
      </c>
      <c r="J1702" s="27" t="n">
        <f aca="false">IF(I1702="","",Resumen!$B$10-(MAX(I1654:I1750)-I1702))</f>
        <v>1.57633672178688</v>
      </c>
    </row>
    <row r="1703" customFormat="false" ht="15" hidden="false" customHeight="false" outlineLevel="0" collapsed="false">
      <c r="A1703" s="24" t="n">
        <v>46279.1145833333</v>
      </c>
      <c r="B1703" s="10" t="n">
        <v>2.8675</v>
      </c>
      <c r="C1703" s="10" t="n">
        <v>1.3576</v>
      </c>
      <c r="D1703" s="10" t="n">
        <f aca="false">IF(OR(B1703="",C1703="",B1703&lt;=0.05,C1703&lt;=0.05),0,1)</f>
        <v>1</v>
      </c>
      <c r="E1703" s="25" t="n">
        <f aca="false">IF(OR(A1703&lt;Resumen!$B$6,A1703&gt;=Resumen!$B$7),0,MAX(0,AVERAGEIFS(B1655:B1751,D1655:D1751,1)-Resumen!$B$5*AVERAGEIFS(C1655:C1751,D1655:D1751,1)))</f>
        <v>1.19794919278351</v>
      </c>
      <c r="F1703" s="10" t="n">
        <f aca="false">IF(B1703="","",(B1703-E1703)/Resumen!$B$5)</f>
        <v>1.32609277777323</v>
      </c>
      <c r="G1703" s="10" t="n">
        <f aca="false">IF(OR(F1703="",C1703=""),0,(F1703-C1703)*0.9)</f>
        <v>-0.0283565000040944</v>
      </c>
      <c r="H1703" s="26" t="n">
        <f aca="false">IF(A1703&lt;Resumen!$B$11,"",IF(H1702="",0,H1702)+G1703/Resumen!$B$9)</f>
        <v>1.15856019145609</v>
      </c>
      <c r="I1703" s="26" t="n">
        <f aca="false">IF(H1703="","",H1703-AVERAGE(H1655:H1751))</f>
        <v>-0.0347459178068268</v>
      </c>
      <c r="J1703" s="27" t="n">
        <f aca="false">IF(I1703="","",Resumen!$B$10-(MAX(I1655:I1751)-I1703))</f>
        <v>1.5726979727973</v>
      </c>
    </row>
    <row r="1704" customFormat="false" ht="15" hidden="false" customHeight="false" outlineLevel="0" collapsed="false">
      <c r="A1704" s="24" t="n">
        <v>46279.125</v>
      </c>
      <c r="B1704" s="10" t="n">
        <v>2.2848</v>
      </c>
      <c r="C1704" s="10" t="n">
        <v>1.5143</v>
      </c>
      <c r="D1704" s="10" t="n">
        <f aca="false">IF(OR(B1704="",C1704="",B1704&lt;=0.05,C1704&lt;=0.05),0,1)</f>
        <v>1</v>
      </c>
      <c r="E1704" s="25" t="n">
        <f aca="false">IF(OR(A1704&lt;Resumen!$B$6,A1704&gt;=Resumen!$B$7),0,MAX(0,AVERAGEIFS(B1656:B1752,D1656:D1752,1)-Resumen!$B$5*AVERAGEIFS(C1656:C1752,D1656:D1752,1)))</f>
        <v>1.20339480412371</v>
      </c>
      <c r="F1704" s="10" t="n">
        <f aca="false">IF(B1704="","",(B1704-E1704)/Resumen!$B$5)</f>
        <v>0.858939790211508</v>
      </c>
      <c r="G1704" s="10" t="n">
        <f aca="false">IF(OR(F1704="",C1704=""),0,(F1704-C1704)*0.9)</f>
        <v>-0.589824188809643</v>
      </c>
      <c r="H1704" s="26" t="n">
        <f aca="false">IF(A1704&lt;Resumen!$B$11,"",IF(H1703="",0,H1703)+G1704/Resumen!$B$9)</f>
        <v>1.13067985682584</v>
      </c>
      <c r="I1704" s="26" t="n">
        <f aca="false">IF(H1704="","",H1704-AVERAGE(H1656:H1752))</f>
        <v>-0.0649586578946941</v>
      </c>
      <c r="J1704" s="27" t="n">
        <f aca="false">IF(I1704="","",Resumen!$B$10-(MAX(I1656:I1752)-I1704))</f>
        <v>1.54248523270943</v>
      </c>
    </row>
    <row r="1705" customFormat="false" ht="15" hidden="false" customHeight="false" outlineLevel="0" collapsed="false">
      <c r="A1705" s="24" t="n">
        <v>46279.1354166667</v>
      </c>
      <c r="B1705" s="10" t="n">
        <v>2.5919</v>
      </c>
      <c r="C1705" s="10" t="n">
        <v>1.6123</v>
      </c>
      <c r="D1705" s="10" t="n">
        <f aca="false">IF(OR(B1705="",C1705="",B1705&lt;=0.05,C1705&lt;=0.05),0,1)</f>
        <v>1</v>
      </c>
      <c r="E1705" s="25" t="n">
        <f aca="false">IF(OR(A1705&lt;Resumen!$B$6,A1705&gt;=Resumen!$B$7),0,MAX(0,AVERAGEIFS(B1657:B1753,D1657:D1753,1)-Resumen!$B$5*AVERAGEIFS(C1657:C1753,D1657:D1753,1)))</f>
        <v>1.18347780412371</v>
      </c>
      <c r="F1705" s="10" t="n">
        <f aca="false">IF(B1705="","",(B1705-E1705)/Resumen!$B$5)</f>
        <v>1.11868323739181</v>
      </c>
      <c r="G1705" s="10" t="n">
        <f aca="false">IF(OR(F1705="",C1705=""),0,(F1705-C1705)*0.9)</f>
        <v>-0.444255086347371</v>
      </c>
      <c r="H1705" s="26" t="n">
        <f aca="false">IF(A1705&lt;Resumen!$B$11,"",IF(H1704="",0,H1704)+G1705/Resumen!$B$9)</f>
        <v>1.10968041207002</v>
      </c>
      <c r="I1705" s="26" t="n">
        <f aca="false">IF(H1705="","",H1705-AVERAGE(H1657:H1753))</f>
        <v>-0.0874590069313845</v>
      </c>
      <c r="J1705" s="27" t="n">
        <f aca="false">IF(I1705="","",Resumen!$B$10-(MAX(I1657:I1753)-I1705))</f>
        <v>1.51998488367274</v>
      </c>
    </row>
    <row r="1706" customFormat="false" ht="15" hidden="false" customHeight="false" outlineLevel="0" collapsed="false">
      <c r="A1706" s="24" t="n">
        <v>46279.1458333333</v>
      </c>
      <c r="B1706" s="10" t="n">
        <v>2.9977</v>
      </c>
      <c r="C1706" s="10" t="n">
        <v>1.6161</v>
      </c>
      <c r="D1706" s="10" t="n">
        <f aca="false">IF(OR(B1706="",C1706="",B1706&lt;=0.05,C1706&lt;=0.05),0,1)</f>
        <v>1</v>
      </c>
      <c r="E1706" s="25" t="n">
        <f aca="false">IF(OR(A1706&lt;Resumen!$B$6,A1706&gt;=Resumen!$B$7),0,MAX(0,AVERAGEIFS(B1658:B1754,D1658:D1754,1)-Resumen!$B$5*AVERAGEIFS(C1658:C1754,D1658:D1754,1)))</f>
        <v>1.18327358453608</v>
      </c>
      <c r="F1706" s="10" t="n">
        <f aca="false">IF(B1706="","",(B1706-E1706)/Resumen!$B$5)</f>
        <v>1.4411647461985</v>
      </c>
      <c r="G1706" s="10" t="n">
        <f aca="false">IF(OR(F1706="",C1706=""),0,(F1706-C1706)*0.9)</f>
        <v>-0.157441728421346</v>
      </c>
      <c r="H1706" s="26" t="n">
        <f aca="false">IF(A1706&lt;Resumen!$B$11,"",IF(H1705="",0,H1705)+G1706/Resumen!$B$9)</f>
        <v>1.10223831634653</v>
      </c>
      <c r="I1706" s="26" t="n">
        <f aca="false">IF(H1706="","",H1706-AVERAGE(H1658:H1754))</f>
        <v>-0.0962303045012105</v>
      </c>
      <c r="J1706" s="27" t="n">
        <f aca="false">IF(I1706="","",Resumen!$B$10-(MAX(I1658:I1754)-I1706))</f>
        <v>1.51121358610291</v>
      </c>
    </row>
    <row r="1707" customFormat="false" ht="15" hidden="false" customHeight="false" outlineLevel="0" collapsed="false">
      <c r="A1707" s="24" t="n">
        <v>46279.15625</v>
      </c>
      <c r="B1707" s="10" t="n">
        <v>2.3642</v>
      </c>
      <c r="C1707" s="10" t="n">
        <v>1.7457</v>
      </c>
      <c r="D1707" s="10" t="n">
        <f aca="false">IF(OR(B1707="",C1707="",B1707&lt;=0.05,C1707&lt;=0.05),0,1)</f>
        <v>1</v>
      </c>
      <c r="E1707" s="25" t="n">
        <f aca="false">IF(OR(A1707&lt;Resumen!$B$6,A1707&gt;=Resumen!$B$7),0,MAX(0,AVERAGEIFS(B1659:B1755,D1659:D1755,1)-Resumen!$B$5*AVERAGEIFS(C1659:C1755,D1659:D1755,1)))</f>
        <v>1.18477295463918</v>
      </c>
      <c r="F1707" s="10" t="n">
        <f aca="false">IF(B1707="","",(B1707-E1707)/Resumen!$B$5)</f>
        <v>0.936796700048311</v>
      </c>
      <c r="G1707" s="10" t="n">
        <f aca="false">IF(OR(F1707="",C1707=""),0,(F1707-C1707)*0.9)</f>
        <v>-0.72801296995652</v>
      </c>
      <c r="H1707" s="26" t="n">
        <f aca="false">IF(A1707&lt;Resumen!$B$11,"",IF(H1706="",0,H1706)+G1707/Resumen!$B$9)</f>
        <v>1.0678259514374</v>
      </c>
      <c r="I1707" s="26" t="n">
        <f aca="false">IF(H1707="","",H1707-AVERAGE(H1659:H1755))</f>
        <v>-0.131853145135873</v>
      </c>
      <c r="J1707" s="27" t="n">
        <f aca="false">IF(I1707="","",Resumen!$B$10-(MAX(I1659:I1755)-I1707))</f>
        <v>1.47559074546825</v>
      </c>
    </row>
    <row r="1708" customFormat="false" ht="15" hidden="false" customHeight="false" outlineLevel="0" collapsed="false">
      <c r="A1708" s="24" t="n">
        <v>46279.1666666667</v>
      </c>
      <c r="B1708" s="10" t="n">
        <v>3.6097</v>
      </c>
      <c r="C1708" s="10" t="n">
        <v>1.4882</v>
      </c>
      <c r="D1708" s="10" t="n">
        <f aca="false">IF(OR(B1708="",C1708="",B1708&lt;=0.05,C1708&lt;=0.05),0,1)</f>
        <v>1</v>
      </c>
      <c r="E1708" s="25" t="n">
        <f aca="false">IF(OR(A1708&lt;Resumen!$B$6,A1708&gt;=Resumen!$B$7),0,MAX(0,AVERAGEIFS(B1660:B1756,D1660:D1756,1)-Resumen!$B$5*AVERAGEIFS(C1660:C1756,D1660:D1756,1)))</f>
        <v>1.19389512268041</v>
      </c>
      <c r="F1708" s="10" t="n">
        <f aca="false">IF(B1708="","",(B1708-E1708)/Resumen!$B$5)</f>
        <v>1.91882833782334</v>
      </c>
      <c r="G1708" s="10" t="n">
        <f aca="false">IF(OR(F1708="",C1708=""),0,(F1708-C1708)*0.9)</f>
        <v>0.387565504041008</v>
      </c>
      <c r="H1708" s="26" t="n">
        <f aca="false">IF(A1708&lt;Resumen!$B$11,"",IF(H1707="",0,H1707)+G1708/Resumen!$B$9)</f>
        <v>1.08614574256976</v>
      </c>
      <c r="I1708" s="26" t="n">
        <f aca="false">IF(H1708="","",H1708-AVERAGE(H1660:H1756))</f>
        <v>-0.114873300340079</v>
      </c>
      <c r="J1708" s="27" t="n">
        <f aca="false">IF(I1708="","",Resumen!$B$10-(MAX(I1660:I1756)-I1708))</f>
        <v>1.49257059026404</v>
      </c>
    </row>
    <row r="1709" customFormat="false" ht="15" hidden="false" customHeight="false" outlineLevel="0" collapsed="false">
      <c r="A1709" s="24" t="n">
        <v>46279.1770833333</v>
      </c>
      <c r="B1709" s="10" t="n">
        <v>3.3715</v>
      </c>
      <c r="C1709" s="10" t="n">
        <v>1.6082</v>
      </c>
      <c r="D1709" s="10" t="n">
        <f aca="false">IF(OR(B1709="",C1709="",B1709&lt;=0.05,C1709&lt;=0.05),0,1)</f>
        <v>1</v>
      </c>
      <c r="E1709" s="25" t="n">
        <f aca="false">IF(OR(A1709&lt;Resumen!$B$6,A1709&gt;=Resumen!$B$7),0,MAX(0,AVERAGEIFS(B1661:B1757,D1661:D1757,1)-Resumen!$B$5*AVERAGEIFS(C1661:C1757,D1661:D1757,1)))</f>
        <v>1.20496126185567</v>
      </c>
      <c r="F1709" s="10" t="n">
        <f aca="false">IF(B1709="","",(B1709-E1709)/Resumen!$B$5)</f>
        <v>1.72084093577786</v>
      </c>
      <c r="G1709" s="10" t="n">
        <f aca="false">IF(OR(F1709="",C1709=""),0,(F1709-C1709)*0.9)</f>
        <v>0.101376842200077</v>
      </c>
      <c r="H1709" s="26" t="n">
        <f aca="false">IF(A1709&lt;Resumen!$B$11,"",IF(H1708="",0,H1708)+G1709/Resumen!$B$9)</f>
        <v>1.09093771336024</v>
      </c>
      <c r="I1709" s="26" t="n">
        <f aca="false">IF(H1709="","",H1709-AVERAGE(H1661:H1757))</f>
        <v>-0.111617034581842</v>
      </c>
      <c r="J1709" s="27" t="n">
        <f aca="false">IF(I1709="","",Resumen!$B$10-(MAX(I1661:I1757)-I1709))</f>
        <v>1.49582685602228</v>
      </c>
    </row>
    <row r="1710" customFormat="false" ht="15" hidden="false" customHeight="false" outlineLevel="0" collapsed="false">
      <c r="A1710" s="24" t="n">
        <v>46279.1875</v>
      </c>
      <c r="B1710" s="10" t="n">
        <v>3.1099</v>
      </c>
      <c r="C1710" s="10" t="n">
        <v>1.6121</v>
      </c>
      <c r="D1710" s="10" t="n">
        <f aca="false">IF(OR(B1710="",C1710="",B1710&lt;=0.05,C1710&lt;=0.05),0,1)</f>
        <v>1</v>
      </c>
      <c r="E1710" s="25" t="n">
        <f aca="false">IF(OR(A1710&lt;Resumen!$B$6,A1710&gt;=Resumen!$B$7),0,MAX(0,AVERAGEIFS(B1662:B1758,D1662:D1758,1)-Resumen!$B$5*AVERAGEIFS(C1662:C1758,D1662:D1758,1)))</f>
        <v>1.20983983505155</v>
      </c>
      <c r="F1710" s="10" t="n">
        <f aca="false">IF(B1710="","",(B1710-E1710)/Resumen!$B$5)</f>
        <v>1.50918202140465</v>
      </c>
      <c r="G1710" s="10" t="n">
        <f aca="false">IF(OR(F1710="",C1710=""),0,(F1710-C1710)*0.9)</f>
        <v>-0.092626180735816</v>
      </c>
      <c r="H1710" s="26" t="n">
        <f aca="false">IF(A1710&lt;Resumen!$B$11,"",IF(H1709="",0,H1709)+G1710/Resumen!$B$9)</f>
        <v>1.0865593766229</v>
      </c>
      <c r="I1710" s="26" t="n">
        <f aca="false">IF(H1710="","",H1710-AVERAGE(H1662:H1758))</f>
        <v>-0.117513682042302</v>
      </c>
      <c r="J1710" s="27" t="n">
        <f aca="false">IF(I1710="","",Resumen!$B$10-(MAX(I1662:I1758)-I1710))</f>
        <v>1.48993020856182</v>
      </c>
    </row>
    <row r="1711" customFormat="false" ht="15" hidden="false" customHeight="false" outlineLevel="0" collapsed="false">
      <c r="A1711" s="24" t="n">
        <v>46279.1979166667</v>
      </c>
      <c r="B1711" s="10" t="n">
        <v>3.5845</v>
      </c>
      <c r="C1711" s="10" t="n">
        <v>1.8072</v>
      </c>
      <c r="D1711" s="10" t="n">
        <f aca="false">IF(OR(B1711="",C1711="",B1711&lt;=0.05,C1711&lt;=0.05),0,1)</f>
        <v>1</v>
      </c>
      <c r="E1711" s="25" t="n">
        <f aca="false">IF(OR(A1711&lt;Resumen!$B$6,A1711&gt;=Resumen!$B$7),0,MAX(0,AVERAGEIFS(B1663:B1759,D1663:D1759,1)-Resumen!$B$5*AVERAGEIFS(C1663:C1759,D1663:D1759,1)))</f>
        <v>1.2067321</v>
      </c>
      <c r="F1711" s="10" t="n">
        <f aca="false">IF(B1711="","",(B1711-E1711)/Resumen!$B$5)</f>
        <v>1.8886162827641</v>
      </c>
      <c r="G1711" s="10" t="n">
        <f aca="false">IF(OR(F1711="",C1711=""),0,(F1711-C1711)*0.9)</f>
        <v>0.0732746544876885</v>
      </c>
      <c r="H1711" s="26" t="n">
        <f aca="false">IF(A1711&lt;Resumen!$B$11,"",IF(H1710="",0,H1710)+G1711/Resumen!$B$9)</f>
        <v>1.09002298819698</v>
      </c>
      <c r="I1711" s="26" t="n">
        <f aca="false">IF(H1711="","",H1711-AVERAGE(H1663:H1759))</f>
        <v>-0.115284197236578</v>
      </c>
      <c r="J1711" s="27" t="n">
        <f aca="false">IF(I1711="","",Resumen!$B$10-(MAX(I1663:I1759)-I1711))</f>
        <v>1.49215969336755</v>
      </c>
    </row>
    <row r="1712" customFormat="false" ht="15" hidden="false" customHeight="false" outlineLevel="0" collapsed="false">
      <c r="A1712" s="24" t="n">
        <v>46279.2083333333</v>
      </c>
      <c r="B1712" s="10" t="n">
        <v>3.0629</v>
      </c>
      <c r="C1712" s="10" t="n">
        <v>1.9161</v>
      </c>
      <c r="D1712" s="10" t="n">
        <f aca="false">IF(OR(B1712="",C1712="",B1712&lt;=0.05,C1712&lt;=0.05),0,1)</f>
        <v>1</v>
      </c>
      <c r="E1712" s="25" t="n">
        <f aca="false">IF(OR(A1712&lt;Resumen!$B$6,A1712&gt;=Resumen!$B$7),0,MAX(0,AVERAGEIFS(B1664:B1760,D1664:D1760,1)-Resumen!$B$5*AVERAGEIFS(C1664:C1760,D1664:D1760,1)))</f>
        <v>1.19981088659794</v>
      </c>
      <c r="F1712" s="10" t="n">
        <f aca="false">IF(B1712="","",(B1712-E1712)/Resumen!$B$5)</f>
        <v>1.47981661112157</v>
      </c>
      <c r="G1712" s="10" t="n">
        <f aca="false">IF(OR(F1712="",C1712=""),0,(F1712-C1712)*0.9)</f>
        <v>-0.392655049990583</v>
      </c>
      <c r="H1712" s="26" t="n">
        <f aca="false">IF(A1712&lt;Resumen!$B$11,"",IF(H1711="",0,H1711)+G1712/Resumen!$B$9)</f>
        <v>1.07146261987759</v>
      </c>
      <c r="I1712" s="26" t="n">
        <f aca="false">IF(H1712="","",H1712-AVERAGE(H1664:H1760))</f>
        <v>-0.13466729416227</v>
      </c>
      <c r="J1712" s="27" t="n">
        <f aca="false">IF(I1712="","",Resumen!$B$10-(MAX(I1664:I1760)-I1712))</f>
        <v>1.47277659644185</v>
      </c>
    </row>
    <row r="1713" customFormat="false" ht="15" hidden="false" customHeight="false" outlineLevel="0" collapsed="false">
      <c r="A1713" s="24" t="n">
        <v>46279.21875</v>
      </c>
      <c r="B1713" s="10" t="n">
        <v>4.0188</v>
      </c>
      <c r="C1713" s="10" t="n">
        <v>2.1924</v>
      </c>
      <c r="D1713" s="10" t="n">
        <f aca="false">IF(OR(B1713="",C1713="",B1713&lt;=0.05,C1713&lt;=0.05),0,1)</f>
        <v>1</v>
      </c>
      <c r="E1713" s="25" t="n">
        <f aca="false">IF(OR(A1713&lt;Resumen!$B$6,A1713&gt;=Resumen!$B$7),0,MAX(0,AVERAGEIFS(B1665:B1761,D1665:D1761,1)-Resumen!$B$5*AVERAGEIFS(C1665:C1761,D1665:D1761,1)))</f>
        <v>1.20369364329897</v>
      </c>
      <c r="F1713" s="10" t="n">
        <f aca="false">IF(B1713="","",(B1713-E1713)/Resumen!$B$5)</f>
        <v>2.23598598625975</v>
      </c>
      <c r="G1713" s="10" t="n">
        <f aca="false">IF(OR(F1713="",C1713=""),0,(F1713-C1713)*0.9)</f>
        <v>0.0392273876337787</v>
      </c>
      <c r="H1713" s="26" t="n">
        <f aca="false">IF(A1713&lt;Resumen!$B$11,"",IF(H1712="",0,H1712)+G1713/Resumen!$B$9)</f>
        <v>1.07331685494399</v>
      </c>
      <c r="I1713" s="26" t="n">
        <f aca="false">IF(H1713="","",H1713-AVERAGE(H1665:H1761))</f>
        <v>-0.133579489273358</v>
      </c>
      <c r="J1713" s="27" t="n">
        <f aca="false">IF(I1713="","",Resumen!$B$10-(MAX(I1665:I1761)-I1713))</f>
        <v>1.47386440133077</v>
      </c>
    </row>
    <row r="1714" customFormat="false" ht="15" hidden="false" customHeight="false" outlineLevel="0" collapsed="false">
      <c r="A1714" s="24" t="n">
        <v>46279.2291666667</v>
      </c>
      <c r="B1714" s="10" t="n">
        <v>4.7953</v>
      </c>
      <c r="C1714" s="10" t="n">
        <v>3.0296</v>
      </c>
      <c r="D1714" s="10" t="n">
        <f aca="false">IF(OR(B1714="",C1714="",B1714&lt;=0.05,C1714&lt;=0.05),0,1)</f>
        <v>1</v>
      </c>
      <c r="E1714" s="25" t="n">
        <f aca="false">IF(OR(A1714&lt;Resumen!$B$6,A1714&gt;=Resumen!$B$7),0,MAX(0,AVERAGEIFS(B1666:B1762,D1666:D1762,1)-Resumen!$B$5*AVERAGEIFS(C1666:C1762,D1666:D1762,1)))</f>
        <v>1.19822700927835</v>
      </c>
      <c r="F1714" s="10" t="n">
        <f aca="false">IF(B1714="","",(B1714-E1714)/Resumen!$B$5)</f>
        <v>2.85708736355969</v>
      </c>
      <c r="G1714" s="10" t="n">
        <f aca="false">IF(OR(F1714="",C1714=""),0,(F1714-C1714)*0.9)</f>
        <v>-0.155261372796279</v>
      </c>
      <c r="H1714" s="26" t="n">
        <f aca="false">IF(A1714&lt;Resumen!$B$11,"",IF(H1713="",0,H1713)+G1714/Resumen!$B$9)</f>
        <v>1.06597782221044</v>
      </c>
      <c r="I1714" s="26" t="n">
        <f aca="false">IF(H1714="","",H1714-AVERAGE(H1666:H1762))</f>
        <v>-0.141310621319926</v>
      </c>
      <c r="J1714" s="27" t="n">
        <f aca="false">IF(I1714="","",Resumen!$B$10-(MAX(I1666:I1762)-I1714))</f>
        <v>1.4661332692842</v>
      </c>
    </row>
    <row r="1715" customFormat="false" ht="15" hidden="false" customHeight="false" outlineLevel="0" collapsed="false">
      <c r="A1715" s="24" t="n">
        <v>46279.2395833333</v>
      </c>
      <c r="B1715" s="10" t="n">
        <v>4.3185</v>
      </c>
      <c r="C1715" s="10" t="n">
        <v>3.1867</v>
      </c>
      <c r="D1715" s="10" t="n">
        <f aca="false">IF(OR(B1715="",C1715="",B1715&lt;=0.05,C1715&lt;=0.05),0,1)</f>
        <v>1</v>
      </c>
      <c r="E1715" s="25" t="n">
        <f aca="false">IF(OR(A1715&lt;Resumen!$B$6,A1715&gt;=Resumen!$B$7),0,MAX(0,AVERAGEIFS(B1667:B1763,D1667:D1763,1)-Resumen!$B$5*AVERAGEIFS(C1667:C1763,D1667:D1763,1)))</f>
        <v>1.18457047731959</v>
      </c>
      <c r="F1715" s="10" t="n">
        <f aca="false">IF(B1715="","",(B1715-E1715)/Resumen!$B$5)</f>
        <v>2.48922122532201</v>
      </c>
      <c r="G1715" s="10" t="n">
        <f aca="false">IF(OR(F1715="",C1715=""),0,(F1715-C1715)*0.9)</f>
        <v>-0.62773089721019</v>
      </c>
      <c r="H1715" s="26" t="n">
        <f aca="false">IF(A1715&lt;Resumen!$B$11,"",IF(H1714="",0,H1714)+G1715/Resumen!$B$9)</f>
        <v>1.03630567955504</v>
      </c>
      <c r="I1715" s="26" t="n">
        <f aca="false">IF(H1715="","",H1715-AVERAGE(H1667:H1763))</f>
        <v>-0.170717428826397</v>
      </c>
      <c r="J1715" s="27" t="n">
        <f aca="false">IF(I1715="","",Resumen!$B$10-(MAX(I1667:I1763)-I1715))</f>
        <v>1.43672646177773</v>
      </c>
    </row>
    <row r="1716" customFormat="false" ht="15" hidden="false" customHeight="false" outlineLevel="0" collapsed="false">
      <c r="A1716" s="24" t="n">
        <v>46279.25</v>
      </c>
      <c r="B1716" s="10" t="n">
        <v>6.0212</v>
      </c>
      <c r="C1716" s="10" t="n">
        <v>3.274</v>
      </c>
      <c r="D1716" s="10" t="n">
        <f aca="false">IF(OR(B1716="",C1716="",B1716&lt;=0.05,C1716&lt;=0.05),0,1)</f>
        <v>1</v>
      </c>
      <c r="E1716" s="25" t="n">
        <f aca="false">IF(OR(A1716&lt;Resumen!$B$6,A1716&gt;=Resumen!$B$7),0,MAX(0,AVERAGEIFS(B1668:B1764,D1668:D1764,1)-Resumen!$B$5*AVERAGEIFS(C1668:C1764,D1668:D1764,1)))</f>
        <v>1.1983744</v>
      </c>
      <c r="F1716" s="10" t="n">
        <f aca="false">IF(B1716="","",(B1716-E1716)/Resumen!$B$5)</f>
        <v>3.83067958697379</v>
      </c>
      <c r="G1716" s="10" t="n">
        <f aca="false">IF(OR(F1716="",C1716=""),0,(F1716-C1716)*0.9)</f>
        <v>0.50101162827641</v>
      </c>
      <c r="H1716" s="26" t="n">
        <f aca="false">IF(A1716&lt;Resumen!$B$11,"",IF(H1715="",0,H1715)+G1716/Resumen!$B$9)</f>
        <v>1.05998794304135</v>
      </c>
      <c r="I1716" s="26" t="n">
        <f aca="false">IF(H1716="","",H1716-AVERAGE(H1668:H1764))</f>
        <v>-0.147031656403267</v>
      </c>
      <c r="J1716" s="27" t="n">
        <f aca="false">IF(I1716="","",Resumen!$B$10-(MAX(I1668:I1764)-I1716))</f>
        <v>1.46041223420086</v>
      </c>
    </row>
    <row r="1717" customFormat="false" ht="15" hidden="false" customHeight="false" outlineLevel="0" collapsed="false">
      <c r="A1717" s="24" t="n">
        <v>46279.2604166667</v>
      </c>
      <c r="B1717" s="10" t="n">
        <v>5.4067</v>
      </c>
      <c r="C1717" s="10" t="n">
        <v>3.4918</v>
      </c>
      <c r="D1717" s="10" t="n">
        <f aca="false">IF(OR(B1717="",C1717="",B1717&lt;=0.05,C1717&lt;=0.05),0,1)</f>
        <v>1</v>
      </c>
      <c r="E1717" s="25" t="n">
        <f aca="false">IF(OR(A1717&lt;Resumen!$B$6,A1717&gt;=Resumen!$B$7),0,MAX(0,AVERAGEIFS(B1669:B1765,D1669:D1765,1)-Resumen!$B$5*AVERAGEIFS(C1669:C1765,D1669:D1765,1)))</f>
        <v>1.19954647835052</v>
      </c>
      <c r="F1717" s="10" t="n">
        <f aca="false">IF(B1717="","",(B1717-E1717)/Resumen!$B$5)</f>
        <v>3.34166284483676</v>
      </c>
      <c r="G1717" s="10" t="n">
        <f aca="false">IF(OR(F1717="",C1717=""),0,(F1717-C1717)*0.9)</f>
        <v>-0.135123439646913</v>
      </c>
      <c r="H1717" s="26" t="n">
        <f aca="false">IF(A1717&lt;Resumen!$B$11,"",IF(H1716="",0,H1716)+G1717/Resumen!$B$9)</f>
        <v>1.05360080805228</v>
      </c>
      <c r="I1717" s="26" t="n">
        <f aca="false">IF(H1717="","",H1717-AVERAGE(H1669:H1765))</f>
        <v>-0.153254932122688</v>
      </c>
      <c r="J1717" s="27" t="n">
        <f aca="false">IF(I1717="","",Resumen!$B$10-(MAX(I1669:I1765)-I1717))</f>
        <v>1.45418895848144</v>
      </c>
    </row>
    <row r="1718" customFormat="false" ht="15" hidden="false" customHeight="false" outlineLevel="0" collapsed="false">
      <c r="A1718" s="24" t="n">
        <v>46279.2708333333</v>
      </c>
      <c r="B1718" s="10" t="n">
        <v>5.6597</v>
      </c>
      <c r="C1718" s="10" t="n">
        <v>3.422</v>
      </c>
      <c r="D1718" s="10" t="n">
        <f aca="false">IF(OR(B1718="",C1718="",B1718&lt;=0.05,C1718&lt;=0.05),0,1)</f>
        <v>1</v>
      </c>
      <c r="E1718" s="25" t="n">
        <f aca="false">IF(OR(A1718&lt;Resumen!$B$6,A1718&gt;=Resumen!$B$7),0,MAX(0,AVERAGEIFS(B1670:B1766,D1670:D1766,1)-Resumen!$B$5*AVERAGEIFS(C1670:C1766,D1670:D1766,1)))</f>
        <v>1.21242245670103</v>
      </c>
      <c r="F1718" s="10" t="n">
        <f aca="false">IF(B1718="","",(B1718-E1718)/Resumen!$B$5)</f>
        <v>3.53238883502698</v>
      </c>
      <c r="G1718" s="10" t="n">
        <f aca="false">IF(OR(F1718="",C1718=""),0,(F1718-C1718)*0.9)</f>
        <v>0.0993499515242824</v>
      </c>
      <c r="H1718" s="26" t="n">
        <f aca="false">IF(A1718&lt;Resumen!$B$11,"",IF(H1717="",0,H1717)+G1718/Resumen!$B$9)</f>
        <v>1.05829696997061</v>
      </c>
      <c r="I1718" s="26" t="n">
        <f aca="false">IF(H1718="","",H1718-AVERAGE(H1670:H1766))</f>
        <v>-0.148625352285194</v>
      </c>
      <c r="J1718" s="27" t="n">
        <f aca="false">IF(I1718="","",Resumen!$B$10-(MAX(I1670:I1766)-I1718))</f>
        <v>1.45881853831893</v>
      </c>
    </row>
    <row r="1719" customFormat="false" ht="15" hidden="false" customHeight="false" outlineLevel="0" collapsed="false">
      <c r="A1719" s="24" t="n">
        <v>46279.28125</v>
      </c>
      <c r="B1719" s="10" t="n">
        <v>5.1936</v>
      </c>
      <c r="C1719" s="10" t="n">
        <v>2.8686</v>
      </c>
      <c r="D1719" s="10" t="n">
        <f aca="false">IF(OR(B1719="",C1719="",B1719&lt;=0.05,C1719&lt;=0.05),0,1)</f>
        <v>1</v>
      </c>
      <c r="E1719" s="25" t="n">
        <f aca="false">IF(OR(A1719&lt;Resumen!$B$6,A1719&gt;=Resumen!$B$7),0,MAX(0,AVERAGEIFS(B1671:B1767,D1671:D1767,1)-Resumen!$B$5*AVERAGEIFS(C1671:C1767,D1671:D1767,1)))</f>
        <v>1.20886195154639</v>
      </c>
      <c r="F1719" s="10" t="n">
        <f aca="false">IF(B1719="","",(B1719-E1719)/Resumen!$B$5)</f>
        <v>3.16500242132932</v>
      </c>
      <c r="G1719" s="10" t="n">
        <f aca="false">IF(OR(F1719="",C1719=""),0,(F1719-C1719)*0.9)</f>
        <v>0.266762179196384</v>
      </c>
      <c r="H1719" s="26" t="n">
        <f aca="false">IF(A1719&lt;Resumen!$B$11,"",IF(H1718="",0,H1718)+G1719/Resumen!$B$9)</f>
        <v>1.07090652204357</v>
      </c>
      <c r="I1719" s="26" t="n">
        <f aca="false">IF(H1719="","",H1719-AVERAGE(H1671:H1767))</f>
        <v>-0.135759391466752</v>
      </c>
      <c r="J1719" s="27" t="n">
        <f aca="false">IF(I1719="","",Resumen!$B$10-(MAX(I1671:I1767)-I1719))</f>
        <v>1.47168449913737</v>
      </c>
    </row>
    <row r="1720" customFormat="false" ht="15" hidden="false" customHeight="false" outlineLevel="0" collapsed="false">
      <c r="A1720" s="24" t="n">
        <v>46279.2916666667</v>
      </c>
      <c r="B1720" s="10" t="n">
        <v>5.5722</v>
      </c>
      <c r="C1720" s="10" t="n">
        <v>3.9167</v>
      </c>
      <c r="D1720" s="10" t="n">
        <f aca="false">IF(OR(B1720="",C1720="",B1720&lt;=0.05,C1720&lt;=0.05),0,1)</f>
        <v>1</v>
      </c>
      <c r="E1720" s="25" t="n">
        <f aca="false">IF(OR(A1720&lt;Resumen!$B$6,A1720&gt;=Resumen!$B$7),0,MAX(0,AVERAGEIFS(B1672:B1768,D1672:D1768,1)-Resumen!$B$5*AVERAGEIFS(C1672:C1768,D1672:D1768,1)))</f>
        <v>1.21933342061856</v>
      </c>
      <c r="F1720" s="10" t="n">
        <f aca="false">IF(B1720="","",(B1720-E1720)/Resumen!$B$5)</f>
        <v>3.45739998362307</v>
      </c>
      <c r="G1720" s="10" t="n">
        <f aca="false">IF(OR(F1720="",C1720=""),0,(F1720-C1720)*0.9)</f>
        <v>-0.413370014739238</v>
      </c>
      <c r="H1720" s="26" t="n">
        <f aca="false">IF(A1720&lt;Resumen!$B$11,"",IF(H1719="",0,H1719)+G1720/Resumen!$B$9)</f>
        <v>1.05136698033658</v>
      </c>
      <c r="I1720" s="26" t="n">
        <f aca="false">IF(H1720="","",H1720-AVERAGE(H1672:H1768))</f>
        <v>-0.155193738140547</v>
      </c>
      <c r="J1720" s="27" t="n">
        <f aca="false">IF(I1720="","",Resumen!$B$10-(MAX(I1672:I1768)-I1720))</f>
        <v>1.45225015246358</v>
      </c>
    </row>
    <row r="1721" customFormat="false" ht="15" hidden="false" customHeight="false" outlineLevel="0" collapsed="false">
      <c r="A1721" s="24" t="n">
        <v>46279.3020833333</v>
      </c>
      <c r="B1721" s="10" t="n">
        <v>5.6679</v>
      </c>
      <c r="C1721" s="10" t="n">
        <v>3.899</v>
      </c>
      <c r="D1721" s="10" t="n">
        <f aca="false">IF(OR(B1721="",C1721="",B1721&lt;=0.05,C1721&lt;=0.05),0,1)</f>
        <v>1</v>
      </c>
      <c r="E1721" s="25" t="n">
        <f aca="false">IF(OR(A1721&lt;Resumen!$B$6,A1721&gt;=Resumen!$B$7),0,MAX(0,AVERAGEIFS(B1673:B1769,D1673:D1769,1)-Resumen!$B$5*AVERAGEIFS(C1673:C1769,D1673:D1769,1)))</f>
        <v>1.21826715979382</v>
      </c>
      <c r="F1721" s="10" t="n">
        <f aca="false">IF(B1721="","",(B1721-E1721)/Resumen!$B$5)</f>
        <v>3.53425960302318</v>
      </c>
      <c r="G1721" s="10" t="n">
        <f aca="false">IF(OR(F1721="",C1721=""),0,(F1721-C1721)*0.9)</f>
        <v>-0.328266357279137</v>
      </c>
      <c r="H1721" s="26" t="n">
        <f aca="false">IF(A1721&lt;Resumen!$B$11,"",IF(H1720="",0,H1720)+G1721/Resumen!$B$9)</f>
        <v>1.03585019404257</v>
      </c>
      <c r="I1721" s="26" t="n">
        <f aca="false">IF(H1721="","",H1721-AVERAGE(H1673:H1769))</f>
        <v>-0.170364428373927</v>
      </c>
      <c r="J1721" s="27" t="n">
        <f aca="false">IF(I1721="","",Resumen!$B$10-(MAX(I1673:I1769)-I1721))</f>
        <v>1.4370794622302</v>
      </c>
    </row>
    <row r="1722" customFormat="false" ht="15" hidden="false" customHeight="false" outlineLevel="0" collapsed="false">
      <c r="A1722" s="24" t="n">
        <v>46279.3125</v>
      </c>
      <c r="B1722" s="10" t="n">
        <v>5.8903</v>
      </c>
      <c r="C1722" s="10" t="n">
        <v>4.3493</v>
      </c>
      <c r="D1722" s="10" t="n">
        <f aca="false">IF(OR(B1722="",C1722="",B1722&lt;=0.05,C1722&lt;=0.05),0,1)</f>
        <v>1</v>
      </c>
      <c r="E1722" s="25" t="n">
        <f aca="false">IF(OR(A1722&lt;Resumen!$B$6,A1722&gt;=Resumen!$B$7),0,MAX(0,AVERAGEIFS(B1674:B1770,D1674:D1770,1)-Resumen!$B$5*AVERAGEIFS(C1674:C1770,D1674:D1770,1)))</f>
        <v>1.22576829793815</v>
      </c>
      <c r="F1722" s="10" t="n">
        <f aca="false">IF(B1722="","",(B1722-E1722)/Resumen!$B$5)</f>
        <v>3.70494972363928</v>
      </c>
      <c r="G1722" s="10" t="n">
        <f aca="false">IF(OR(F1722="",C1722=""),0,(F1722-C1722)*0.9)</f>
        <v>-0.579915248724648</v>
      </c>
      <c r="H1722" s="26" t="n">
        <f aca="false">IF(A1722&lt;Resumen!$B$11,"",IF(H1721="",0,H1721)+G1722/Resumen!$B$9)</f>
        <v>1.00843824401005</v>
      </c>
      <c r="I1722" s="26" t="n">
        <f aca="false">IF(H1722="","",H1722-AVERAGE(H1674:H1770))</f>
        <v>-0.197474450181392</v>
      </c>
      <c r="J1722" s="27" t="n">
        <f aca="false">IF(I1722="","",Resumen!$B$10-(MAX(I1674:I1770)-I1722))</f>
        <v>1.40996944042273</v>
      </c>
    </row>
    <row r="1723" customFormat="false" ht="15" hidden="false" customHeight="false" outlineLevel="0" collapsed="false">
      <c r="A1723" s="24" t="n">
        <v>46279.3229166667</v>
      </c>
      <c r="B1723" s="10" t="n">
        <v>6.3298</v>
      </c>
      <c r="C1723" s="10" t="n">
        <v>3.306</v>
      </c>
      <c r="D1723" s="10" t="n">
        <f aca="false">IF(OR(B1723="",C1723="",B1723&lt;=0.05,C1723&lt;=0.05),0,1)</f>
        <v>1</v>
      </c>
      <c r="E1723" s="25" t="n">
        <f aca="false">IF(OR(A1723&lt;Resumen!$B$6,A1723&gt;=Resumen!$B$7),0,MAX(0,AVERAGEIFS(B1675:B1771,D1675:D1771,1)-Resumen!$B$5*AVERAGEIFS(C1675:C1771,D1675:D1771,1)))</f>
        <v>1.2138477556701</v>
      </c>
      <c r="F1723" s="10" t="n">
        <f aca="false">IF(B1723="","",(B1723-E1723)/Resumen!$B$5)</f>
        <v>4.0635045626131</v>
      </c>
      <c r="G1723" s="10" t="n">
        <f aca="false">IF(OR(F1723="",C1723=""),0,(F1723-C1723)*0.9)</f>
        <v>0.681754106351792</v>
      </c>
      <c r="H1723" s="26" t="n">
        <f aca="false">IF(A1723&lt;Resumen!$B$11,"",IF(H1722="",0,H1722)+G1723/Resumen!$B$9)</f>
        <v>1.0406640037894</v>
      </c>
      <c r="I1723" s="26" t="n">
        <f aca="false">IF(H1723="","",H1723-AVERAGE(H1675:H1771))</f>
        <v>-0.164324696051679</v>
      </c>
      <c r="J1723" s="27" t="n">
        <f aca="false">IF(I1723="","",Resumen!$B$10-(MAX(I1675:I1771)-I1723))</f>
        <v>1.44311919455244</v>
      </c>
    </row>
    <row r="1724" customFormat="false" ht="15" hidden="false" customHeight="false" outlineLevel="0" collapsed="false">
      <c r="A1724" s="24" t="n">
        <v>46279.3333333333</v>
      </c>
      <c r="B1724" s="10" t="n">
        <v>8.4363</v>
      </c>
      <c r="C1724" s="10" t="n">
        <v>4.079</v>
      </c>
      <c r="D1724" s="10" t="n">
        <f aca="false">IF(OR(B1724="",C1724="",B1724&lt;=0.05,C1724&lt;=0.05),0,1)</f>
        <v>1</v>
      </c>
      <c r="E1724" s="25" t="n">
        <f aca="false">IF(OR(A1724&lt;Resumen!$B$6,A1724&gt;=Resumen!$B$7),0,MAX(0,AVERAGEIFS(B1676:B1772,D1676:D1772,1)-Resumen!$B$5*AVERAGEIFS(C1676:C1772,D1676:D1772,1)))</f>
        <v>1.23467795360825</v>
      </c>
      <c r="F1724" s="10" t="n">
        <f aca="false">IF(B1724="","",(B1724-E1724)/Resumen!$B$5)</f>
        <v>5.72011282477502</v>
      </c>
      <c r="G1724" s="10" t="n">
        <f aca="false">IF(OR(F1724="",C1724=""),0,(F1724-C1724)*0.9)</f>
        <v>1.47700154229752</v>
      </c>
      <c r="H1724" s="26" t="n">
        <f aca="false">IF(A1724&lt;Resumen!$B$11,"",IF(H1723="",0,H1723)+G1724/Resumen!$B$9)</f>
        <v>1.11048022704696</v>
      </c>
      <c r="I1724" s="26" t="n">
        <f aca="false">IF(H1724="","",H1724-AVERAGE(H1676:H1772))</f>
        <v>-0.0940781888885189</v>
      </c>
      <c r="J1724" s="27" t="n">
        <f aca="false">IF(I1724="","",Resumen!$B$10-(MAX(I1676:I1772)-I1724))</f>
        <v>1.5133657017156</v>
      </c>
    </row>
    <row r="1725" customFormat="false" ht="15" hidden="false" customHeight="false" outlineLevel="0" collapsed="false">
      <c r="A1725" s="24" t="n">
        <v>46279.34375</v>
      </c>
      <c r="B1725" s="10" t="n">
        <v>5.6785</v>
      </c>
      <c r="C1725" s="10" t="n">
        <v>3.9485</v>
      </c>
      <c r="D1725" s="10" t="n">
        <f aca="false">IF(OR(B1725="",C1725="",B1725&lt;=0.05,C1725&lt;=0.05),0,1)</f>
        <v>1</v>
      </c>
      <c r="E1725" s="25" t="n">
        <f aca="false">IF(OR(A1725&lt;Resumen!$B$6,A1725&gt;=Resumen!$B$7),0,MAX(0,AVERAGEIFS(B1677:B1773,D1677:D1773,1)-Resumen!$B$5*AVERAGEIFS(C1677:C1773,D1677:D1773,1)))</f>
        <v>1.24079189896907</v>
      </c>
      <c r="F1725" s="10" t="n">
        <f aca="false">IF(B1725="","",(B1725-E1725)/Resumen!$B$5)</f>
        <v>3.5247880071731</v>
      </c>
      <c r="G1725" s="10" t="n">
        <f aca="false">IF(OR(F1725="",C1725=""),0,(F1725-C1725)*0.9)</f>
        <v>-0.381340793544215</v>
      </c>
      <c r="H1725" s="26" t="n">
        <f aca="false">IF(A1725&lt;Resumen!$B$11,"",IF(H1724="",0,H1724)+G1725/Resumen!$B$9)</f>
        <v>1.09245467106963</v>
      </c>
      <c r="I1725" s="26" t="n">
        <f aca="false">IF(H1725="","",H1725-AVERAGE(H1677:H1773))</f>
        <v>-0.111679574751854</v>
      </c>
      <c r="J1725" s="27" t="n">
        <f aca="false">IF(I1725="","",Resumen!$B$10-(MAX(I1677:I1773)-I1725))</f>
        <v>1.49576431585227</v>
      </c>
    </row>
    <row r="1726" customFormat="false" ht="15" hidden="false" customHeight="false" outlineLevel="0" collapsed="false">
      <c r="A1726" s="24" t="n">
        <v>46279.3541666667</v>
      </c>
      <c r="B1726" s="10" t="n">
        <v>8.6917</v>
      </c>
      <c r="C1726" s="10" t="n">
        <v>4.1842</v>
      </c>
      <c r="D1726" s="10" t="n">
        <f aca="false">IF(OR(B1726="",C1726="",B1726&lt;=0.05,C1726&lt;=0.05),0,1)</f>
        <v>1</v>
      </c>
      <c r="E1726" s="25" t="n">
        <f aca="false">IF(OR(A1726&lt;Resumen!$B$6,A1726&gt;=Resumen!$B$7),0,MAX(0,AVERAGEIFS(B1678:B1774,D1678:D1774,1)-Resumen!$B$5*AVERAGEIFS(C1678:C1774,D1678:D1774,1)))</f>
        <v>1.23939688556701</v>
      </c>
      <c r="F1726" s="10" t="n">
        <f aca="false">IF(B1726="","",(B1726-E1726)/Resumen!$B$5)</f>
        <v>5.91922407818347</v>
      </c>
      <c r="G1726" s="10" t="n">
        <f aca="false">IF(OR(F1726="",C1726=""),0,(F1726-C1726)*0.9)</f>
        <v>1.56152167036512</v>
      </c>
      <c r="H1726" s="26" t="n">
        <f aca="false">IF(A1726&lt;Resumen!$B$11,"",IF(H1725="",0,H1725)+G1726/Resumen!$B$9)</f>
        <v>1.16626606695358</v>
      </c>
      <c r="I1726" s="26" t="n">
        <f aca="false">IF(H1726="","",H1726-AVERAGE(H1678:H1774))</f>
        <v>-0.0371958635414329</v>
      </c>
      <c r="J1726" s="27" t="n">
        <f aca="false">IF(I1726="","",Resumen!$B$10-(MAX(I1678:I1774)-I1726))</f>
        <v>1.57024802706269</v>
      </c>
    </row>
    <row r="1727" customFormat="false" ht="15" hidden="false" customHeight="false" outlineLevel="0" collapsed="false">
      <c r="A1727" s="24" t="n">
        <v>46279.3645833333</v>
      </c>
      <c r="B1727" s="10" t="n">
        <v>5.5267</v>
      </c>
      <c r="C1727" s="10" t="n">
        <v>3.623</v>
      </c>
      <c r="D1727" s="10" t="n">
        <f aca="false">IF(OR(B1727="",C1727="",B1727&lt;=0.05,C1727&lt;=0.05),0,1)</f>
        <v>1</v>
      </c>
      <c r="E1727" s="25" t="n">
        <f aca="false">IF(OR(A1727&lt;Resumen!$B$6,A1727&gt;=Resumen!$B$7),0,MAX(0,AVERAGEIFS(B1679:B1775,D1679:D1775,1)-Resumen!$B$5*AVERAGEIFS(C1679:C1775,D1679:D1775,1)))</f>
        <v>1.24436910412371</v>
      </c>
      <c r="F1727" s="10" t="n">
        <f aca="false">IF(B1727="","",(B1727-E1727)/Resumen!$B$5)</f>
        <v>3.40137481801135</v>
      </c>
      <c r="G1727" s="10" t="n">
        <f aca="false">IF(OR(F1727="",C1727=""),0,(F1727-C1727)*0.9)</f>
        <v>-0.199462663789786</v>
      </c>
      <c r="H1727" s="26" t="n">
        <f aca="false">IF(A1727&lt;Resumen!$B$11,"",IF(H1726="",0,H1726)+G1727/Resumen!$B$9)</f>
        <v>1.15683768826344</v>
      </c>
      <c r="I1727" s="26" t="n">
        <f aca="false">IF(H1727="","",H1727-AVERAGE(H1679:H1775))</f>
        <v>-0.0459368301137122</v>
      </c>
      <c r="J1727" s="27" t="n">
        <f aca="false">IF(I1727="","",Resumen!$B$10-(MAX(I1679:I1775)-I1727))</f>
        <v>1.56150706049041</v>
      </c>
    </row>
    <row r="1728" customFormat="false" ht="15" hidden="false" customHeight="false" outlineLevel="0" collapsed="false">
      <c r="A1728" s="24" t="n">
        <v>46279.375</v>
      </c>
      <c r="B1728" s="10" t="n">
        <v>7.204</v>
      </c>
      <c r="C1728" s="10" t="n">
        <v>4.0893</v>
      </c>
      <c r="D1728" s="10" t="n">
        <f aca="false">IF(OR(B1728="",C1728="",B1728&lt;=0.05,C1728&lt;=0.05),0,1)</f>
        <v>1</v>
      </c>
      <c r="E1728" s="25" t="n">
        <f aca="false">IF(OR(A1728&lt;Resumen!$B$6,A1728&gt;=Resumen!$B$7),0,MAX(0,AVERAGEIFS(B1680:B1776,D1680:D1776,1)-Resumen!$B$5*AVERAGEIFS(C1680:C1776,D1680:D1776,1)))</f>
        <v>1.24948174329897</v>
      </c>
      <c r="F1728" s="10" t="n">
        <f aca="false">IF(B1728="","",(B1728-E1728)/Resumen!$B$5)</f>
        <v>4.7295617606839</v>
      </c>
      <c r="G1728" s="10" t="n">
        <f aca="false">IF(OR(F1728="",C1728=""),0,(F1728-C1728)*0.9)</f>
        <v>0.576235584615511</v>
      </c>
      <c r="H1728" s="26" t="n">
        <f aca="false">IF(A1728&lt;Resumen!$B$11,"",IF(H1727="",0,H1727)+G1728/Resumen!$B$9)</f>
        <v>1.1840757046584</v>
      </c>
      <c r="I1728" s="26" t="n">
        <f aca="false">IF(H1728="","",H1728-AVERAGE(H1680:H1776))</f>
        <v>-0.0180037740540377</v>
      </c>
      <c r="J1728" s="27" t="n">
        <f aca="false">IF(I1728="","",Resumen!$B$10-(MAX(I1680:I1776)-I1728))</f>
        <v>1.58944011655009</v>
      </c>
    </row>
    <row r="1729" customFormat="false" ht="15" hidden="false" customHeight="false" outlineLevel="0" collapsed="false">
      <c r="A1729" s="24" t="n">
        <v>46279.3854166667</v>
      </c>
      <c r="B1729" s="10" t="n">
        <v>6.1279</v>
      </c>
      <c r="C1729" s="10" t="n">
        <v>3.4284</v>
      </c>
      <c r="D1729" s="10" t="n">
        <f aca="false">IF(OR(B1729="",C1729="",B1729&lt;=0.05,C1729&lt;=0.05),0,1)</f>
        <v>1</v>
      </c>
      <c r="E1729" s="25" t="n">
        <f aca="false">IF(OR(A1729&lt;Resumen!$B$6,A1729&gt;=Resumen!$B$7),0,MAX(0,AVERAGEIFS(B1681:B1777,D1681:D1777,1)-Resumen!$B$5*AVERAGEIFS(C1681:C1777,D1681:D1777,1)))</f>
        <v>1.24821036391753</v>
      </c>
      <c r="F1729" s="10" t="n">
        <f aca="false">IF(B1729="","",(B1729-E1729)/Resumen!$B$5)</f>
        <v>3.87584562039911</v>
      </c>
      <c r="G1729" s="10" t="n">
        <f aca="false">IF(OR(F1729="",C1729=""),0,(F1729-C1729)*0.9)</f>
        <v>0.402701058359196</v>
      </c>
      <c r="H1729" s="26" t="n">
        <f aca="false">IF(A1729&lt;Resumen!$B$11,"",IF(H1728="",0,H1728)+G1729/Resumen!$B$9)</f>
        <v>1.20311093664111</v>
      </c>
      <c r="I1729" s="26" t="n">
        <f aca="false">IF(H1729="","",H1729-AVERAGE(H1681:H1777))</f>
        <v>0.00195077056346471</v>
      </c>
      <c r="J1729" s="27" t="n">
        <f aca="false">IF(I1729="","",Resumen!$B$10-(MAX(I1681:I1777)-I1729))</f>
        <v>1.60939466116759</v>
      </c>
    </row>
    <row r="1730" customFormat="false" ht="15" hidden="false" customHeight="false" outlineLevel="0" collapsed="false">
      <c r="A1730" s="24" t="n">
        <v>46279.3958333333</v>
      </c>
      <c r="B1730" s="10" t="n">
        <v>6.3776</v>
      </c>
      <c r="C1730" s="10" t="n">
        <v>3.1799</v>
      </c>
      <c r="D1730" s="10" t="n">
        <f aca="false">IF(OR(B1730="",C1730="",B1730&lt;=0.05,C1730&lt;=0.05),0,1)</f>
        <v>1</v>
      </c>
      <c r="E1730" s="25" t="n">
        <f aca="false">IF(OR(A1730&lt;Resumen!$B$6,A1730&gt;=Resumen!$B$7),0,MAX(0,AVERAGEIFS(B1682:B1778,D1682:D1778,1)-Resumen!$B$5*AVERAGEIFS(C1682:C1778,D1682:D1778,1)))</f>
        <v>1.26128939690722</v>
      </c>
      <c r="F1730" s="10" t="n">
        <f aca="false">IF(B1730="","",(B1730-E1730)/Resumen!$B$5)</f>
        <v>4.06378920023255</v>
      </c>
      <c r="G1730" s="10" t="n">
        <f aca="false">IF(OR(F1730="",C1730=""),0,(F1730-C1730)*0.9)</f>
        <v>0.795500280209297</v>
      </c>
      <c r="H1730" s="26" t="n">
        <f aca="false">IF(A1730&lt;Resumen!$B$11,"",IF(H1729="",0,H1729)+G1730/Resumen!$B$9)</f>
        <v>1.24071335178697</v>
      </c>
      <c r="I1730" s="26" t="n">
        <f aca="false">IF(H1730="","",H1730-AVERAGE(H1682:H1778))</f>
        <v>0.0402068929463202</v>
      </c>
      <c r="J1730" s="27" t="n">
        <f aca="false">IF(I1730="","",Resumen!$B$10-(MAX(I1682:I1778)-I1730))</f>
        <v>1.64765078355044</v>
      </c>
    </row>
    <row r="1731" customFormat="false" ht="15" hidden="false" customHeight="false" outlineLevel="0" collapsed="false">
      <c r="A1731" s="24" t="n">
        <v>46279.40625</v>
      </c>
      <c r="B1731" s="10" t="n">
        <v>6.8525</v>
      </c>
      <c r="C1731" s="10" t="n">
        <v>4.5397</v>
      </c>
      <c r="D1731" s="10" t="n">
        <f aca="false">IF(OR(B1731="",C1731="",B1731&lt;=0.05,C1731&lt;=0.05),0,1)</f>
        <v>1</v>
      </c>
      <c r="E1731" s="25" t="n">
        <f aca="false">IF(OR(A1731&lt;Resumen!$B$6,A1731&gt;=Resumen!$B$7),0,MAX(0,AVERAGEIFS(B1683:B1779,D1683:D1779,1)-Resumen!$B$5*AVERAGEIFS(C1683:C1779,D1683:D1779,1)))</f>
        <v>1.26259059793814</v>
      </c>
      <c r="F1731" s="10" t="n">
        <f aca="false">IF(B1731="","",(B1731-E1731)/Resumen!$B$5)</f>
        <v>4.43995981101021</v>
      </c>
      <c r="G1731" s="10" t="n">
        <f aca="false">IF(OR(F1731="",C1731=""),0,(F1731-C1731)*0.9)</f>
        <v>-0.08976617009081</v>
      </c>
      <c r="H1731" s="26" t="n">
        <f aca="false">IF(A1731&lt;Resumen!$B$11,"",IF(H1730="",0,H1730)+G1731/Resumen!$B$9)</f>
        <v>1.23647020457787</v>
      </c>
      <c r="I1731" s="26" t="n">
        <f aca="false">IF(H1731="","",H1731-AVERAGE(H1683:H1779))</f>
        <v>0.0367429531928742</v>
      </c>
      <c r="J1731" s="27" t="n">
        <f aca="false">IF(I1731="","",Resumen!$B$10-(MAX(I1683:I1779)-I1731))</f>
        <v>1.644186843797</v>
      </c>
    </row>
    <row r="1732" customFormat="false" ht="15" hidden="false" customHeight="false" outlineLevel="0" collapsed="false">
      <c r="A1732" s="24" t="n">
        <v>46279.4166666667</v>
      </c>
      <c r="B1732" s="10" t="n">
        <v>6.9494</v>
      </c>
      <c r="C1732" s="10" t="n">
        <v>4.7416</v>
      </c>
      <c r="D1732" s="10" t="n">
        <f aca="false">IF(OR(B1732="",C1732="",B1732&lt;=0.05,C1732&lt;=0.05),0,1)</f>
        <v>1</v>
      </c>
      <c r="E1732" s="25" t="n">
        <f aca="false">IF(OR(A1732&lt;Resumen!$B$6,A1732&gt;=Resumen!$B$7),0,MAX(0,AVERAGEIFS(B1684:B1780,D1684:D1780,1)-Resumen!$B$5*AVERAGEIFS(C1684:C1780,D1684:D1780,1)))</f>
        <v>1.26040729278351</v>
      </c>
      <c r="F1732" s="10" t="n">
        <f aca="false">IF(B1732="","",(B1732-E1732)/Resumen!$B$5)</f>
        <v>4.51865981510444</v>
      </c>
      <c r="G1732" s="10" t="n">
        <f aca="false">IF(OR(F1732="",C1732=""),0,(F1732-C1732)*0.9)</f>
        <v>-0.200646166406001</v>
      </c>
      <c r="H1732" s="26" t="n">
        <f aca="false">IF(A1732&lt;Resumen!$B$11,"",IF(H1731="",0,H1731)+G1732/Resumen!$B$9)</f>
        <v>1.22698588303289</v>
      </c>
      <c r="I1732" s="26" t="n">
        <f aca="false">IF(H1732="","",H1732-AVERAGE(H1684:H1780))</f>
        <v>0.028278098870324</v>
      </c>
      <c r="J1732" s="27" t="n">
        <f aca="false">IF(I1732="","",Resumen!$B$10-(MAX(I1684:I1780)-I1732))</f>
        <v>1.63572198947445</v>
      </c>
    </row>
    <row r="1733" customFormat="false" ht="15" hidden="false" customHeight="false" outlineLevel="0" collapsed="false">
      <c r="A1733" s="24" t="n">
        <v>46279.4270833333</v>
      </c>
      <c r="B1733" s="10" t="n">
        <v>6.9187</v>
      </c>
      <c r="C1733" s="10" t="n">
        <v>5.6063</v>
      </c>
      <c r="D1733" s="10" t="n">
        <f aca="false">IF(OR(B1733="",C1733="",B1733&lt;=0.05,C1733&lt;=0.05),0,1)</f>
        <v>1</v>
      </c>
      <c r="E1733" s="25" t="n">
        <f aca="false">IF(OR(A1733&lt;Resumen!$B$6,A1733&gt;=Resumen!$B$7),0,MAX(0,AVERAGEIFS(B1685:B1781,D1685:D1781,1)-Resumen!$B$5*AVERAGEIFS(C1685:C1781,D1685:D1781,1)))</f>
        <v>1.25380791340206</v>
      </c>
      <c r="F1733" s="10" t="n">
        <f aca="false">IF(B1733="","",(B1733-E1733)/Resumen!$B$5)</f>
        <v>4.49951714582839</v>
      </c>
      <c r="G1733" s="10" t="n">
        <f aca="false">IF(OR(F1733="",C1733=""),0,(F1733-C1733)*0.9)</f>
        <v>-0.996104568754453</v>
      </c>
      <c r="H1733" s="26" t="n">
        <f aca="false">IF(A1733&lt;Resumen!$B$11,"",IF(H1732="",0,H1732)+G1733/Resumen!$B$9)</f>
        <v>1.17990112586205</v>
      </c>
      <c r="I1733" s="26" t="n">
        <f aca="false">IF(H1733="","",H1733-AVERAGE(H1685:H1781))</f>
        <v>-0.0173968539554406</v>
      </c>
      <c r="J1733" s="27" t="n">
        <f aca="false">IF(I1733="","",Resumen!$B$10-(MAX(I1685:I1781)-I1733))</f>
        <v>1.59004703664868</v>
      </c>
    </row>
    <row r="1734" customFormat="false" ht="15" hidden="false" customHeight="false" outlineLevel="0" collapsed="false">
      <c r="A1734" s="24" t="n">
        <v>46279.4375</v>
      </c>
      <c r="B1734" s="10" t="n">
        <v>9.1798</v>
      </c>
      <c r="C1734" s="10" t="n">
        <v>5.2798</v>
      </c>
      <c r="D1734" s="10" t="n">
        <f aca="false">IF(OR(B1734="",C1734="",B1734&lt;=0.05,C1734&lt;=0.05),0,1)</f>
        <v>1</v>
      </c>
      <c r="E1734" s="25" t="n">
        <f aca="false">IF(OR(A1734&lt;Resumen!$B$6,A1734&gt;=Resumen!$B$7),0,MAX(0,AVERAGEIFS(B1686:B1782,D1686:D1782,1)-Resumen!$B$5*AVERAGEIFS(C1686:C1782,D1686:D1782,1)))</f>
        <v>1.2557052814433</v>
      </c>
      <c r="F1734" s="10" t="n">
        <f aca="false">IF(B1734="","",(B1734-E1734)/Resumen!$B$5)</f>
        <v>6.29395926811493</v>
      </c>
      <c r="G1734" s="10" t="n">
        <f aca="false">IF(OR(F1734="",C1734=""),0,(F1734-C1734)*0.9)</f>
        <v>0.91274334130344</v>
      </c>
      <c r="H1734" s="26" t="n">
        <f aca="false">IF(A1734&lt;Resumen!$B$11,"",IF(H1733="",0,H1733)+G1734/Resumen!$B$9)</f>
        <v>1.22304549035213</v>
      </c>
      <c r="I1734" s="26" t="n">
        <f aca="false">IF(H1734="","",H1734-AVERAGE(H1686:H1782))</f>
        <v>0.027270414537097</v>
      </c>
      <c r="J1734" s="27" t="n">
        <f aca="false">IF(I1734="","",Resumen!$B$10-(MAX(I1686:I1782)-I1734))</f>
        <v>1.63471430514122</v>
      </c>
    </row>
    <row r="1735" customFormat="false" ht="15" hidden="false" customHeight="false" outlineLevel="0" collapsed="false">
      <c r="A1735" s="24" t="n">
        <v>46279.4479166667</v>
      </c>
      <c r="B1735" s="10" t="n">
        <v>6.3326</v>
      </c>
      <c r="C1735" s="10" t="n">
        <v>3.8285</v>
      </c>
      <c r="D1735" s="10" t="n">
        <f aca="false">IF(OR(B1735="",C1735="",B1735&lt;=0.05,C1735&lt;=0.05),0,1)</f>
        <v>1</v>
      </c>
      <c r="E1735" s="25" t="n">
        <f aca="false">IF(OR(A1735&lt;Resumen!$B$6,A1735&gt;=Resumen!$B$7),0,MAX(0,AVERAGEIFS(B1687:B1783,D1687:D1783,1)-Resumen!$B$5*AVERAGEIFS(C1687:C1783,D1687:D1783,1)))</f>
        <v>1.25608471958763</v>
      </c>
      <c r="F1735" s="10" t="n">
        <f aca="false">IF(B1735="","",(B1735-E1735)/Resumen!$B$5)</f>
        <v>4.03218052455312</v>
      </c>
      <c r="G1735" s="10" t="n">
        <f aca="false">IF(OR(F1735="",C1735=""),0,(F1735-C1735)*0.9)</f>
        <v>0.183312472097804</v>
      </c>
      <c r="H1735" s="26" t="n">
        <f aca="false">IF(A1735&lt;Resumen!$B$11,"",IF(H1734="",0,H1734)+G1735/Resumen!$B$9)</f>
        <v>1.23171046740962</v>
      </c>
      <c r="I1735" s="26" t="n">
        <f aca="false">IF(H1735="","",H1735-AVERAGE(H1687:H1783))</f>
        <v>0.0376144691343348</v>
      </c>
      <c r="J1735" s="27" t="n">
        <f aca="false">IF(I1735="","",Resumen!$B$10-(MAX(I1687:I1783)-I1735))</f>
        <v>1.64505835973846</v>
      </c>
    </row>
    <row r="1736" customFormat="false" ht="15" hidden="false" customHeight="false" outlineLevel="0" collapsed="false">
      <c r="A1736" s="24" t="n">
        <v>46279.4583333333</v>
      </c>
      <c r="B1736" s="10" t="n">
        <v>9.3521</v>
      </c>
      <c r="C1736" s="10" t="n">
        <v>3.8303</v>
      </c>
      <c r="D1736" s="10" t="n">
        <f aca="false">IF(OR(B1736="",C1736="",B1736&lt;=0.05,C1736&lt;=0.05),0,1)</f>
        <v>1</v>
      </c>
      <c r="E1736" s="25" t="n">
        <f aca="false">IF(OR(A1736&lt;Resumen!$B$6,A1736&gt;=Resumen!$B$7),0,MAX(0,AVERAGEIFS(B1688:B1784,D1688:D1784,1)-Resumen!$B$5*AVERAGEIFS(C1688:C1784,D1688:D1784,1)))</f>
        <v>1.26791785670103</v>
      </c>
      <c r="F1736" s="10" t="n">
        <f aca="false">IF(B1736="","",(B1736-E1736)/Resumen!$B$5)</f>
        <v>6.42111369602778</v>
      </c>
      <c r="G1736" s="10" t="n">
        <f aca="false">IF(OR(F1736="",C1736=""),0,(F1736-C1736)*0.9)</f>
        <v>2.331732326425</v>
      </c>
      <c r="H1736" s="26" t="n">
        <f aca="false">IF(A1736&lt;Resumen!$B$11,"",IF(H1735="",0,H1735)+G1736/Resumen!$B$9)</f>
        <v>1.34192886598037</v>
      </c>
      <c r="I1736" s="26" t="n">
        <f aca="false">IF(H1736="","",H1736-AVERAGE(H1688:H1784))</f>
        <v>0.149281120834199</v>
      </c>
      <c r="J1736" s="27" t="n">
        <f aca="false">IF(I1736="","",Resumen!$B$10-(MAX(I1688:I1784)-I1736))</f>
        <v>1.75672501143832</v>
      </c>
    </row>
    <row r="1737" customFormat="false" ht="15" hidden="false" customHeight="false" outlineLevel="0" collapsed="false">
      <c r="A1737" s="24" t="n">
        <v>46279.46875</v>
      </c>
      <c r="B1737" s="10" t="n">
        <v>7.1454</v>
      </c>
      <c r="C1737" s="10" t="n">
        <v>5.0538</v>
      </c>
      <c r="D1737" s="10" t="n">
        <f aca="false">IF(OR(B1737="",C1737="",B1737&lt;=0.05,C1737&lt;=0.05),0,1)</f>
        <v>1</v>
      </c>
      <c r="E1737" s="25" t="n">
        <f aca="false">IF(OR(A1737&lt;Resumen!$B$6,A1737&gt;=Resumen!$B$7),0,MAX(0,AVERAGEIFS(B1689:B1785,D1689:D1785,1)-Resumen!$B$5*AVERAGEIFS(C1689:C1785,D1689:D1785,1)))</f>
        <v>1.27716249072165</v>
      </c>
      <c r="F1737" s="10" t="n">
        <f aca="false">IF(B1737="","",(B1737-E1737)/Resumen!$B$5)</f>
        <v>4.66103058719488</v>
      </c>
      <c r="G1737" s="10" t="n">
        <f aca="false">IF(OR(F1737="",C1737=""),0,(F1737-C1737)*0.9)</f>
        <v>-0.35349247152461</v>
      </c>
      <c r="H1737" s="26" t="n">
        <f aca="false">IF(A1737&lt;Resumen!$B$11,"",IF(H1736="",0,H1736)+G1737/Resumen!$B$9)</f>
        <v>1.32521966926996</v>
      </c>
      <c r="I1737" s="26" t="n">
        <f aca="false">IF(H1737="","",H1737-AVERAGE(H1689:H1785))</f>
        <v>0.13386327228377</v>
      </c>
      <c r="J1737" s="27" t="n">
        <f aca="false">IF(I1737="","",Resumen!$B$10-(MAX(I1689:I1785)-I1737))</f>
        <v>1.74130716288789</v>
      </c>
    </row>
    <row r="1738" customFormat="false" ht="15" hidden="false" customHeight="false" outlineLevel="0" collapsed="false">
      <c r="A1738" s="24" t="n">
        <v>46279.4791666667</v>
      </c>
      <c r="B1738" s="10" t="n">
        <v>6.7586</v>
      </c>
      <c r="C1738" s="10" t="n">
        <v>4.6837</v>
      </c>
      <c r="D1738" s="10" t="n">
        <f aca="false">IF(OR(B1738="",C1738="",B1738&lt;=0.05,C1738&lt;=0.05),0,1)</f>
        <v>1</v>
      </c>
      <c r="E1738" s="25" t="n">
        <f aca="false">IF(OR(A1738&lt;Resumen!$B$6,A1738&gt;=Resumen!$B$7),0,MAX(0,AVERAGEIFS(B1690:B1786,D1690:D1786,1)-Resumen!$B$5*AVERAGEIFS(C1690:C1786,D1690:D1786,1)))</f>
        <v>1.28789700103093</v>
      </c>
      <c r="F1738" s="10" t="n">
        <f aca="false">IF(B1738="","",(B1738-E1738)/Resumen!$B$5)</f>
        <v>4.34527640903024</v>
      </c>
      <c r="G1738" s="10" t="n">
        <f aca="false">IF(OR(F1738="",C1738=""),0,(F1738-C1738)*0.9)</f>
        <v>-0.304581231872783</v>
      </c>
      <c r="H1738" s="26" t="n">
        <f aca="false">IF(A1738&lt;Resumen!$B$11,"",IF(H1737="",0,H1737)+G1738/Resumen!$B$9)</f>
        <v>1.31082245256061</v>
      </c>
      <c r="I1738" s="26" t="n">
        <f aca="false">IF(H1738="","",H1738-AVERAGE(H1690:H1786))</f>
        <v>0.12055436819283</v>
      </c>
      <c r="J1738" s="27" t="n">
        <f aca="false">IF(I1738="","",Resumen!$B$10-(MAX(I1690:I1786)-I1738))</f>
        <v>1.72799825879695</v>
      </c>
    </row>
    <row r="1739" customFormat="false" ht="15" hidden="false" customHeight="false" outlineLevel="0" collapsed="false">
      <c r="A1739" s="24" t="n">
        <v>46279.4895833333</v>
      </c>
      <c r="B1739" s="10" t="n">
        <v>5.879</v>
      </c>
      <c r="C1739" s="10" t="n">
        <v>3.3277</v>
      </c>
      <c r="D1739" s="10" t="n">
        <f aca="false">IF(OR(B1739="",C1739="",B1739&lt;=0.05,C1739&lt;=0.05),0,1)</f>
        <v>1</v>
      </c>
      <c r="E1739" s="25" t="n">
        <f aca="false">IF(OR(A1739&lt;Resumen!$B$6,A1739&gt;=Resumen!$B$7),0,MAX(0,AVERAGEIFS(B1691:B1787,D1691:D1787,1)-Resumen!$B$5*AVERAGEIFS(C1691:C1787,D1691:D1787,1)))</f>
        <v>1.303696</v>
      </c>
      <c r="F1739" s="10" t="n">
        <f aca="false">IF(B1739="","",(B1739-E1739)/Resumen!$B$5)</f>
        <v>3.6340778395552</v>
      </c>
      <c r="G1739" s="10" t="n">
        <f aca="false">IF(OR(F1739="",C1739=""),0,(F1739-C1739)*0.9)</f>
        <v>0.275740055599682</v>
      </c>
      <c r="H1739" s="26" t="n">
        <f aca="false">IF(A1739&lt;Resumen!$B$11,"",IF(H1738="",0,H1738)+G1739/Resumen!$B$9)</f>
        <v>1.32385637888465</v>
      </c>
      <c r="I1739" s="26" t="n">
        <f aca="false">IF(H1739="","",H1739-AVERAGE(H1691:H1787))</f>
        <v>0.13430558535818</v>
      </c>
      <c r="J1739" s="27" t="n">
        <f aca="false">IF(I1739="","",Resumen!$B$10-(MAX(I1691:I1787)-I1739))</f>
        <v>1.7417494759623</v>
      </c>
    </row>
    <row r="1740" customFormat="false" ht="15" hidden="false" customHeight="false" outlineLevel="0" collapsed="false">
      <c r="A1740" s="24" t="n">
        <v>46279.5</v>
      </c>
      <c r="B1740" s="10" t="n">
        <v>5.781</v>
      </c>
      <c r="C1740" s="10" t="n">
        <v>3.6841</v>
      </c>
      <c r="D1740" s="10" t="n">
        <f aca="false">IF(OR(B1740="",C1740="",B1740&lt;=0.05,C1740&lt;=0.05),0,1)</f>
        <v>1</v>
      </c>
      <c r="E1740" s="25" t="n">
        <f aca="false">IF(OR(A1740&lt;Resumen!$B$6,A1740&gt;=Resumen!$B$7),0,MAX(0,AVERAGEIFS(B1692:B1788,D1692:D1788,1)-Resumen!$B$5*AVERAGEIFS(C1692:C1788,D1692:D1788,1)))</f>
        <v>1.2996231556701</v>
      </c>
      <c r="F1740" s="10" t="n">
        <f aca="false">IF(B1740="","",(B1740-E1740)/Resumen!$B$5)</f>
        <v>3.55947326793479</v>
      </c>
      <c r="G1740" s="10" t="n">
        <f aca="false">IF(OR(F1740="",C1740=""),0,(F1740-C1740)*0.9)</f>
        <v>-0.112164058858692</v>
      </c>
      <c r="H1740" s="26" t="n">
        <f aca="false">IF(A1740&lt;Resumen!$B$11,"",IF(H1739="",0,H1739)+G1740/Resumen!$B$9)</f>
        <v>1.31855450833781</v>
      </c>
      <c r="I1740" s="26" t="n">
        <f aca="false">IF(H1740="","",H1740-AVERAGE(H1692:H1788))</f>
        <v>0.130017876016255</v>
      </c>
      <c r="J1740" s="27" t="n">
        <f aca="false">IF(I1740="","",Resumen!$B$10-(MAX(I1692:I1788)-I1740))</f>
        <v>1.73746176662038</v>
      </c>
    </row>
    <row r="1741" customFormat="false" ht="15" hidden="false" customHeight="false" outlineLevel="0" collapsed="false">
      <c r="A1741" s="24" t="n">
        <v>46279.5104166667</v>
      </c>
      <c r="B1741" s="10" t="n">
        <v>5.5018</v>
      </c>
      <c r="C1741" s="10" t="n">
        <v>3.8066</v>
      </c>
      <c r="D1741" s="10" t="n">
        <f aca="false">IF(OR(B1741="",C1741="",B1741&lt;=0.05,C1741&lt;=0.05),0,1)</f>
        <v>1</v>
      </c>
      <c r="E1741" s="25" t="n">
        <f aca="false">IF(OR(A1741&lt;Resumen!$B$6,A1741&gt;=Resumen!$B$7),0,MAX(0,AVERAGEIFS(B1693:B1789,D1693:D1789,1)-Resumen!$B$5*AVERAGEIFS(C1693:C1789,D1693:D1789,1)))</f>
        <v>1.29373221546392</v>
      </c>
      <c r="F1741" s="10" t="n">
        <f aca="false">IF(B1741="","",(B1741-E1741)/Resumen!$B$5)</f>
        <v>3.34238902663708</v>
      </c>
      <c r="G1741" s="10" t="n">
        <f aca="false">IF(OR(F1741="",C1741=""),0,(F1741-C1741)*0.9)</f>
        <v>-0.417789876026629</v>
      </c>
      <c r="H1741" s="26" t="n">
        <f aca="false">IF(A1741&lt;Resumen!$B$11,"",IF(H1740="",0,H1740)+G1741/Resumen!$B$9)</f>
        <v>1.29880604469433</v>
      </c>
      <c r="I1741" s="26" t="n">
        <f aca="false">IF(H1741="","",H1741-AVERAGE(H1693:H1789))</f>
        <v>0.111641880676146</v>
      </c>
      <c r="J1741" s="27" t="n">
        <f aca="false">IF(I1741="","",Resumen!$B$10-(MAX(I1693:I1789)-I1741))</f>
        <v>1.71908577128027</v>
      </c>
    </row>
    <row r="1742" customFormat="false" ht="15" hidden="false" customHeight="false" outlineLevel="0" collapsed="false">
      <c r="A1742" s="24" t="n">
        <v>46279.5208333333</v>
      </c>
      <c r="B1742" s="10" t="n">
        <v>6.5777</v>
      </c>
      <c r="C1742" s="10" t="n">
        <v>3.7542</v>
      </c>
      <c r="D1742" s="10" t="n">
        <f aca="false">IF(OR(B1742="",C1742="",B1742&lt;=0.05,C1742&lt;=0.05),0,1)</f>
        <v>1</v>
      </c>
      <c r="E1742" s="25" t="n">
        <f aca="false">IF(OR(A1742&lt;Resumen!$B$6,A1742&gt;=Resumen!$B$7),0,MAX(0,AVERAGEIFS(B1694:B1790,D1694:D1790,1)-Resumen!$B$5*AVERAGEIFS(C1694:C1790,D1694:D1790,1)))</f>
        <v>1.28585760927835</v>
      </c>
      <c r="F1742" s="10" t="n">
        <f aca="false">IF(B1742="","",(B1742-E1742)/Resumen!$B$5)</f>
        <v>4.20321079485437</v>
      </c>
      <c r="G1742" s="10" t="n">
        <f aca="false">IF(OR(F1742="",C1742=""),0,(F1742-C1742)*0.9)</f>
        <v>0.404109715368932</v>
      </c>
      <c r="H1742" s="26" t="n">
        <f aca="false">IF(A1742&lt;Resumen!$B$11,"",IF(H1741="",0,H1741)+G1742/Resumen!$B$9)</f>
        <v>1.31790786233012</v>
      </c>
      <c r="I1742" s="26" t="n">
        <f aca="false">IF(H1742="","",H1742-AVERAGE(H1694:H1790))</f>
        <v>0.132548149459573</v>
      </c>
      <c r="J1742" s="27" t="n">
        <f aca="false">IF(I1742="","",Resumen!$B$10-(MAX(I1694:I1790)-I1742))</f>
        <v>1.7399920400637</v>
      </c>
    </row>
    <row r="1743" customFormat="false" ht="15" hidden="false" customHeight="false" outlineLevel="0" collapsed="false">
      <c r="A1743" s="24" t="n">
        <v>46279.53125</v>
      </c>
      <c r="B1743" s="10" t="n">
        <v>6.4033</v>
      </c>
      <c r="C1743" s="10" t="n">
        <v>3.5065</v>
      </c>
      <c r="D1743" s="10" t="n">
        <f aca="false">IF(OR(B1743="",C1743="",B1743&lt;=0.05,C1743&lt;=0.05),0,1)</f>
        <v>1</v>
      </c>
      <c r="E1743" s="25" t="n">
        <f aca="false">IF(OR(A1743&lt;Resumen!$B$6,A1743&gt;=Resumen!$B$7),0,MAX(0,AVERAGEIFS(B1695:B1791,D1695:D1791,1)-Resumen!$B$5*AVERAGEIFS(C1695:C1791,D1695:D1791,1)))</f>
        <v>1.28745460103093</v>
      </c>
      <c r="F1743" s="10" t="n">
        <f aca="false">IF(B1743="","",(B1743-E1743)/Resumen!$B$5)</f>
        <v>4.06341969735431</v>
      </c>
      <c r="G1743" s="10" t="n">
        <f aca="false">IF(OR(F1743="",C1743=""),0,(F1743-C1743)*0.9)</f>
        <v>0.501227727618876</v>
      </c>
      <c r="H1743" s="26" t="n">
        <f aca="false">IF(A1743&lt;Resumen!$B$11,"",IF(H1742="",0,H1742)+G1743/Resumen!$B$9)</f>
        <v>1.34160034059245</v>
      </c>
      <c r="I1743" s="26" t="n">
        <f aca="false">IF(H1743="","",H1743-AVERAGE(H1695:H1791))</f>
        <v>0.158155389947168</v>
      </c>
      <c r="J1743" s="27" t="n">
        <f aca="false">IF(I1743="","",Resumen!$B$10-(MAX(I1695:I1791)-I1743))</f>
        <v>1.76559928055129</v>
      </c>
    </row>
    <row r="1744" customFormat="false" ht="15" hidden="false" customHeight="false" outlineLevel="0" collapsed="false">
      <c r="A1744" s="24" t="n">
        <v>46279.5416666667</v>
      </c>
      <c r="B1744" s="10" t="n">
        <v>6.5211</v>
      </c>
      <c r="C1744" s="10" t="n">
        <v>3.1517</v>
      </c>
      <c r="D1744" s="10" t="n">
        <f aca="false">IF(OR(B1744="",C1744="",B1744&lt;=0.05,C1744&lt;=0.05),0,1)</f>
        <v>1</v>
      </c>
      <c r="E1744" s="25" t="n">
        <f aca="false">IF(OR(A1744&lt;Resumen!$B$6,A1744&gt;=Resumen!$B$7),0,MAX(0,AVERAGEIFS(B1696:B1792,D1696:D1792,1)-Resumen!$B$5*AVERAGEIFS(C1696:C1792,D1696:D1792,1)))</f>
        <v>1.29849826701031</v>
      </c>
      <c r="F1744" s="10" t="n">
        <f aca="false">IF(B1744="","",(B1744-E1744)/Resumen!$B$5)</f>
        <v>4.14821424383613</v>
      </c>
      <c r="G1744" s="10" t="n">
        <f aca="false">IF(OR(F1744="",C1744=""),0,(F1744-C1744)*0.9)</f>
        <v>0.896862819452519</v>
      </c>
      <c r="H1744" s="26" t="n">
        <f aca="false">IF(A1744&lt;Resumen!$B$11,"",IF(H1743="",0,H1743)+G1744/Resumen!$B$9)</f>
        <v>1.3839940504439</v>
      </c>
      <c r="I1744" s="26" t="n">
        <f aca="false">IF(H1744="","",H1744-AVERAGE(H1696:H1792))</f>
        <v>0.202251723165797</v>
      </c>
      <c r="J1744" s="27" t="n">
        <f aca="false">IF(I1744="","",Resumen!$B$10-(MAX(I1696:I1792)-I1744))</f>
        <v>1.80969561376992</v>
      </c>
    </row>
    <row r="1745" customFormat="false" ht="15" hidden="false" customHeight="false" outlineLevel="0" collapsed="false">
      <c r="A1745" s="24" t="n">
        <v>46279.5520833333</v>
      </c>
      <c r="B1745" s="10" t="n">
        <v>6.0407</v>
      </c>
      <c r="C1745" s="10" t="n">
        <v>3.4573</v>
      </c>
      <c r="D1745" s="10" t="n">
        <f aca="false">IF(OR(B1745="",C1745="",B1745&lt;=0.05,C1745&lt;=0.05),0,1)</f>
        <v>1</v>
      </c>
      <c r="E1745" s="25" t="n">
        <f aca="false">IF(OR(A1745&lt;Resumen!$B$6,A1745&gt;=Resumen!$B$7),0,MAX(0,AVERAGEIFS(B1697:B1793,D1697:D1793,1)-Resumen!$B$5*AVERAGEIFS(C1697:C1793,D1697:D1793,1)))</f>
        <v>1.29729265360825</v>
      </c>
      <c r="F1745" s="10" t="n">
        <f aca="false">IF(B1745="","",(B1745-E1745)/Resumen!$B$5)</f>
        <v>3.7675991631388</v>
      </c>
      <c r="G1745" s="10" t="n">
        <f aca="false">IF(OR(F1745="",C1745=""),0,(F1745-C1745)*0.9)</f>
        <v>0.279269246824922</v>
      </c>
      <c r="H1745" s="26" t="n">
        <f aca="false">IF(A1745&lt;Resumen!$B$11,"",IF(H1744="",0,H1744)+G1745/Resumen!$B$9)</f>
        <v>1.39719479771934</v>
      </c>
      <c r="I1745" s="26" t="n">
        <f aca="false">IF(H1745="","",H1745-AVERAGE(H1697:H1793))</f>
        <v>0.217342942286867</v>
      </c>
      <c r="J1745" s="27" t="n">
        <f aca="false">IF(I1745="","",Resumen!$B$10-(MAX(I1697:I1793)-I1745))</f>
        <v>1.82478683289099</v>
      </c>
    </row>
    <row r="1746" customFormat="false" ht="15" hidden="false" customHeight="false" outlineLevel="0" collapsed="false">
      <c r="A1746" s="24" t="n">
        <v>46279.5625</v>
      </c>
      <c r="B1746" s="10" t="n">
        <v>6.9006</v>
      </c>
      <c r="C1746" s="10" t="n">
        <v>4.8504</v>
      </c>
      <c r="D1746" s="10" t="n">
        <f aca="false">IF(OR(B1746="",C1746="",B1746&lt;=0.05,C1746&lt;=0.05),0,1)</f>
        <v>1</v>
      </c>
      <c r="E1746" s="25" t="n">
        <f aca="false">IF(OR(A1746&lt;Resumen!$B$6,A1746&gt;=Resumen!$B$7),0,MAX(0,AVERAGEIFS(B1698:B1794,D1698:D1794,1)-Resumen!$B$5*AVERAGEIFS(C1698:C1794,D1698:D1794,1)))</f>
        <v>1.29783960103093</v>
      </c>
      <c r="F1746" s="10" t="n">
        <f aca="false">IF(B1746="","",(B1746-E1746)/Resumen!$B$5)</f>
        <v>4.45016711594049</v>
      </c>
      <c r="G1746" s="10" t="n">
        <f aca="false">IF(OR(F1746="",C1746=""),0,(F1746-C1746)*0.9)</f>
        <v>-0.360209595653561</v>
      </c>
      <c r="H1746" s="26" t="n">
        <f aca="false">IF(A1746&lt;Resumen!$B$11,"",IF(H1745="",0,H1745)+G1746/Resumen!$B$9)</f>
        <v>1.38016809000816</v>
      </c>
      <c r="I1746" s="26" t="n">
        <f aca="false">IF(H1746="","",H1746-AVERAGE(H1698:H1794))</f>
        <v>0.202332099267664</v>
      </c>
      <c r="J1746" s="27" t="n">
        <f aca="false">IF(I1746="","",Resumen!$B$10-(MAX(I1698:I1794)-I1746))</f>
        <v>1.80977598987179</v>
      </c>
    </row>
    <row r="1747" customFormat="false" ht="15" hidden="false" customHeight="false" outlineLevel="0" collapsed="false">
      <c r="A1747" s="24" t="n">
        <v>46279.5729166667</v>
      </c>
      <c r="B1747" s="10" t="n">
        <v>6.3534</v>
      </c>
      <c r="C1747" s="10" t="n">
        <v>4.0939</v>
      </c>
      <c r="D1747" s="10" t="n">
        <f aca="false">IF(OR(B1747="",C1747="",B1747&lt;=0.05,C1747&lt;=0.05),0,1)</f>
        <v>1</v>
      </c>
      <c r="E1747" s="25" t="n">
        <f aca="false">IF(OR(A1747&lt;Resumen!$B$6,A1747&gt;=Resumen!$B$7),0,MAX(0,AVERAGEIFS(B1699:B1795,D1699:D1795,1)-Resumen!$B$5*AVERAGEIFS(C1699:C1795,D1699:D1795,1)))</f>
        <v>1.3102183443299</v>
      </c>
      <c r="F1747" s="10" t="n">
        <f aca="false">IF(B1747="","",(B1747-E1747)/Resumen!$B$5)</f>
        <v>4.00570425390795</v>
      </c>
      <c r="G1747" s="10" t="n">
        <f aca="false">IF(OR(F1747="",C1747=""),0,(F1747-C1747)*0.9)</f>
        <v>-0.0793761714828491</v>
      </c>
      <c r="H1747" s="26" t="n">
        <f aca="false">IF(A1747&lt;Resumen!$B$11,"",IF(H1746="",0,H1746)+G1747/Resumen!$B$9)</f>
        <v>1.37641606649912</v>
      </c>
      <c r="I1747" s="26" t="n">
        <f aca="false">IF(H1747="","",H1747-AVERAGE(H1699:H1795))</f>
        <v>0.200329696394764</v>
      </c>
      <c r="J1747" s="27" t="n">
        <f aca="false">IF(I1747="","",Resumen!$B$10-(MAX(I1699:I1795)-I1747))</f>
        <v>1.80777358699889</v>
      </c>
    </row>
    <row r="1748" customFormat="false" ht="15" hidden="false" customHeight="false" outlineLevel="0" collapsed="false">
      <c r="A1748" s="24" t="n">
        <v>46279.5833333333</v>
      </c>
      <c r="B1748" s="10" t="n">
        <v>6.0078</v>
      </c>
      <c r="C1748" s="10" t="n">
        <v>3.776</v>
      </c>
      <c r="D1748" s="10" t="n">
        <f aca="false">IF(OR(B1748="",C1748="",B1748&lt;=0.05,C1748&lt;=0.05),0,1)</f>
        <v>1</v>
      </c>
      <c r="E1748" s="25" t="n">
        <f aca="false">IF(OR(A1748&lt;Resumen!$B$6,A1748&gt;=Resumen!$B$7),0,MAX(0,AVERAGEIFS(B1700:B1796,D1700:D1796,1)-Resumen!$B$5*AVERAGEIFS(C1700:C1796,D1700:D1796,1)))</f>
        <v>1.31781143402062</v>
      </c>
      <c r="F1748" s="10" t="n">
        <f aca="false">IF(B1748="","",(B1748-E1748)/Resumen!$B$5)</f>
        <v>3.72516963143716</v>
      </c>
      <c r="G1748" s="10" t="n">
        <f aca="false">IF(OR(F1748="",C1748=""),0,(F1748-C1748)*0.9)</f>
        <v>-0.0457473317065586</v>
      </c>
      <c r="H1748" s="26" t="n">
        <f aca="false">IF(A1748&lt;Resumen!$B$11,"",IF(H1747="",0,H1747)+G1748/Resumen!$B$9)</f>
        <v>1.37425364091432</v>
      </c>
      <c r="I1748" s="26" t="n">
        <f aca="false">IF(H1748="","",H1748-AVERAGE(H1700:H1796))</f>
        <v>0.199815858577928</v>
      </c>
      <c r="J1748" s="27" t="n">
        <f aca="false">IF(I1748="","",Resumen!$B$10-(MAX(I1700:I1796)-I1748))</f>
        <v>1.80725974918205</v>
      </c>
    </row>
    <row r="1749" customFormat="false" ht="15" hidden="false" customHeight="false" outlineLevel="0" collapsed="false">
      <c r="A1749" s="24" t="n">
        <v>46279.59375</v>
      </c>
      <c r="B1749" s="10" t="n">
        <v>8.0752</v>
      </c>
      <c r="C1749" s="10" t="n">
        <v>4.3972</v>
      </c>
      <c r="D1749" s="10" t="n">
        <f aca="false">IF(OR(B1749="",C1749="",B1749&lt;=0.05,C1749&lt;=0.05),0,1)</f>
        <v>1</v>
      </c>
      <c r="E1749" s="25" t="n">
        <f aca="false">IF(OR(A1749&lt;Resumen!$B$6,A1749&gt;=Resumen!$B$7),0,MAX(0,AVERAGEIFS(B1701:B1797,D1701:D1797,1)-Resumen!$B$5*AVERAGEIFS(C1701:C1797,D1701:D1797,1)))</f>
        <v>1.32673278453608</v>
      </c>
      <c r="F1749" s="10" t="n">
        <f aca="false">IF(B1749="","",(B1749-E1749)/Resumen!$B$5)</f>
        <v>5.36018047296578</v>
      </c>
      <c r="G1749" s="10" t="n">
        <f aca="false">IF(OR(F1749="",C1749=""),0,(F1749-C1749)*0.9)</f>
        <v>0.866682425669204</v>
      </c>
      <c r="H1749" s="26" t="n">
        <f aca="false">IF(A1749&lt;Resumen!$B$11,"",IF(H1748="",0,H1748)+G1749/Resumen!$B$9)</f>
        <v>1.41522075705545</v>
      </c>
      <c r="I1749" s="26" t="n">
        <f aca="false">IF(H1749="","",H1749-AVERAGE(H1701:H1797))</f>
        <v>0.242286413438771</v>
      </c>
      <c r="J1749" s="27" t="n">
        <f aca="false">IF(I1749="","",Resumen!$B$10-(MAX(I1701:I1797)-I1749))</f>
        <v>1.84973030404289</v>
      </c>
    </row>
    <row r="1750" customFormat="false" ht="15" hidden="false" customHeight="false" outlineLevel="0" collapsed="false">
      <c r="A1750" s="24" t="n">
        <v>46279.6041666667</v>
      </c>
      <c r="B1750" s="10" t="n">
        <v>5.7907</v>
      </c>
      <c r="C1750" s="10" t="n">
        <v>3.5587</v>
      </c>
      <c r="D1750" s="10" t="n">
        <f aca="false">IF(OR(B1750="",C1750="",B1750&lt;=0.05,C1750&lt;=0.05),0,1)</f>
        <v>1</v>
      </c>
      <c r="E1750" s="25" t="n">
        <f aca="false">IF(OR(A1750&lt;Resumen!$B$6,A1750&gt;=Resumen!$B$7),0,MAX(0,AVERAGEIFS(B1702:B1798,D1702:D1798,1)-Resumen!$B$5*AVERAGEIFS(C1702:C1798,D1702:D1798,1)))</f>
        <v>1.33892993092783</v>
      </c>
      <c r="F1750" s="10" t="n">
        <f aca="false">IF(B1750="","",(B1750-E1750)/Resumen!$B$5)</f>
        <v>3.53595716367924</v>
      </c>
      <c r="G1750" s="10" t="n">
        <f aca="false">IF(OR(F1750="",C1750=""),0,(F1750-C1750)*0.9)</f>
        <v>-0.0204685526886818</v>
      </c>
      <c r="H1750" s="26" t="n">
        <f aca="false">IF(A1750&lt;Resumen!$B$11,"",IF(H1749="",0,H1749)+G1750/Resumen!$B$9)</f>
        <v>1.41425323129237</v>
      </c>
      <c r="I1750" s="26" t="n">
        <f aca="false">IF(H1750="","",H1750-AVERAGE(H1702:H1798))</f>
        <v>0.242556109395877</v>
      </c>
      <c r="J1750" s="27" t="n">
        <f aca="false">IF(I1750="","",Resumen!$B$10-(MAX(I1702:I1798)-I1750))</f>
        <v>1.85</v>
      </c>
    </row>
    <row r="1751" customFormat="false" ht="15" hidden="false" customHeight="false" outlineLevel="0" collapsed="false">
      <c r="A1751" s="24" t="n">
        <v>46279.6145833333</v>
      </c>
      <c r="B1751" s="10" t="n">
        <v>5.5753</v>
      </c>
      <c r="C1751" s="10" t="n">
        <v>3.9681</v>
      </c>
      <c r="D1751" s="10" t="n">
        <f aca="false">IF(OR(B1751="",C1751="",B1751&lt;=0.05,C1751&lt;=0.05),0,1)</f>
        <v>1</v>
      </c>
      <c r="E1751" s="25" t="n">
        <f aca="false">IF(OR(A1751&lt;Resumen!$B$6,A1751&gt;=Resumen!$B$7),0,MAX(0,AVERAGEIFS(B1703:B1799,D1703:D1799,1)-Resumen!$B$5*AVERAGEIFS(C1703:C1799,D1703:D1799,1)))</f>
        <v>1.34782033092784</v>
      </c>
      <c r="F1751" s="10" t="n">
        <f aca="false">IF(B1751="","",(B1751-E1751)/Resumen!$B$5)</f>
        <v>3.35780752110577</v>
      </c>
      <c r="G1751" s="10" t="n">
        <f aca="false">IF(OR(F1751="",C1751=""),0,(F1751-C1751)*0.9)</f>
        <v>-0.549263231004806</v>
      </c>
      <c r="H1751" s="26" t="n">
        <f aca="false">IF(A1751&lt;Resumen!$B$11,"",IF(H1750="",0,H1750)+G1751/Resumen!$B$9)</f>
        <v>1.38829016811009</v>
      </c>
      <c r="I1751" s="26" t="n">
        <f aca="false">IF(H1751="","",H1751-AVERAGE(H1703:H1799))</f>
        <v>0.217674459807313</v>
      </c>
      <c r="J1751" s="27" t="n">
        <f aca="false">IF(I1751="","",Resumen!$B$10-(MAX(I1703:I1799)-I1751))</f>
        <v>1.82511835041144</v>
      </c>
    </row>
    <row r="1752" customFormat="false" ht="15" hidden="false" customHeight="false" outlineLevel="0" collapsed="false">
      <c r="A1752" s="24" t="n">
        <v>46279.625</v>
      </c>
      <c r="B1752" s="10" t="n">
        <v>5.5135</v>
      </c>
      <c r="C1752" s="10" t="n">
        <v>3.5305</v>
      </c>
      <c r="D1752" s="10" t="n">
        <f aca="false">IF(OR(B1752="",C1752="",B1752&lt;=0.05,C1752&lt;=0.05),0,1)</f>
        <v>1</v>
      </c>
      <c r="E1752" s="25" t="n">
        <f aca="false">IF(OR(A1752&lt;Resumen!$B$6,A1752&gt;=Resumen!$B$7),0,MAX(0,AVERAGEIFS(B1704:B1800,D1704:D1800,1)-Resumen!$B$5*AVERAGEIFS(C1704:C1800,D1704:D1800,1)))</f>
        <v>1.35603227216495</v>
      </c>
      <c r="F1752" s="10" t="n">
        <f aca="false">IF(B1752="","",(B1752-E1752)/Resumen!$B$5)</f>
        <v>3.30219835411839</v>
      </c>
      <c r="G1752" s="10" t="n">
        <f aca="false">IF(OR(F1752="",C1752=""),0,(F1752-C1752)*0.9)</f>
        <v>-0.20547148129345</v>
      </c>
      <c r="H1752" s="26" t="n">
        <f aca="false">IF(A1752&lt;Resumen!$B$11,"",IF(H1751="",0,H1751)+G1752/Resumen!$B$9)</f>
        <v>1.37857775928705</v>
      </c>
      <c r="I1752" s="26" t="n">
        <f aca="false">IF(H1752="","",H1752-AVERAGE(H1704:H1800))</f>
        <v>0.208906115405399</v>
      </c>
      <c r="J1752" s="27" t="n">
        <f aca="false">IF(I1752="","",Resumen!$B$10-(MAX(I1704:I1800)-I1752))</f>
        <v>1.81635000600952</v>
      </c>
    </row>
    <row r="1753" customFormat="false" ht="15" hidden="false" customHeight="false" outlineLevel="0" collapsed="false">
      <c r="A1753" s="24" t="n">
        <v>46279.6354166667</v>
      </c>
      <c r="B1753" s="10" t="n">
        <v>4.6319</v>
      </c>
      <c r="C1753" s="10" t="n">
        <v>3.8671</v>
      </c>
      <c r="D1753" s="10" t="n">
        <f aca="false">IF(OR(B1753="",C1753="",B1753&lt;=0.05,C1753&lt;=0.05),0,1)</f>
        <v>1</v>
      </c>
      <c r="E1753" s="25" t="n">
        <f aca="false">IF(OR(A1753&lt;Resumen!$B$6,A1753&gt;=Resumen!$B$7),0,MAX(0,AVERAGEIFS(B1705:B1801,D1705:D1801,1)-Resumen!$B$5*AVERAGEIFS(C1705:C1801,D1705:D1801,1)))</f>
        <v>1.37146575463918</v>
      </c>
      <c r="F1753" s="10" t="n">
        <f aca="false">IF(B1753="","",(B1753-E1753)/Resumen!$B$5)</f>
        <v>2.58970154516348</v>
      </c>
      <c r="G1753" s="10" t="n">
        <f aca="false">IF(OR(F1753="",C1753=""),0,(F1753-C1753)*0.9)</f>
        <v>-1.14965860935287</v>
      </c>
      <c r="H1753" s="26" t="n">
        <f aca="false">IF(A1753&lt;Resumen!$B$11,"",IF(H1752="",0,H1752)+G1753/Resumen!$B$9)</f>
        <v>1.32423467308032</v>
      </c>
      <c r="I1753" s="26" t="n">
        <f aca="false">IF(H1753="","",H1753-AVERAGE(H1705:H1801))</f>
        <v>0.155131898365489</v>
      </c>
      <c r="J1753" s="27" t="n">
        <f aca="false">IF(I1753="","",Resumen!$B$10-(MAX(I1705:I1801)-I1753))</f>
        <v>1.76257578896961</v>
      </c>
    </row>
    <row r="1754" customFormat="false" ht="15" hidden="false" customHeight="false" outlineLevel="0" collapsed="false">
      <c r="A1754" s="24" t="n">
        <v>46279.6458333333</v>
      </c>
      <c r="B1754" s="10" t="n">
        <v>6.0913</v>
      </c>
      <c r="C1754" s="10" t="n">
        <v>4.1449</v>
      </c>
      <c r="D1754" s="10" t="n">
        <f aca="false">IF(OR(B1754="",C1754="",B1754&lt;=0.05,C1754&lt;=0.05),0,1)</f>
        <v>1</v>
      </c>
      <c r="E1754" s="25" t="n">
        <f aca="false">IF(OR(A1754&lt;Resumen!$B$6,A1754&gt;=Resumen!$B$7),0,MAX(0,AVERAGEIFS(B1706:B1802,D1706:D1802,1)-Resumen!$B$5*AVERAGEIFS(C1706:C1802,D1706:D1802,1)))</f>
        <v>1.38403306701031</v>
      </c>
      <c r="F1754" s="10" t="n">
        <f aca="false">IF(B1754="","",(B1754-E1754)/Resumen!$B$5)</f>
        <v>3.73889351309745</v>
      </c>
      <c r="G1754" s="10" t="n">
        <f aca="false">IF(OR(F1754="",C1754=""),0,(F1754-C1754)*0.9)</f>
        <v>-0.365405838212295</v>
      </c>
      <c r="H1754" s="26" t="n">
        <f aca="false">IF(A1754&lt;Resumen!$B$11,"",IF(H1753="",0,H1753)+G1754/Resumen!$B$9)</f>
        <v>1.30696234475183</v>
      </c>
      <c r="I1754" s="26" t="n">
        <f aca="false">IF(H1754="","",H1754-AVERAGE(H1706:H1802))</f>
        <v>0.138167816474442</v>
      </c>
      <c r="J1754" s="27" t="n">
        <f aca="false">IF(I1754="","",Resumen!$B$10-(MAX(I1706:I1802)-I1754))</f>
        <v>1.74561170707857</v>
      </c>
    </row>
    <row r="1755" customFormat="false" ht="15" hidden="false" customHeight="false" outlineLevel="0" collapsed="false">
      <c r="A1755" s="24" t="n">
        <v>46279.65625</v>
      </c>
      <c r="B1755" s="10" t="n">
        <v>5.8693</v>
      </c>
      <c r="C1755" s="10" t="n">
        <v>3.3678</v>
      </c>
      <c r="D1755" s="10" t="n">
        <f aca="false">IF(OR(B1755="",C1755="",B1755&lt;=0.05,C1755&lt;=0.05),0,1)</f>
        <v>1</v>
      </c>
      <c r="E1755" s="25" t="n">
        <f aca="false">IF(OR(A1755&lt;Resumen!$B$6,A1755&gt;=Resumen!$B$7),0,MAX(0,AVERAGEIFS(B1707:B1803,D1707:D1803,1)-Resumen!$B$5*AVERAGEIFS(C1707:C1803,D1707:D1803,1)))</f>
        <v>1.39268147113402</v>
      </c>
      <c r="F1755" s="10" t="n">
        <f aca="false">IF(B1755="","",(B1755-E1755)/Resumen!$B$5)</f>
        <v>3.55569382753453</v>
      </c>
      <c r="G1755" s="10" t="n">
        <f aca="false">IF(OR(F1755="",C1755=""),0,(F1755-C1755)*0.9)</f>
        <v>0.169104444781081</v>
      </c>
      <c r="H1755" s="26" t="n">
        <f aca="false">IF(A1755&lt;Resumen!$B$11,"",IF(H1754="",0,H1754)+G1755/Resumen!$B$9)</f>
        <v>1.31495572413064</v>
      </c>
      <c r="I1755" s="26" t="n">
        <f aca="false">IF(H1755="","",H1755-AVERAGE(H1707:H1803))</f>
        <v>0.146342481584721</v>
      </c>
      <c r="J1755" s="27" t="n">
        <f aca="false">IF(I1755="","",Resumen!$B$10-(MAX(I1707:I1803)-I1755))</f>
        <v>1.75378637218884</v>
      </c>
    </row>
    <row r="1756" customFormat="false" ht="15" hidden="false" customHeight="false" outlineLevel="0" collapsed="false">
      <c r="A1756" s="24" t="n">
        <v>46279.6666666667</v>
      </c>
      <c r="B1756" s="10" t="n">
        <v>5.0995</v>
      </c>
      <c r="C1756" s="10" t="n">
        <v>3.06</v>
      </c>
      <c r="D1756" s="10" t="n">
        <f aca="false">IF(OR(B1756="",C1756="",B1756&lt;=0.05,C1756&lt;=0.05),0,1)</f>
        <v>1</v>
      </c>
      <c r="E1756" s="25" t="n">
        <f aca="false">IF(OR(A1756&lt;Resumen!$B$6,A1756&gt;=Resumen!$B$7),0,MAX(0,AVERAGEIFS(B1708:B1804,D1708:D1804,1)-Resumen!$B$5*AVERAGEIFS(C1708:C1804,D1708:D1804,1)))</f>
        <v>1.41250114948454</v>
      </c>
      <c r="F1756" s="10" t="n">
        <f aca="false">IF(B1756="","",(B1756-E1756)/Resumen!$B$5)</f>
        <v>2.92851378118782</v>
      </c>
      <c r="G1756" s="10" t="n">
        <f aca="false">IF(OR(F1756="",C1756=""),0,(F1756-C1756)*0.9)</f>
        <v>-0.118337596930963</v>
      </c>
      <c r="H1756" s="26" t="n">
        <f aca="false">IF(A1756&lt;Resumen!$B$11,"",IF(H1755="",0,H1755)+G1756/Resumen!$B$9)</f>
        <v>1.30936203729248</v>
      </c>
      <c r="I1756" s="26" t="n">
        <f aca="false">IF(H1756="","",H1756-AVERAGE(H1708:H1804))</f>
        <v>0.140426244340261</v>
      </c>
      <c r="J1756" s="27" t="n">
        <f aca="false">IF(I1756="","",Resumen!$B$10-(MAX(I1708:I1804)-I1756))</f>
        <v>1.74787013494438</v>
      </c>
    </row>
    <row r="1757" customFormat="false" ht="15" hidden="false" customHeight="false" outlineLevel="0" collapsed="false">
      <c r="A1757" s="24" t="n">
        <v>46279.6770833333</v>
      </c>
      <c r="B1757" s="10" t="n">
        <v>6.0548</v>
      </c>
      <c r="C1757" s="10" t="n">
        <v>3.6573</v>
      </c>
      <c r="D1757" s="10" t="n">
        <f aca="false">IF(OR(B1757="",C1757="",B1757&lt;=0.05,C1757&lt;=0.05),0,1)</f>
        <v>1</v>
      </c>
      <c r="E1757" s="25" t="n">
        <f aca="false">IF(OR(A1757&lt;Resumen!$B$6,A1757&gt;=Resumen!$B$7),0,MAX(0,AVERAGEIFS(B1709:B1805,D1709:D1805,1)-Resumen!$B$5*AVERAGEIFS(C1709:C1805,D1709:D1805,1)))</f>
        <v>1.41594741340206</v>
      </c>
      <c r="F1757" s="10" t="n">
        <f aca="false">IF(B1757="","",(B1757-E1757)/Resumen!$B$5)</f>
        <v>3.68455328562187</v>
      </c>
      <c r="G1757" s="10" t="n">
        <f aca="false">IF(OR(F1757="",C1757=""),0,(F1757-C1757)*0.9)</f>
        <v>0.0245279570596859</v>
      </c>
      <c r="H1757" s="26" t="n">
        <f aca="false">IF(A1757&lt;Resumen!$B$11,"",IF(H1756="",0,H1756)+G1757/Resumen!$B$9)</f>
        <v>1.31052144659375</v>
      </c>
      <c r="I1757" s="26" t="n">
        <f aca="false">IF(H1757="","",H1757-AVERAGE(H1709:H1805))</f>
        <v>0.141310459600484</v>
      </c>
      <c r="J1757" s="27" t="n">
        <f aca="false">IF(I1757="","",Resumen!$B$10-(MAX(I1709:I1805)-I1757))</f>
        <v>1.74875435020461</v>
      </c>
    </row>
    <row r="1758" customFormat="false" ht="15" hidden="false" customHeight="false" outlineLevel="0" collapsed="false">
      <c r="A1758" s="24" t="n">
        <v>46279.6875</v>
      </c>
      <c r="B1758" s="10" t="n">
        <v>5.4788</v>
      </c>
      <c r="C1758" s="10" t="n">
        <v>3.3941</v>
      </c>
      <c r="D1758" s="10" t="n">
        <f aca="false">IF(OR(B1758="",C1758="",B1758&lt;=0.05,C1758&lt;=0.05),0,1)</f>
        <v>1</v>
      </c>
      <c r="E1758" s="25" t="n">
        <f aca="false">IF(OR(A1758&lt;Resumen!$B$6,A1758&gt;=Resumen!$B$7),0,MAX(0,AVERAGEIFS(B1710:B1806,D1710:D1806,1)-Resumen!$B$5*AVERAGEIFS(C1710:C1806,D1710:D1806,1)))</f>
        <v>1.42495521752577</v>
      </c>
      <c r="F1758" s="10" t="n">
        <f aca="false">IF(B1758="","",(B1758-E1758)/Resumen!$B$5)</f>
        <v>3.21989259926468</v>
      </c>
      <c r="G1758" s="10" t="n">
        <f aca="false">IF(OR(F1758="",C1758=""),0,(F1758-C1758)*0.9)</f>
        <v>-0.156786660661792</v>
      </c>
      <c r="H1758" s="26" t="n">
        <f aca="false">IF(A1758&lt;Resumen!$B$11,"",IF(H1757="",0,H1757)+G1758/Resumen!$B$9)</f>
        <v>1.30311031519605</v>
      </c>
      <c r="I1758" s="26" t="n">
        <f aca="false">IF(H1758="","",H1758-AVERAGE(H1710:H1806))</f>
        <v>0.133482689988851</v>
      </c>
      <c r="J1758" s="27" t="n">
        <f aca="false">IF(I1758="","",Resumen!$B$10-(MAX(I1710:I1806)-I1758))</f>
        <v>1.74092658059297</v>
      </c>
    </row>
    <row r="1759" customFormat="false" ht="15" hidden="false" customHeight="false" outlineLevel="0" collapsed="false">
      <c r="A1759" s="24" t="n">
        <v>46279.6979166667</v>
      </c>
      <c r="B1759" s="10" t="n">
        <v>5.005</v>
      </c>
      <c r="C1759" s="10" t="n">
        <v>3.1646</v>
      </c>
      <c r="D1759" s="10" t="n">
        <f aca="false">IF(OR(B1759="",C1759="",B1759&lt;=0.05,C1759&lt;=0.05),0,1)</f>
        <v>1</v>
      </c>
      <c r="E1759" s="25" t="n">
        <f aca="false">IF(OR(A1759&lt;Resumen!$B$6,A1759&gt;=Resumen!$B$7),0,MAX(0,AVERAGEIFS(B1711:B1807,D1711:D1807,1)-Resumen!$B$5*AVERAGEIFS(C1711:C1807,D1711:D1807,1)))</f>
        <v>1.42380677525773</v>
      </c>
      <c r="F1759" s="10" t="n">
        <f aca="false">IF(B1759="","",(B1759-E1759)/Resumen!$B$5)</f>
        <v>2.84447436437035</v>
      </c>
      <c r="G1759" s="10" t="n">
        <f aca="false">IF(OR(F1759="",C1759=""),0,(F1759-C1759)*0.9)</f>
        <v>-0.288113072066687</v>
      </c>
      <c r="H1759" s="26" t="n">
        <f aca="false">IF(A1759&lt;Resumen!$B$11,"",IF(H1758="",0,H1758)+G1759/Resumen!$B$9)</f>
        <v>1.28949153011913</v>
      </c>
      <c r="I1759" s="26" t="n">
        <f aca="false">IF(H1759="","",H1759-AVERAGE(H1711:H1807))</f>
        <v>0.119650027252741</v>
      </c>
      <c r="J1759" s="27" t="n">
        <f aca="false">IF(I1759="","",Resumen!$B$10-(MAX(I1711:I1807)-I1759))</f>
        <v>1.72709391785686</v>
      </c>
    </row>
    <row r="1760" customFormat="false" ht="15" hidden="false" customHeight="false" outlineLevel="0" collapsed="false">
      <c r="A1760" s="24" t="n">
        <v>46279.7083333333</v>
      </c>
      <c r="B1760" s="10" t="n">
        <v>4.4383</v>
      </c>
      <c r="C1760" s="10" t="n">
        <v>2.7465</v>
      </c>
      <c r="D1760" s="10" t="n">
        <f aca="false">IF(OR(B1760="",C1760="",B1760&lt;=0.05,C1760&lt;=0.05),0,1)</f>
        <v>1</v>
      </c>
      <c r="E1760" s="25" t="n">
        <f aca="false">IF(OR(A1760&lt;Resumen!$B$6,A1760&gt;=Resumen!$B$7),0,MAX(0,AVERAGEIFS(B1712:B1808,D1712:D1808,1)-Resumen!$B$5*AVERAGEIFS(C1712:C1808,D1712:D1808,1)))</f>
        <v>1.42624769793815</v>
      </c>
      <c r="F1760" s="10" t="n">
        <f aca="false">IF(B1760="","",(B1760-E1760)/Resumen!$B$5)</f>
        <v>2.39241644325803</v>
      </c>
      <c r="G1760" s="10" t="n">
        <f aca="false">IF(OR(F1760="",C1760=""),0,(F1760-C1760)*0.9)</f>
        <v>-0.318675201067777</v>
      </c>
      <c r="H1760" s="26" t="n">
        <f aca="false">IF(A1760&lt;Resumen!$B$11,"",IF(H1759="",0,H1759)+G1760/Resumen!$B$9)</f>
        <v>1.27442810713192</v>
      </c>
      <c r="I1760" s="26" t="n">
        <f aca="false">IF(H1760="","",H1760-AVERAGE(H1712:H1808))</f>
        <v>0.104459614549224</v>
      </c>
      <c r="J1760" s="27" t="n">
        <f aca="false">IF(I1760="","",Resumen!$B$10-(MAX(I1712:I1808)-I1760))</f>
        <v>1.71190350515335</v>
      </c>
    </row>
    <row r="1761" customFormat="false" ht="15" hidden="false" customHeight="false" outlineLevel="0" collapsed="false">
      <c r="A1761" s="24" t="n">
        <v>46279.71875</v>
      </c>
      <c r="B1761" s="10" t="n">
        <v>4.3273</v>
      </c>
      <c r="C1761" s="10" t="n">
        <v>2.8365</v>
      </c>
      <c r="D1761" s="10" t="n">
        <f aca="false">IF(OR(B1761="",C1761="",B1761&lt;=0.05,C1761&lt;=0.05),0,1)</f>
        <v>1</v>
      </c>
      <c r="E1761" s="25" t="n">
        <f aca="false">IF(OR(A1761&lt;Resumen!$B$6,A1761&gt;=Resumen!$B$7),0,MAX(0,AVERAGEIFS(B1713:B1809,D1713:D1809,1)-Resumen!$B$5*AVERAGEIFS(C1713:C1809,D1713:D1809,1)))</f>
        <v>1.44955159175258</v>
      </c>
      <c r="F1761" s="10" t="n">
        <f aca="false">IF(B1761="","",(B1761-E1761)/Resumen!$B$5)</f>
        <v>2.28574138860002</v>
      </c>
      <c r="G1761" s="10" t="n">
        <f aca="false">IF(OR(F1761="",C1761=""),0,(F1761-C1761)*0.9)</f>
        <v>-0.495682750259983</v>
      </c>
      <c r="H1761" s="26" t="n">
        <f aca="false">IF(A1761&lt;Resumen!$B$11,"",IF(H1760="",0,H1760)+G1761/Resumen!$B$9)</f>
        <v>1.25099773379376</v>
      </c>
      <c r="I1761" s="26" t="n">
        <f aca="false">IF(H1761="","",H1761-AVERAGE(H1713:H1809))</f>
        <v>0.0802891664493641</v>
      </c>
      <c r="J1761" s="27" t="n">
        <f aca="false">IF(I1761="","",Resumen!$B$10-(MAX(I1713:I1809)-I1761))</f>
        <v>1.68773305705349</v>
      </c>
    </row>
    <row r="1762" customFormat="false" ht="15" hidden="false" customHeight="false" outlineLevel="0" collapsed="false">
      <c r="A1762" s="24" t="n">
        <v>46279.7291666667</v>
      </c>
      <c r="B1762" s="10" t="n">
        <v>4.6766</v>
      </c>
      <c r="C1762" s="10" t="n">
        <v>3.181</v>
      </c>
      <c r="D1762" s="10" t="n">
        <f aca="false">IF(OR(B1762="",C1762="",B1762&lt;=0.05,C1762&lt;=0.05),0,1)</f>
        <v>1</v>
      </c>
      <c r="E1762" s="25" t="n">
        <f aca="false">IF(OR(A1762&lt;Resumen!$B$6,A1762&gt;=Resumen!$B$7),0,MAX(0,AVERAGEIFS(B1714:B1810,D1714:D1810,1)-Resumen!$B$5*AVERAGEIFS(C1714:C1810,D1714:D1810,1)))</f>
        <v>1.45289817010309</v>
      </c>
      <c r="F1762" s="10" t="n">
        <f aca="false">IF(B1762="","",(B1762-E1762)/Resumen!$B$5)</f>
        <v>2.56052567902852</v>
      </c>
      <c r="G1762" s="10" t="n">
        <f aca="false">IF(OR(F1762="",C1762=""),0,(F1762-C1762)*0.9)</f>
        <v>-0.558426888874332</v>
      </c>
      <c r="H1762" s="26" t="n">
        <f aca="false">IF(A1762&lt;Resumen!$B$11,"",IF(H1761="",0,H1761)+G1762/Resumen!$B$9)</f>
        <v>1.22460151467673</v>
      </c>
      <c r="I1762" s="26" t="n">
        <f aca="false">IF(H1762="","",H1762-AVERAGE(H1714:H1810))</f>
        <v>0.0532174220535029</v>
      </c>
      <c r="J1762" s="27" t="n">
        <f aca="false">IF(I1762="","",Resumen!$B$10-(MAX(I1714:I1810)-I1762))</f>
        <v>1.66066131265763</v>
      </c>
    </row>
    <row r="1763" customFormat="false" ht="15" hidden="false" customHeight="false" outlineLevel="0" collapsed="false">
      <c r="A1763" s="24" t="n">
        <v>46279.7395833333</v>
      </c>
      <c r="B1763" s="10" t="n">
        <v>4.9824</v>
      </c>
      <c r="C1763" s="10" t="n">
        <v>3.5114</v>
      </c>
      <c r="D1763" s="10" t="n">
        <f aca="false">IF(OR(B1763="",C1763="",B1763&lt;=0.05,C1763&lt;=0.05),0,1)</f>
        <v>1</v>
      </c>
      <c r="E1763" s="25" t="n">
        <f aca="false">IF(OR(A1763&lt;Resumen!$B$6,A1763&gt;=Resumen!$B$7),0,MAX(0,AVERAGEIFS(B1715:B1811,D1715:D1811,1)-Resumen!$B$5*AVERAGEIFS(C1715:C1811,D1715:D1811,1)))</f>
        <v>1.46698883092784</v>
      </c>
      <c r="F1763" s="10" t="n">
        <f aca="false">IF(B1763="","",(B1763-E1763)/Resumen!$B$5)</f>
        <v>2.79222491586351</v>
      </c>
      <c r="G1763" s="10" t="n">
        <f aca="false">IF(OR(F1763="",C1763=""),0,(F1763-C1763)*0.9)</f>
        <v>-0.647257575722837</v>
      </c>
      <c r="H1763" s="26" t="n">
        <f aca="false">IF(A1763&lt;Resumen!$B$11,"",IF(H1762="",0,H1762)+G1763/Resumen!$B$9)</f>
        <v>1.19400636760496</v>
      </c>
      <c r="I1763" s="26" t="n">
        <f aca="false">IF(H1763="","",H1763-AVERAGE(H1715:H1811))</f>
        <v>0.0216547083916103</v>
      </c>
      <c r="J1763" s="27" t="n">
        <f aca="false">IF(I1763="","",Resumen!$B$10-(MAX(I1715:I1811)-I1763))</f>
        <v>1.62909859899573</v>
      </c>
    </row>
    <row r="1764" customFormat="false" ht="15" hidden="false" customHeight="false" outlineLevel="0" collapsed="false">
      <c r="A1764" s="24" t="n">
        <v>46279.75</v>
      </c>
      <c r="B1764" s="10" t="n">
        <v>4.5515</v>
      </c>
      <c r="C1764" s="10" t="n">
        <v>2.2468</v>
      </c>
      <c r="D1764" s="10" t="n">
        <f aca="false">IF(OR(B1764="",C1764="",B1764&lt;=0.05,C1764&lt;=0.05),0,1)</f>
        <v>1</v>
      </c>
      <c r="E1764" s="25" t="n">
        <f aca="false">IF(OR(A1764&lt;Resumen!$B$6,A1764&gt;=Resumen!$B$7),0,MAX(0,AVERAGEIFS(B1716:B1812,D1716:D1812,1)-Resumen!$B$5*AVERAGEIFS(C1716:C1812,D1716:D1812,1)))</f>
        <v>1.4852027257732</v>
      </c>
      <c r="F1764" s="10" t="n">
        <f aca="false">IF(B1764="","",(B1764-E1764)/Resumen!$B$5)</f>
        <v>2.43550220351613</v>
      </c>
      <c r="G1764" s="10" t="n">
        <f aca="false">IF(OR(F1764="",C1764=""),0,(F1764-C1764)*0.9)</f>
        <v>0.169831983164515</v>
      </c>
      <c r="H1764" s="26" t="n">
        <f aca="false">IF(A1764&lt;Resumen!$B$11,"",IF(H1763="",0,H1763)+G1764/Resumen!$B$9)</f>
        <v>1.20203413691551</v>
      </c>
      <c r="I1764" s="26" t="n">
        <f aca="false">IF(H1764="","",H1764-AVERAGE(H1716:H1812))</f>
        <v>0.0282917719012898</v>
      </c>
      <c r="J1764" s="27" t="n">
        <f aca="false">IF(I1764="","",Resumen!$B$10-(MAX(I1716:I1812)-I1764))</f>
        <v>1.63573566250541</v>
      </c>
    </row>
    <row r="1765" customFormat="false" ht="15" hidden="false" customHeight="false" outlineLevel="0" collapsed="false">
      <c r="A1765" s="24" t="n">
        <v>46279.7604166667</v>
      </c>
      <c r="B1765" s="10" t="n">
        <v>3.7347</v>
      </c>
      <c r="C1765" s="10" t="n">
        <v>2.67</v>
      </c>
      <c r="D1765" s="10" t="n">
        <f aca="false">IF(OR(B1765="",C1765="",B1765&lt;=0.05,C1765&lt;=0.05),0,1)</f>
        <v>1</v>
      </c>
      <c r="E1765" s="25" t="n">
        <f aca="false">IF(OR(A1765&lt;Resumen!$B$6,A1765&gt;=Resumen!$B$7),0,MAX(0,AVERAGEIFS(B1717:B1813,D1717:D1813,1)-Resumen!$B$5*AVERAGEIFS(C1717:C1813,D1717:D1813,1)))</f>
        <v>1.48794067216495</v>
      </c>
      <c r="F1765" s="10" t="n">
        <f aca="false">IF(B1765="","",(B1765-E1765)/Resumen!$B$5)</f>
        <v>1.78455864005961</v>
      </c>
      <c r="G1765" s="10" t="n">
        <f aca="false">IF(OR(F1765="",C1765=""),0,(F1765-C1765)*0.9)</f>
        <v>-0.796897223946349</v>
      </c>
      <c r="H1765" s="26" t="n">
        <f aca="false">IF(A1765&lt;Resumen!$B$11,"",IF(H1764="",0,H1764)+G1765/Resumen!$B$9)</f>
        <v>1.16436568978997</v>
      </c>
      <c r="I1765" s="26" t="n">
        <f aca="false">IF(H1765="","",H1765-AVERAGE(H1717:H1813))</f>
        <v>-0.0106721411628978</v>
      </c>
      <c r="J1765" s="27" t="n">
        <f aca="false">IF(I1765="","",Resumen!$B$10-(MAX(I1717:I1813)-I1765))</f>
        <v>1.59677174944123</v>
      </c>
    </row>
    <row r="1766" customFormat="false" ht="15" hidden="false" customHeight="false" outlineLevel="0" collapsed="false">
      <c r="A1766" s="24" t="n">
        <v>46279.7708333333</v>
      </c>
      <c r="B1766" s="10" t="n">
        <v>5.4714</v>
      </c>
      <c r="C1766" s="10" t="n">
        <v>2.4629</v>
      </c>
      <c r="D1766" s="10" t="n">
        <f aca="false">IF(OR(B1766="",C1766="",B1766&lt;=0.05,C1766&lt;=0.05),0,1)</f>
        <v>1</v>
      </c>
      <c r="E1766" s="25" t="n">
        <f aca="false">IF(OR(A1766&lt;Resumen!$B$6,A1766&gt;=Resumen!$B$7),0,MAX(0,AVERAGEIFS(B1718:B1814,D1718:D1814,1)-Resumen!$B$5*AVERAGEIFS(C1718:C1814,D1718:D1814,1)))</f>
        <v>1.51066210927835</v>
      </c>
      <c r="F1766" s="10" t="n">
        <f aca="false">IF(B1766="","",(B1766-E1766)/Resumen!$B$5)</f>
        <v>3.14593954783292</v>
      </c>
      <c r="G1766" s="10" t="n">
        <f aca="false">IF(OR(F1766="",C1766=""),0,(F1766-C1766)*0.9)</f>
        <v>0.614735593049631</v>
      </c>
      <c r="H1766" s="26" t="n">
        <f aca="false">IF(A1766&lt;Resumen!$B$11,"",IF(H1765="",0,H1765)+G1766/Resumen!$B$9)</f>
        <v>1.19342355884403</v>
      </c>
      <c r="I1766" s="26" t="n">
        <f aca="false">IF(H1766="","",H1766-AVERAGE(H1718:H1814))</f>
        <v>0.0165152122387409</v>
      </c>
      <c r="J1766" s="27" t="n">
        <f aca="false">IF(I1766="","",Resumen!$B$10-(MAX(I1718:I1814)-I1766))</f>
        <v>1.62395910284286</v>
      </c>
    </row>
    <row r="1767" customFormat="false" ht="15" hidden="false" customHeight="false" outlineLevel="0" collapsed="false">
      <c r="A1767" s="24" t="n">
        <v>46279.78125</v>
      </c>
      <c r="B1767" s="10" t="n">
        <v>4.9998</v>
      </c>
      <c r="C1767" s="10" t="n">
        <v>2.7028</v>
      </c>
      <c r="D1767" s="10" t="n">
        <f aca="false">IF(OR(B1767="",C1767="",B1767&lt;=0.05,C1767&lt;=0.05),0,1)</f>
        <v>1</v>
      </c>
      <c r="E1767" s="25" t="n">
        <f aca="false">IF(OR(A1767&lt;Resumen!$B$6,A1767&gt;=Resumen!$B$7),0,MAX(0,AVERAGEIFS(B1719:B1815,D1719:D1815,1)-Resumen!$B$5*AVERAGEIFS(C1719:C1815,D1719:D1815,1)))</f>
        <v>1.51125642680412</v>
      </c>
      <c r="F1767" s="10" t="n">
        <f aca="false">IF(B1767="","",(B1767-E1767)/Resumen!$B$5)</f>
        <v>2.77088449022707</v>
      </c>
      <c r="G1767" s="10" t="n">
        <f aca="false">IF(OR(F1767="",C1767=""),0,(F1767-C1767)*0.9)</f>
        <v>0.0612760412043593</v>
      </c>
      <c r="H1767" s="26" t="n">
        <f aca="false">IF(A1767&lt;Resumen!$B$11,"",IF(H1766="",0,H1766)+G1767/Resumen!$B$9)</f>
        <v>1.19632000928809</v>
      </c>
      <c r="I1767" s="26" t="n">
        <f aca="false">IF(H1767="","",H1767-AVERAGE(H1719:H1815))</f>
        <v>0.0177046151120928</v>
      </c>
      <c r="J1767" s="27" t="n">
        <f aca="false">IF(I1767="","",Resumen!$B$10-(MAX(I1719:I1815)-I1767))</f>
        <v>1.62514850571622</v>
      </c>
    </row>
    <row r="1768" customFormat="false" ht="15" hidden="false" customHeight="false" outlineLevel="0" collapsed="false">
      <c r="A1768" s="24" t="n">
        <v>46279.7916666667</v>
      </c>
      <c r="B1768" s="10" t="n">
        <v>5.3708</v>
      </c>
      <c r="C1768" s="10" t="n">
        <v>2.7604</v>
      </c>
      <c r="D1768" s="10" t="n">
        <f aca="false">IF(OR(B1768="",C1768="",B1768&lt;=0.05,C1768&lt;=0.05),0,1)</f>
        <v>1</v>
      </c>
      <c r="E1768" s="25" t="n">
        <f aca="false">IF(OR(A1768&lt;Resumen!$B$6,A1768&gt;=Resumen!$B$7),0,MAX(0,AVERAGEIFS(B1720:B1816,D1720:D1816,1)-Resumen!$B$5*AVERAGEIFS(C1720:C1816,D1720:D1816,1)))</f>
        <v>1.51483329690722</v>
      </c>
      <c r="F1768" s="10" t="n">
        <f aca="false">IF(B1768="","",(B1768-E1768)/Resumen!$B$5)</f>
        <v>3.06272176576075</v>
      </c>
      <c r="G1768" s="10" t="n">
        <f aca="false">IF(OR(F1768="",C1768=""),0,(F1768-C1768)*0.9)</f>
        <v>0.272089589184675</v>
      </c>
      <c r="H1768" s="26" t="n">
        <f aca="false">IF(A1768&lt;Resumen!$B$11,"",IF(H1767="",0,H1767)+G1768/Resumen!$B$9)</f>
        <v>1.20918138211714</v>
      </c>
      <c r="I1768" s="26" t="n">
        <f aca="false">IF(H1768="","",H1768-AVERAGE(H1720:H1816))</f>
        <v>0.0289222758208525</v>
      </c>
      <c r="J1768" s="27" t="n">
        <f aca="false">IF(I1768="","",Resumen!$B$10-(MAX(I1720:I1816)-I1768))</f>
        <v>1.63636616642498</v>
      </c>
    </row>
    <row r="1769" customFormat="false" ht="15" hidden="false" customHeight="false" outlineLevel="0" collapsed="false">
      <c r="A1769" s="24" t="n">
        <v>46279.8020833333</v>
      </c>
      <c r="B1769" s="10" t="n">
        <v>4.1464</v>
      </c>
      <c r="C1769" s="10" t="n">
        <v>2.1</v>
      </c>
      <c r="D1769" s="10" t="n">
        <f aca="false">IF(OR(B1769="",C1769="",B1769&lt;=0.05,C1769&lt;=0.05),0,1)</f>
        <v>1</v>
      </c>
      <c r="E1769" s="25" t="n">
        <f aca="false">IF(OR(A1769&lt;Resumen!$B$6,A1769&gt;=Resumen!$B$7),0,MAX(0,AVERAGEIFS(B1721:B1817,D1721:D1817,1)-Resumen!$B$5*AVERAGEIFS(C1721:C1817,D1721:D1817,1)))</f>
        <v>1.52071023608248</v>
      </c>
      <c r="F1769" s="10" t="n">
        <f aca="false">IF(B1769="","",(B1769-E1769)/Resumen!$B$5)</f>
        <v>2.08553595227762</v>
      </c>
      <c r="G1769" s="10" t="n">
        <f aca="false">IF(OR(F1769="",C1769=""),0,(F1769-C1769)*0.9)</f>
        <v>-0.0130176429501413</v>
      </c>
      <c r="H1769" s="26" t="n">
        <f aca="false">IF(A1769&lt;Resumen!$B$11,"",IF(H1768="",0,H1768)+G1769/Resumen!$B$9)</f>
        <v>1.20856605258602</v>
      </c>
      <c r="I1769" s="26" t="n">
        <f aca="false">IF(H1769="","",H1769-AVERAGE(H1721:H1817))</f>
        <v>0.0266483961574493</v>
      </c>
      <c r="J1769" s="27" t="n">
        <f aca="false">IF(I1769="","",Resumen!$B$10-(MAX(I1721:I1817)-I1769))</f>
        <v>1.63409228676157</v>
      </c>
    </row>
    <row r="1770" customFormat="false" ht="15" hidden="false" customHeight="false" outlineLevel="0" collapsed="false">
      <c r="A1770" s="24" t="n">
        <v>46279.8125</v>
      </c>
      <c r="B1770" s="10" t="n">
        <v>4.5445</v>
      </c>
      <c r="C1770" s="10" t="n">
        <v>2.7013</v>
      </c>
      <c r="D1770" s="10" t="n">
        <f aca="false">IF(OR(B1770="",C1770="",B1770&lt;=0.05,C1770&lt;=0.05),0,1)</f>
        <v>1</v>
      </c>
      <c r="E1770" s="25" t="n">
        <f aca="false">IF(OR(A1770&lt;Resumen!$B$6,A1770&gt;=Resumen!$B$7),0,MAX(0,AVERAGEIFS(B1722:B1818,D1722:D1818,1)-Resumen!$B$5*AVERAGEIFS(C1722:C1818,D1722:D1818,1)))</f>
        <v>1.53004558556701</v>
      </c>
      <c r="F1770" s="10" t="n">
        <f aca="false">IF(B1770="","",(B1770-E1770)/Resumen!$B$5)</f>
        <v>2.39432439589594</v>
      </c>
      <c r="G1770" s="10" t="n">
        <f aca="false">IF(OR(F1770="",C1770=""),0,(F1770-C1770)*0.9)</f>
        <v>-0.276278043693653</v>
      </c>
      <c r="H1770" s="26" t="n">
        <f aca="false">IF(A1770&lt;Resumen!$B$11,"",IF(H1769="",0,H1769)+G1770/Resumen!$B$9)</f>
        <v>1.19550669616201</v>
      </c>
      <c r="I1770" s="26" t="n">
        <f aca="false">IF(H1770="","",H1770-AVERAGE(H1722:H1818))</f>
        <v>0.0118034850255975</v>
      </c>
      <c r="J1770" s="27" t="n">
        <f aca="false">IF(I1770="","",Resumen!$B$10-(MAX(I1722:I1818)-I1770))</f>
        <v>1.61924737562972</v>
      </c>
    </row>
    <row r="1771" customFormat="false" ht="15" hidden="false" customHeight="false" outlineLevel="0" collapsed="false">
      <c r="A1771" s="24" t="n">
        <v>46279.8229166667</v>
      </c>
      <c r="B1771" s="10" t="n">
        <v>4.3125</v>
      </c>
      <c r="C1771" s="10" t="n">
        <v>2.3309</v>
      </c>
      <c r="D1771" s="10" t="n">
        <f aca="false">IF(OR(B1771="",C1771="",B1771&lt;=0.05,C1771&lt;=0.05),0,1)</f>
        <v>1</v>
      </c>
      <c r="E1771" s="25" t="n">
        <f aca="false">IF(OR(A1771&lt;Resumen!$B$6,A1771&gt;=Resumen!$B$7),0,MAX(0,AVERAGEIFS(B1723:B1819,D1723:D1819,1)-Resumen!$B$5*AVERAGEIFS(C1723:C1819,D1723:D1819,1)))</f>
        <v>1.55160677628866</v>
      </c>
      <c r="F1771" s="10" t="n">
        <f aca="false">IF(B1771="","",(B1771-E1771)/Resumen!$B$5)</f>
        <v>2.19292551525921</v>
      </c>
      <c r="G1771" s="10" t="n">
        <f aca="false">IF(OR(F1771="",C1771=""),0,(F1771-C1771)*0.9)</f>
        <v>-0.124177036266715</v>
      </c>
      <c r="H1771" s="26" t="n">
        <f aca="false">IF(A1771&lt;Resumen!$B$11,"",IF(H1770="",0,H1770)+G1771/Resumen!$B$9)</f>
        <v>1.18963698550891</v>
      </c>
      <c r="I1771" s="26" t="n">
        <f aca="false">IF(H1771="","",H1771-AVERAGE(H1723:H1819))</f>
        <v>0.00360529744806115</v>
      </c>
      <c r="J1771" s="27" t="n">
        <f aca="false">IF(I1771="","",Resumen!$B$10-(MAX(I1723:I1819)-I1771))</f>
        <v>1.61104918805218</v>
      </c>
    </row>
    <row r="1772" customFormat="false" ht="15" hidden="false" customHeight="false" outlineLevel="0" collapsed="false">
      <c r="A1772" s="24" t="n">
        <v>46279.8333333333</v>
      </c>
      <c r="B1772" s="10" t="n">
        <v>5.0367</v>
      </c>
      <c r="C1772" s="10" t="n">
        <v>2.8672</v>
      </c>
      <c r="D1772" s="10" t="n">
        <f aca="false">IF(OR(B1772="",C1772="",B1772&lt;=0.05,C1772&lt;=0.05),0,1)</f>
        <v>1</v>
      </c>
      <c r="E1772" s="25" t="n">
        <f aca="false">IF(OR(A1772&lt;Resumen!$B$6,A1772&gt;=Resumen!$B$7),0,MAX(0,AVERAGEIFS(B1724:B1820,D1724:D1820,1)-Resumen!$B$5*AVERAGEIFS(C1724:C1820,D1724:D1820,1)))</f>
        <v>1.54529502268041</v>
      </c>
      <c r="F1772" s="10" t="n">
        <f aca="false">IF(B1772="","",(B1772-E1772)/Resumen!$B$5)</f>
        <v>2.77315724965813</v>
      </c>
      <c r="G1772" s="10" t="n">
        <f aca="false">IF(OR(F1772="",C1772=""),0,(F1772-C1772)*0.9)</f>
        <v>-0.0846384753076821</v>
      </c>
      <c r="H1772" s="26" t="n">
        <f aca="false">IF(A1772&lt;Resumen!$B$11,"",IF(H1771="",0,H1771)+G1772/Resumen!$B$9)</f>
        <v>1.18563621873986</v>
      </c>
      <c r="I1772" s="26" t="n">
        <f aca="false">IF(H1772="","",H1772-AVERAGE(H1724:H1820))</f>
        <v>-0.00231408336224193</v>
      </c>
      <c r="J1772" s="27" t="n">
        <f aca="false">IF(I1772="","",Resumen!$B$10-(MAX(I1724:I1820)-I1772))</f>
        <v>1.60512980724188</v>
      </c>
    </row>
    <row r="1773" customFormat="false" ht="15" hidden="false" customHeight="false" outlineLevel="0" collapsed="false">
      <c r="A1773" s="24" t="n">
        <v>46279.84375</v>
      </c>
      <c r="B1773" s="10" t="n">
        <v>4.8915</v>
      </c>
      <c r="C1773" s="10" t="n">
        <v>3.145</v>
      </c>
      <c r="D1773" s="10" t="n">
        <f aca="false">IF(OR(B1773="",C1773="",B1773&lt;=0.05,C1773&lt;=0.05),0,1)</f>
        <v>1</v>
      </c>
      <c r="E1773" s="25" t="n">
        <f aca="false">IF(OR(A1773&lt;Resumen!$B$6,A1773&gt;=Resumen!$B$7),0,MAX(0,AVERAGEIFS(B1725:B1821,D1725:D1821,1)-Resumen!$B$5*AVERAGEIFS(C1725:C1821,D1725:D1821,1)))</f>
        <v>1.5407065</v>
      </c>
      <c r="F1773" s="10" t="n">
        <f aca="false">IF(B1773="","",(B1773-E1773)/Resumen!$B$5)</f>
        <v>2.66147220015886</v>
      </c>
      <c r="G1773" s="10" t="n">
        <f aca="false">IF(OR(F1773="",C1773=""),0,(F1773-C1773)*0.9)</f>
        <v>-0.43517501985703</v>
      </c>
      <c r="H1773" s="26" t="n">
        <f aca="false">IF(A1773&lt;Resumen!$B$11,"",IF(H1772="",0,H1772)+G1773/Resumen!$B$9)</f>
        <v>1.16506597864709</v>
      </c>
      <c r="I1773" s="26" t="n">
        <f aca="false">IF(H1773="","",H1773-AVERAGE(H1725:H1821))</f>
        <v>-0.0244577759688231</v>
      </c>
      <c r="J1773" s="27" t="n">
        <f aca="false">IF(I1773="","",Resumen!$B$10-(MAX(I1725:I1821)-I1773))</f>
        <v>1.5829861146353</v>
      </c>
    </row>
    <row r="1774" customFormat="false" ht="15" hidden="false" customHeight="false" outlineLevel="0" collapsed="false">
      <c r="A1774" s="24" t="n">
        <v>46279.8541666667</v>
      </c>
      <c r="B1774" s="10" t="n">
        <v>4.7721</v>
      </c>
      <c r="C1774" s="10" t="n">
        <v>2.2474</v>
      </c>
      <c r="D1774" s="10" t="n">
        <f aca="false">IF(OR(B1774="",C1774="",B1774&lt;=0.05,C1774&lt;=0.05),0,1)</f>
        <v>1</v>
      </c>
      <c r="E1774" s="25" t="n">
        <f aca="false">IF(OR(A1774&lt;Resumen!$B$6,A1774&gt;=Resumen!$B$7),0,MAX(0,AVERAGEIFS(B1726:B1822,D1726:D1822,1)-Resumen!$B$5*AVERAGEIFS(C1726:C1822,D1726:D1822,1)))</f>
        <v>1.54437651958763</v>
      </c>
      <c r="F1774" s="10" t="n">
        <f aca="false">IF(B1774="","",(B1774-E1774)/Resumen!$B$5)</f>
        <v>2.56372000032754</v>
      </c>
      <c r="G1774" s="10" t="n">
        <f aca="false">IF(OR(F1774="",C1774=""),0,(F1774-C1774)*0.9)</f>
        <v>0.284688000294785</v>
      </c>
      <c r="H1774" s="26" t="n">
        <f aca="false">IF(A1774&lt;Resumen!$B$11,"",IF(H1773="",0,H1773)+G1774/Resumen!$B$9)</f>
        <v>1.17852286438359</v>
      </c>
      <c r="I1774" s="26" t="n">
        <f aca="false">IF(H1774="","",H1774-AVERAGE(H1726:H1822))</f>
        <v>-0.0125079801676484</v>
      </c>
      <c r="J1774" s="27" t="n">
        <f aca="false">IF(I1774="","",Resumen!$B$10-(MAX(I1726:I1822)-I1774))</f>
        <v>1.59493591043647</v>
      </c>
    </row>
    <row r="1775" customFormat="false" ht="15" hidden="false" customHeight="false" outlineLevel="0" collapsed="false">
      <c r="A1775" s="24" t="n">
        <v>46279.8645833333</v>
      </c>
      <c r="B1775" s="10" t="n">
        <v>4.8583</v>
      </c>
      <c r="C1775" s="10" t="n">
        <v>2.8254</v>
      </c>
      <c r="D1775" s="10" t="n">
        <f aca="false">IF(OR(B1775="",C1775="",B1775&lt;=0.05,C1775&lt;=0.05),0,1)</f>
        <v>1</v>
      </c>
      <c r="E1775" s="25" t="n">
        <f aca="false">IF(OR(A1775&lt;Resumen!$B$6,A1775&gt;=Resumen!$B$7),0,MAX(0,AVERAGEIFS(B1727:B1823,D1727:D1823,1)-Resumen!$B$5*AVERAGEIFS(C1727:C1823,D1727:D1823,1)))</f>
        <v>1.52621265979382</v>
      </c>
      <c r="F1775" s="10" t="n">
        <f aca="false">IF(B1775="","",(B1775-E1775)/Resumen!$B$5)</f>
        <v>2.64661424956806</v>
      </c>
      <c r="G1775" s="10" t="n">
        <f aca="false">IF(OR(F1775="",C1775=""),0,(F1775-C1775)*0.9)</f>
        <v>-0.160907175388748</v>
      </c>
      <c r="H1775" s="26" t="n">
        <f aca="false">IF(A1775&lt;Resumen!$B$11,"",IF(H1774="",0,H1774)+G1775/Resumen!$B$9)</f>
        <v>1.17091696082901</v>
      </c>
      <c r="I1775" s="26" t="n">
        <f aca="false">IF(H1775="","",H1775-AVERAGE(H1727:H1823))</f>
        <v>-0.0208132766520168</v>
      </c>
      <c r="J1775" s="27" t="n">
        <f aca="false">IF(I1775="","",Resumen!$B$10-(MAX(I1727:I1823)-I1775))</f>
        <v>1.58663061395211</v>
      </c>
    </row>
    <row r="1776" customFormat="false" ht="15" hidden="false" customHeight="false" outlineLevel="0" collapsed="false">
      <c r="A1776" s="24" t="n">
        <v>46279.875</v>
      </c>
      <c r="B1776" s="10" t="n">
        <v>4.5681</v>
      </c>
      <c r="C1776" s="10" t="n">
        <v>3.0592</v>
      </c>
      <c r="D1776" s="10" t="n">
        <f aca="false">IF(OR(B1776="",C1776="",B1776&lt;=0.05,C1776&lt;=0.05),0,1)</f>
        <v>1</v>
      </c>
      <c r="E1776" s="25" t="n">
        <f aca="false">IF(OR(A1776&lt;Resumen!$B$6,A1776&gt;=Resumen!$B$7),0,MAX(0,AVERAGEIFS(B1728:B1824,D1728:D1824,1)-Resumen!$B$5*AVERAGEIFS(C1728:C1824,D1728:D1824,1)))</f>
        <v>1.53031580309278</v>
      </c>
      <c r="F1776" s="10" t="n">
        <f aca="false">IF(B1776="","",(B1776-E1776)/Resumen!$B$5)</f>
        <v>2.41285480294457</v>
      </c>
      <c r="G1776" s="10" t="n">
        <f aca="false">IF(OR(F1776="",C1776=""),0,(F1776-C1776)*0.9)</f>
        <v>-0.581710677349885</v>
      </c>
      <c r="H1776" s="26" t="n">
        <f aca="false">IF(A1776&lt;Resumen!$B$11,"",IF(H1775="",0,H1775)+G1776/Resumen!$B$9)</f>
        <v>1.1434201428785</v>
      </c>
      <c r="I1776" s="26" t="n">
        <f aca="false">IF(H1776="","",H1776-AVERAGE(H1728:H1824))</f>
        <v>-0.0489570756209006</v>
      </c>
      <c r="J1776" s="27" t="n">
        <f aca="false">IF(I1776="","",Resumen!$B$10-(MAX(I1728:I1824)-I1776))</f>
        <v>1.55848681498322</v>
      </c>
    </row>
    <row r="1777" customFormat="false" ht="15" hidden="false" customHeight="false" outlineLevel="0" collapsed="false">
      <c r="A1777" s="24" t="n">
        <v>46279.8854166667</v>
      </c>
      <c r="B1777" s="10" t="n">
        <v>4.7432</v>
      </c>
      <c r="C1777" s="10" t="n">
        <v>2.9763</v>
      </c>
      <c r="D1777" s="10" t="n">
        <f aca="false">IF(OR(B1777="",C1777="",B1777&lt;=0.05,C1777&lt;=0.05),0,1)</f>
        <v>1</v>
      </c>
      <c r="E1777" s="25" t="n">
        <f aca="false">IF(OR(A1777&lt;Resumen!$B$6,A1777&gt;=Resumen!$B$7),0,MAX(0,AVERAGEIFS(B1729:B1825,D1729:D1825,1)-Resumen!$B$5*AVERAGEIFS(C1729:C1825,D1729:D1825,1)))</f>
        <v>1.53043523917526</v>
      </c>
      <c r="F1777" s="10" t="n">
        <f aca="false">IF(B1777="","",(B1777-E1777)/Resumen!$B$5)</f>
        <v>2.55183857094896</v>
      </c>
      <c r="G1777" s="10" t="n">
        <f aca="false">IF(OR(F1777="",C1777=""),0,(F1777-C1777)*0.9)</f>
        <v>-0.382015286145935</v>
      </c>
      <c r="H1777" s="26" t="n">
        <f aca="false">IF(A1777&lt;Resumen!$B$11,"",IF(H1776="",0,H1776)+G1777/Resumen!$B$9)</f>
        <v>1.12536270438465</v>
      </c>
      <c r="I1777" s="26" t="n">
        <f aca="false">IF(H1777="","",H1777-AVERAGE(H1729:H1825))</f>
        <v>-0.0674733164207473</v>
      </c>
      <c r="J1777" s="27" t="n">
        <f aca="false">IF(I1777="","",Resumen!$B$10-(MAX(I1729:I1825)-I1777))</f>
        <v>1.53997057418338</v>
      </c>
    </row>
    <row r="1778" customFormat="false" ht="15" hidden="false" customHeight="false" outlineLevel="0" collapsed="false">
      <c r="A1778" s="24" t="n">
        <v>46279.8958333333</v>
      </c>
      <c r="B1778" s="10" t="n">
        <v>3.9867</v>
      </c>
      <c r="C1778" s="10" t="n">
        <v>2.0319</v>
      </c>
      <c r="D1778" s="10" t="n">
        <f aca="false">IF(OR(B1778="",C1778="",B1778&lt;=0.05,C1778&lt;=0.05),0,1)</f>
        <v>1</v>
      </c>
      <c r="E1778" s="25" t="n">
        <f aca="false">IF(OR(A1778&lt;Resumen!$B$6,A1778&gt;=Resumen!$B$7),0,MAX(0,AVERAGEIFS(B1730:B1826,D1730:D1826,1)-Resumen!$B$5*AVERAGEIFS(C1730:C1826,D1730:D1826,1)))</f>
        <v>1.52879863505155</v>
      </c>
      <c r="F1778" s="10" t="n">
        <f aca="false">IF(B1778="","",(B1778-E1778)/Resumen!$B$5)</f>
        <v>1.95226478550314</v>
      </c>
      <c r="G1778" s="10" t="n">
        <f aca="false">IF(OR(F1778="",C1778=""),0,(F1778-C1778)*0.9)</f>
        <v>-0.0716716930471736</v>
      </c>
      <c r="H1778" s="26" t="n">
        <f aca="false">IF(A1778&lt;Resumen!$B$11,"",IF(H1777="",0,H1777)+G1778/Resumen!$B$9)</f>
        <v>1.12197486301839</v>
      </c>
      <c r="I1778" s="26" t="n">
        <f aca="false">IF(H1778="","",H1778-AVERAGE(H1730:H1826))</f>
        <v>-0.0710686409141899</v>
      </c>
      <c r="J1778" s="27" t="n">
        <f aca="false">IF(I1778="","",Resumen!$B$10-(MAX(I1730:I1826)-I1778))</f>
        <v>1.53637524968993</v>
      </c>
    </row>
    <row r="1779" customFormat="false" ht="15" hidden="false" customHeight="false" outlineLevel="0" collapsed="false">
      <c r="A1779" s="24" t="n">
        <v>46279.90625</v>
      </c>
      <c r="B1779" s="10" t="n">
        <v>4.0799</v>
      </c>
      <c r="C1779" s="10" t="n">
        <v>2.0683</v>
      </c>
      <c r="D1779" s="10" t="n">
        <f aca="false">IF(OR(B1779="",C1779="",B1779&lt;=0.05,C1779&lt;=0.05),0,1)</f>
        <v>1</v>
      </c>
      <c r="E1779" s="25" t="n">
        <f aca="false">IF(OR(A1779&lt;Resumen!$B$6,A1779&gt;=Resumen!$B$7),0,MAX(0,AVERAGEIFS(B1731:B1827,D1731:D1827,1)-Resumen!$B$5*AVERAGEIFS(C1731:C1827,D1731:D1827,1)))</f>
        <v>1.52525167216495</v>
      </c>
      <c r="F1779" s="10" t="n">
        <f aca="false">IF(B1779="","",(B1779-E1779)/Resumen!$B$5)</f>
        <v>2.02910907691426</v>
      </c>
      <c r="G1779" s="10" t="n">
        <f aca="false">IF(OR(F1779="",C1779=""),0,(F1779-C1779)*0.9)</f>
        <v>-0.0352718307771671</v>
      </c>
      <c r="H1779" s="26" t="n">
        <f aca="false">IF(A1779&lt;Resumen!$B$11,"",IF(H1778="",0,H1778)+G1779/Resumen!$B$9)</f>
        <v>1.12030760273346</v>
      </c>
      <c r="I1779" s="26" t="n">
        <f aca="false">IF(H1779="","",H1779-AVERAGE(H1731:H1827))</f>
        <v>-0.072631006969706</v>
      </c>
      <c r="J1779" s="27" t="n">
        <f aca="false">IF(I1779="","",Resumen!$B$10-(MAX(I1731:I1827)-I1779))</f>
        <v>1.53481288363442</v>
      </c>
    </row>
    <row r="1780" customFormat="false" ht="15" hidden="false" customHeight="false" outlineLevel="0" collapsed="false">
      <c r="A1780" s="24" t="n">
        <v>46279.9166666667</v>
      </c>
      <c r="B1780" s="10" t="n">
        <v>4.0724</v>
      </c>
      <c r="C1780" s="10" t="n">
        <v>2.4181</v>
      </c>
      <c r="D1780" s="10" t="n">
        <f aca="false">IF(OR(B1780="",C1780="",B1780&lt;=0.05,C1780&lt;=0.05),0,1)</f>
        <v>1</v>
      </c>
      <c r="E1780" s="25" t="n">
        <f aca="false">IF(OR(A1780&lt;Resumen!$B$6,A1780&gt;=Resumen!$B$7),0,MAX(0,AVERAGEIFS(B1732:B1828,D1732:D1828,1)-Resumen!$B$5*AVERAGEIFS(C1732:C1828,D1732:D1828,1)))</f>
        <v>1.52309291752577</v>
      </c>
      <c r="F1780" s="10" t="n">
        <f aca="false">IF(B1780="","",(B1780-E1780)/Resumen!$B$5)</f>
        <v>2.02486662627024</v>
      </c>
      <c r="G1780" s="10" t="n">
        <f aca="false">IF(OR(F1780="",C1780=""),0,(F1780-C1780)*0.9)</f>
        <v>-0.353910036356788</v>
      </c>
      <c r="H1780" s="26" t="n">
        <f aca="false">IF(A1780&lt;Resumen!$B$11,"",IF(H1779="",0,H1779)+G1780/Resumen!$B$9)</f>
        <v>1.10357866819698</v>
      </c>
      <c r="I1780" s="26" t="n">
        <f aca="false">IF(H1780="","",H1780-AVERAGE(H1732:H1828))</f>
        <v>-0.0889915098704133</v>
      </c>
      <c r="J1780" s="27" t="n">
        <f aca="false">IF(I1780="","",Resumen!$B$10-(MAX(I1732:I1828)-I1780))</f>
        <v>1.51845238073371</v>
      </c>
    </row>
    <row r="1781" customFormat="false" ht="15" hidden="false" customHeight="false" outlineLevel="0" collapsed="false">
      <c r="A1781" s="24" t="n">
        <v>46279.9270833333</v>
      </c>
      <c r="B1781" s="10" t="n">
        <v>3.7253</v>
      </c>
      <c r="C1781" s="10" t="n">
        <v>2.4068</v>
      </c>
      <c r="D1781" s="10" t="n">
        <f aca="false">IF(OR(B1781="",C1781="",B1781&lt;=0.05,C1781&lt;=0.05),0,1)</f>
        <v>1</v>
      </c>
      <c r="E1781" s="25" t="n">
        <f aca="false">IF(OR(A1781&lt;Resumen!$B$6,A1781&gt;=Resumen!$B$7),0,MAX(0,AVERAGEIFS(B1733:B1829,D1733:D1829,1)-Resumen!$B$5*AVERAGEIFS(C1733:C1829,D1733:D1829,1)))</f>
        <v>1.5251760072165</v>
      </c>
      <c r="F1781" s="10" t="n">
        <f aca="false">IF(B1781="","",(B1781-E1781)/Resumen!$B$5)</f>
        <v>1.74751707131335</v>
      </c>
      <c r="G1781" s="10" t="n">
        <f aca="false">IF(OR(F1781="",C1781=""),0,(F1781-C1781)*0.9)</f>
        <v>-0.593354635817987</v>
      </c>
      <c r="H1781" s="26" t="n">
        <f aca="false">IF(A1781&lt;Resumen!$B$11,"",IF(H1780="",0,H1780)+G1781/Resumen!$B$9)</f>
        <v>1.07553145325587</v>
      </c>
      <c r="I1781" s="26" t="n">
        <f aca="false">IF(H1781="","",H1781-AVERAGE(H1733:H1829))</f>
        <v>-0.116543608907484</v>
      </c>
      <c r="J1781" s="27" t="n">
        <f aca="false">IF(I1781="","",Resumen!$B$10-(MAX(I1733:I1829)-I1781))</f>
        <v>1.49090028169664</v>
      </c>
    </row>
    <row r="1782" customFormat="false" ht="15" hidden="false" customHeight="false" outlineLevel="0" collapsed="false">
      <c r="A1782" s="24" t="n">
        <v>46279.9375</v>
      </c>
      <c r="B1782" s="10" t="n">
        <v>4.4705</v>
      </c>
      <c r="C1782" s="10" t="n">
        <v>2.0298</v>
      </c>
      <c r="D1782" s="10" t="n">
        <f aca="false">IF(OR(B1782="",C1782="",B1782&lt;=0.05,C1782&lt;=0.05),0,1)</f>
        <v>1</v>
      </c>
      <c r="E1782" s="25" t="n">
        <f aca="false">IF(OR(A1782&lt;Resumen!$B$6,A1782&gt;=Resumen!$B$7),0,MAX(0,AVERAGEIFS(B1734:B1830,D1734:D1830,1)-Resumen!$B$5*AVERAGEIFS(C1734:C1830,D1734:D1830,1)))</f>
        <v>1.54269878659794</v>
      </c>
      <c r="F1782" s="10" t="n">
        <f aca="false">IF(B1782="","",(B1782-E1782)/Resumen!$B$5)</f>
        <v>2.32549738951713</v>
      </c>
      <c r="G1782" s="10" t="n">
        <f aca="false">IF(OR(F1782="",C1782=""),0,(F1782-C1782)*0.9)</f>
        <v>0.266127650565414</v>
      </c>
      <c r="H1782" s="26" t="n">
        <f aca="false">IF(A1782&lt;Resumen!$B$11,"",IF(H1781="",0,H1781)+G1782/Resumen!$B$9)</f>
        <v>1.08811101186485</v>
      </c>
      <c r="I1782" s="26" t="n">
        <f aca="false">IF(H1782="","",H1782-AVERAGE(H1734:H1830))</f>
        <v>-0.10385716904693</v>
      </c>
      <c r="J1782" s="27" t="n">
        <f aca="false">IF(I1782="","",Resumen!$B$10-(MAX(I1734:I1830)-I1782))</f>
        <v>1.50358672155719</v>
      </c>
    </row>
    <row r="1783" customFormat="false" ht="15" hidden="false" customHeight="false" outlineLevel="0" collapsed="false">
      <c r="A1783" s="24" t="n">
        <v>46279.9479166667</v>
      </c>
      <c r="B1783" s="10" t="n">
        <v>3.5277</v>
      </c>
      <c r="C1783" s="10" t="n">
        <v>2.5737</v>
      </c>
      <c r="D1783" s="10" t="n">
        <f aca="false">IF(OR(B1783="",C1783="",B1783&lt;=0.05,C1783&lt;=0.05),0,1)</f>
        <v>1</v>
      </c>
      <c r="E1783" s="25" t="n">
        <f aca="false">IF(OR(A1783&lt;Resumen!$B$6,A1783&gt;=Resumen!$B$7),0,MAX(0,AVERAGEIFS(B1735:B1831,D1735:D1831,1)-Resumen!$B$5*AVERAGEIFS(C1735:C1831,D1735:D1831,1)))</f>
        <v>1.53204262061856</v>
      </c>
      <c r="F1783" s="10" t="n">
        <f aca="false">IF(B1783="","",(B1783-E1783)/Resumen!$B$5)</f>
        <v>1.58511308926247</v>
      </c>
      <c r="G1783" s="10" t="n">
        <f aca="false">IF(OR(F1783="",C1783=""),0,(F1783-C1783)*0.9)</f>
        <v>-0.889728219663782</v>
      </c>
      <c r="H1783" s="26" t="n">
        <f aca="false">IF(A1783&lt;Resumen!$B$11,"",IF(H1782="",0,H1782)+G1783/Resumen!$B$9)</f>
        <v>1.04605454662516</v>
      </c>
      <c r="I1783" s="26" t="n">
        <f aca="false">IF(H1783="","",H1783-AVERAGE(H1735:H1831))</f>
        <v>-0.145243462979592</v>
      </c>
      <c r="J1783" s="27" t="n">
        <f aca="false">IF(I1783="","",Resumen!$B$10-(MAX(I1735:I1831)-I1783))</f>
        <v>1.46220042762453</v>
      </c>
    </row>
    <row r="1784" customFormat="false" ht="15" hidden="false" customHeight="false" outlineLevel="0" collapsed="false">
      <c r="A1784" s="24" t="n">
        <v>46279.9583333333</v>
      </c>
      <c r="B1784" s="10" t="n">
        <v>4.64</v>
      </c>
      <c r="C1784" s="10" t="n">
        <v>2.3046</v>
      </c>
      <c r="D1784" s="10" t="n">
        <f aca="false">IF(OR(B1784="",C1784="",B1784&lt;=0.05,C1784&lt;=0.05),0,1)</f>
        <v>1</v>
      </c>
      <c r="E1784" s="25" t="n">
        <f aca="false">IF(OR(A1784&lt;Resumen!$B$6,A1784&gt;=Resumen!$B$7),0,MAX(0,AVERAGEIFS(B1736:B1832,D1736:D1832,1)-Resumen!$B$5*AVERAGEIFS(C1736:C1832,D1736:D1832,1)))</f>
        <v>1.53562728659794</v>
      </c>
      <c r="F1784" s="10" t="n">
        <f aca="false">IF(B1784="","",(B1784-E1784)/Resumen!$B$5)</f>
        <v>2.46574480810331</v>
      </c>
      <c r="G1784" s="10" t="n">
        <f aca="false">IF(OR(F1784="",C1784=""),0,(F1784-C1784)*0.9)</f>
        <v>0.145030327292974</v>
      </c>
      <c r="H1784" s="26" t="n">
        <f aca="false">IF(A1784&lt;Resumen!$B$11,"",IF(H1783="",0,H1783)+G1784/Resumen!$B$9)</f>
        <v>1.05290996919544</v>
      </c>
      <c r="I1784" s="26" t="n">
        <f aca="false">IF(H1784="","",H1784-AVERAGE(H1736:H1832))</f>
        <v>-0.137628670712713</v>
      </c>
      <c r="J1784" s="27" t="n">
        <f aca="false">IF(I1784="","",Resumen!$B$10-(MAX(I1736:I1832)-I1784))</f>
        <v>1.46981521989141</v>
      </c>
    </row>
    <row r="1785" customFormat="false" ht="15" hidden="false" customHeight="false" outlineLevel="0" collapsed="false">
      <c r="A1785" s="24" t="n">
        <v>46279.96875</v>
      </c>
      <c r="B1785" s="10" t="n">
        <v>4.4813</v>
      </c>
      <c r="C1785" s="10" t="n">
        <v>2.0387</v>
      </c>
      <c r="D1785" s="10" t="n">
        <f aca="false">IF(OR(B1785="",C1785="",B1785&lt;=0.05,C1785&lt;=0.05),0,1)</f>
        <v>1</v>
      </c>
      <c r="E1785" s="25" t="n">
        <f aca="false">IF(OR(A1785&lt;Resumen!$B$6,A1785&gt;=Resumen!$B$7),0,MAX(0,AVERAGEIFS(B1737:B1833,D1737:D1833,1)-Resumen!$B$5*AVERAGEIFS(C1737:C1833,D1737:D1833,1)))</f>
        <v>1.53156294845361</v>
      </c>
      <c r="F1785" s="10" t="n">
        <f aca="false">IF(B1785="","",(B1785-E1785)/Resumen!$B$5)</f>
        <v>2.34292061282477</v>
      </c>
      <c r="G1785" s="10" t="n">
        <f aca="false">IF(OR(F1785="",C1785=""),0,(F1785-C1785)*0.9)</f>
        <v>0.273798551542297</v>
      </c>
      <c r="H1785" s="26" t="n">
        <f aca="false">IF(A1785&lt;Resumen!$B$11,"",IF(H1784="",0,H1784)+G1785/Resumen!$B$9)</f>
        <v>1.06585212277799</v>
      </c>
      <c r="I1785" s="26" t="n">
        <f aca="false">IF(H1785="","",H1785-AVERAGE(H1737:H1833))</f>
        <v>-0.123579381053144</v>
      </c>
      <c r="J1785" s="27" t="n">
        <f aca="false">IF(I1785="","",Resumen!$B$10-(MAX(I1737:I1833)-I1785))</f>
        <v>1.48386450955098</v>
      </c>
    </row>
    <row r="1786" customFormat="false" ht="15" hidden="false" customHeight="false" outlineLevel="0" collapsed="false">
      <c r="A1786" s="24" t="n">
        <v>46279.9791666667</v>
      </c>
      <c r="B1786" s="10" t="n">
        <v>4.1999</v>
      </c>
      <c r="C1786" s="10" t="n">
        <v>2.0964</v>
      </c>
      <c r="D1786" s="10" t="n">
        <f aca="false">IF(OR(B1786="",C1786="",B1786&lt;=0.05,C1786&lt;=0.05),0,1)</f>
        <v>1</v>
      </c>
      <c r="E1786" s="25" t="n">
        <f aca="false">IF(OR(A1786&lt;Resumen!$B$6,A1786&gt;=Resumen!$B$7),0,MAX(0,AVERAGEIFS(B1738:B1834,D1738:D1834,1)-Resumen!$B$5*AVERAGEIFS(C1738:C1834,D1738:D1834,1)))</f>
        <v>1.54603150618557</v>
      </c>
      <c r="F1786" s="10" t="n">
        <f aca="false">IF(B1786="","",(B1786-E1786)/Resumen!$B$5)</f>
        <v>2.10791778698525</v>
      </c>
      <c r="G1786" s="10" t="n">
        <f aca="false">IF(OR(F1786="",C1786=""),0,(F1786-C1786)*0.9)</f>
        <v>0.0103660082867273</v>
      </c>
      <c r="H1786" s="26" t="n">
        <f aca="false">IF(A1786&lt;Resumen!$B$11,"",IF(H1785="",0,H1785)+G1786/Resumen!$B$9)</f>
        <v>1.0663421124822</v>
      </c>
      <c r="I1786" s="26" t="n">
        <f aca="false">IF(H1786="","",H1786-AVERAGE(H1738:H1834))</f>
        <v>-0.122261417943082</v>
      </c>
      <c r="J1786" s="27" t="n">
        <f aca="false">IF(I1786="","",Resumen!$B$10-(MAX(I1738:I1834)-I1786))</f>
        <v>1.48518247266104</v>
      </c>
    </row>
    <row r="1787" customFormat="false" ht="15" hidden="false" customHeight="false" outlineLevel="0" collapsed="false">
      <c r="A1787" s="24" t="n">
        <v>46279.9895833333</v>
      </c>
      <c r="B1787" s="10" t="n">
        <v>4.7081</v>
      </c>
      <c r="C1787" s="10" t="n">
        <v>1.9573</v>
      </c>
      <c r="D1787" s="10" t="n">
        <f aca="false">IF(OR(B1787="",C1787="",B1787&lt;=0.05,C1787&lt;=0.05),0,1)</f>
        <v>1</v>
      </c>
      <c r="E1787" s="25" t="n">
        <f aca="false">IF(OR(A1787&lt;Resumen!$B$6,A1787&gt;=Resumen!$B$7),0,MAX(0,AVERAGEIFS(B1739:B1835,D1739:D1835,1)-Resumen!$B$5*AVERAGEIFS(C1739:C1835,D1739:D1835,1)))</f>
        <v>1.5586733</v>
      </c>
      <c r="F1787" s="10" t="n">
        <f aca="false">IF(B1787="","",(B1787-E1787)/Resumen!$B$5)</f>
        <v>2.50153034154091</v>
      </c>
      <c r="G1787" s="10" t="n">
        <f aca="false">IF(OR(F1787="",C1787=""),0,(F1787-C1787)*0.9)</f>
        <v>0.489807307386815</v>
      </c>
      <c r="H1787" s="26" t="n">
        <f aca="false">IF(A1787&lt;Resumen!$B$11,"",IF(H1786="",0,H1786)+G1787/Resumen!$B$9)</f>
        <v>1.08949476015819</v>
      </c>
      <c r="I1787" s="26" t="n">
        <f aca="false">IF(H1787="","",H1787-AVERAGE(H1739:H1835))</f>
        <v>-0.0985008257938143</v>
      </c>
      <c r="J1787" s="27" t="n">
        <f aca="false">IF(I1787="","",Resumen!$B$10-(MAX(I1739:I1835)-I1787))</f>
        <v>1.50894306481031</v>
      </c>
    </row>
    <row r="1788" customFormat="false" ht="15" hidden="false" customHeight="false" outlineLevel="0" collapsed="false">
      <c r="A1788" s="24" t="n">
        <v>46280</v>
      </c>
      <c r="B1788" s="10" t="n">
        <v>3.118</v>
      </c>
      <c r="C1788" s="10" t="n">
        <v>1.8716</v>
      </c>
      <c r="D1788" s="10" t="n">
        <f aca="false">IF(OR(B1788="",C1788="",B1788&lt;=0.05,C1788&lt;=0.05),0,1)</f>
        <v>1</v>
      </c>
      <c r="E1788" s="25" t="n">
        <f aca="false">IF(OR(A1788&lt;Resumen!$B$6,A1788&gt;=Resumen!$B$7),0,MAX(0,AVERAGEIFS(B1740:B1836,D1740:D1836,1)-Resumen!$B$5*AVERAGEIFS(C1740:C1836,D1740:D1836,1)))</f>
        <v>1.55687693092784</v>
      </c>
      <c r="F1788" s="10" t="n">
        <f aca="false">IF(B1788="","",(B1788-E1788)/Resumen!$B$5)</f>
        <v>1.23997066645923</v>
      </c>
      <c r="G1788" s="10" t="n">
        <f aca="false">IF(OR(F1788="",C1788=""),0,(F1788-C1788)*0.9)</f>
        <v>-0.568466400186697</v>
      </c>
      <c r="H1788" s="26" t="n">
        <f aca="false">IF(A1788&lt;Resumen!$B$11,"",IF(H1787="",0,H1787)+G1788/Resumen!$B$9)</f>
        <v>1.06262398448647</v>
      </c>
      <c r="I1788" s="26" t="n">
        <f aca="false">IF(H1788="","",H1788-AVERAGE(H1740:H1836))</f>
        <v>-0.124498379885516</v>
      </c>
      <c r="J1788" s="27" t="n">
        <f aca="false">IF(I1788="","",Resumen!$B$10-(MAX(I1740:I1836)-I1788))</f>
        <v>1.48294551071861</v>
      </c>
    </row>
    <row r="1789" customFormat="false" ht="15" hidden="false" customHeight="false" outlineLevel="0" collapsed="false">
      <c r="A1789" s="24" t="n">
        <v>46280.0104166667</v>
      </c>
      <c r="B1789" s="10" t="n">
        <v>2.8948</v>
      </c>
      <c r="C1789" s="10" t="n">
        <v>1.8642</v>
      </c>
      <c r="D1789" s="10" t="n">
        <f aca="false">IF(OR(B1789="",C1789="",B1789&lt;=0.05,C1789&lt;=0.05),0,1)</f>
        <v>1</v>
      </c>
      <c r="E1789" s="25" t="n">
        <f aca="false">IF(OR(A1789&lt;Resumen!$B$6,A1789&gt;=Resumen!$B$7),0,MAX(0,AVERAGEIFS(B1741:B1837,D1741:D1837,1)-Resumen!$B$5*AVERAGEIFS(C1741:C1837,D1741:D1837,1)))</f>
        <v>1.56275372680412</v>
      </c>
      <c r="F1789" s="10" t="n">
        <f aca="false">IF(B1789="","",(B1789-E1789)/Resumen!$B$5)</f>
        <v>1.05801927974255</v>
      </c>
      <c r="G1789" s="10" t="n">
        <f aca="false">IF(OR(F1789="",C1789=""),0,(F1789-C1789)*0.9)</f>
        <v>-0.725562648231701</v>
      </c>
      <c r="H1789" s="26" t="n">
        <f aca="false">IF(A1789&lt;Resumen!$B$11,"",IF(H1788="",0,H1788)+G1789/Resumen!$B$9)</f>
        <v>1.02832744356513</v>
      </c>
      <c r="I1789" s="26" t="n">
        <f aca="false">IF(H1789="","",H1789-AVERAGE(H1741:H1837))</f>
        <v>-0.157908554444481</v>
      </c>
      <c r="J1789" s="27" t="n">
        <f aca="false">IF(I1789="","",Resumen!$B$10-(MAX(I1741:I1837)-I1789))</f>
        <v>1.44953533615964</v>
      </c>
    </row>
    <row r="1790" customFormat="false" ht="15" hidden="false" customHeight="false" outlineLevel="0" collapsed="false">
      <c r="A1790" s="24" t="n">
        <v>46280.0208333333</v>
      </c>
      <c r="B1790" s="10" t="n">
        <v>2.9895</v>
      </c>
      <c r="C1790" s="10" t="n">
        <v>1.8321</v>
      </c>
      <c r="D1790" s="10" t="n">
        <f aca="false">IF(OR(B1790="",C1790="",B1790&lt;=0.05,C1790&lt;=0.05),0,1)</f>
        <v>1</v>
      </c>
      <c r="E1790" s="25" t="n">
        <f aca="false">IF(OR(A1790&lt;Resumen!$B$6,A1790&gt;=Resumen!$B$7),0,MAX(0,AVERAGEIFS(B1742:B1838,D1742:D1838,1)-Resumen!$B$5*AVERAGEIFS(C1742:C1838,D1742:D1838,1)))</f>
        <v>1.57752271752577</v>
      </c>
      <c r="F1790" s="10" t="n">
        <f aca="false">IF(B1790="","",(B1790-E1790)/Resumen!$B$5)</f>
        <v>1.12150697575395</v>
      </c>
      <c r="G1790" s="10" t="n">
        <f aca="false">IF(OR(F1790="",C1790=""),0,(F1790-C1790)*0.9)</f>
        <v>-0.639533721821443</v>
      </c>
      <c r="H1790" s="26" t="n">
        <f aca="false">IF(A1790&lt;Resumen!$B$11,"",IF(H1789="",0,H1789)+G1790/Resumen!$B$9)</f>
        <v>0.998097394492889</v>
      </c>
      <c r="I1790" s="26" t="n">
        <f aca="false">IF(H1790="","",H1790-AVERAGE(H1742:H1838))</f>
        <v>-0.187527921702201</v>
      </c>
      <c r="J1790" s="27" t="n">
        <f aca="false">IF(I1790="","",Resumen!$B$10-(MAX(I1742:I1838)-I1790))</f>
        <v>1.41991596890192</v>
      </c>
    </row>
    <row r="1791" customFormat="false" ht="15" hidden="false" customHeight="false" outlineLevel="0" collapsed="false">
      <c r="A1791" s="24" t="n">
        <v>46280.03125</v>
      </c>
      <c r="B1791" s="10" t="n">
        <v>4.1251</v>
      </c>
      <c r="C1791" s="10" t="n">
        <v>2.3017</v>
      </c>
      <c r="D1791" s="10" t="n">
        <f aca="false">IF(OR(B1791="",C1791="",B1791&lt;=0.05,C1791&lt;=0.05),0,1)</f>
        <v>1</v>
      </c>
      <c r="E1791" s="25" t="n">
        <f aca="false">IF(OR(A1791&lt;Resumen!$B$6,A1791&gt;=Resumen!$B$7),0,MAX(0,AVERAGEIFS(B1743:B1839,D1743:D1839,1)-Resumen!$B$5*AVERAGEIFS(C1743:C1839,D1743:D1839,1)))</f>
        <v>1.59230932680412</v>
      </c>
      <c r="F1791" s="10" t="n">
        <f aca="false">IF(B1791="","",(B1791-E1791)/Resumen!$B$5)</f>
        <v>2.01174795329299</v>
      </c>
      <c r="G1791" s="10" t="n">
        <f aca="false">IF(OR(F1791="",C1791=""),0,(F1791-C1791)*0.9)</f>
        <v>-0.260956842036308</v>
      </c>
      <c r="H1791" s="26" t="n">
        <f aca="false">IF(A1791&lt;Resumen!$B$11,"",IF(H1790="",0,H1790)+G1791/Resumen!$B$9)</f>
        <v>0.985762254262869</v>
      </c>
      <c r="I1791" s="26" t="n">
        <f aca="false">IF(H1791="","",H1791-AVERAGE(H1743:H1839))</f>
        <v>-0.199525537941856</v>
      </c>
      <c r="J1791" s="27" t="n">
        <f aca="false">IF(I1791="","",Resumen!$B$10-(MAX(I1743:I1839)-I1791))</f>
        <v>1.40791835266227</v>
      </c>
    </row>
    <row r="1792" customFormat="false" ht="15" hidden="false" customHeight="false" outlineLevel="0" collapsed="false">
      <c r="A1792" s="24" t="n">
        <v>46280.0416666667</v>
      </c>
      <c r="B1792" s="10" t="n">
        <v>3.8862</v>
      </c>
      <c r="C1792" s="10" t="n">
        <v>1.7597</v>
      </c>
      <c r="D1792" s="10" t="n">
        <f aca="false">IF(OR(B1792="",C1792="",B1792&lt;=0.05,C1792&lt;=0.05),0,1)</f>
        <v>1</v>
      </c>
      <c r="E1792" s="25" t="n">
        <f aca="false">IF(OR(A1792&lt;Resumen!$B$6,A1792&gt;=Resumen!$B$7),0,MAX(0,AVERAGEIFS(B1744:B1840,D1744:D1840,1)-Resumen!$B$5*AVERAGEIFS(C1744:C1840,D1744:D1840,1)))</f>
        <v>1.60085840618557</v>
      </c>
      <c r="F1792" s="10" t="n">
        <f aca="false">IF(B1792="","",(B1792-E1792)/Resumen!$B$5)</f>
        <v>1.81520380763656</v>
      </c>
      <c r="G1792" s="10" t="n">
        <f aca="false">IF(OR(F1792="",C1792=""),0,(F1792-C1792)*0.9)</f>
        <v>0.0499534268729065</v>
      </c>
      <c r="H1792" s="26" t="n">
        <f aca="false">IF(A1792&lt;Resumen!$B$11,"",IF(H1791="",0,H1791)+G1792/Resumen!$B$9)</f>
        <v>0.988123497296925</v>
      </c>
      <c r="I1792" s="26" t="n">
        <f aca="false">IF(H1792="","",H1792-AVERAGE(H1744:H1840))</f>
        <v>-0.196889785029501</v>
      </c>
      <c r="J1792" s="27" t="n">
        <f aca="false">IF(I1792="","",Resumen!$B$10-(MAX(I1744:I1840)-I1792))</f>
        <v>1.41055410557462</v>
      </c>
    </row>
    <row r="1793" customFormat="false" ht="15" hidden="false" customHeight="false" outlineLevel="0" collapsed="false">
      <c r="A1793" s="24" t="n">
        <v>46280.0520833333</v>
      </c>
      <c r="B1793" s="10" t="n">
        <v>3.8947</v>
      </c>
      <c r="C1793" s="10" t="n">
        <v>2.1031</v>
      </c>
      <c r="D1793" s="10" t="n">
        <f aca="false">IF(OR(B1793="",C1793="",B1793&lt;=0.05,C1793&lt;=0.05),0,1)</f>
        <v>1</v>
      </c>
      <c r="E1793" s="25" t="n">
        <f aca="false">IF(OR(A1793&lt;Resumen!$B$6,A1793&gt;=Resumen!$B$7),0,MAX(0,AVERAGEIFS(B1745:B1841,D1745:D1841,1)-Resumen!$B$5*AVERAGEIFS(C1745:C1841,D1745:D1841,1)))</f>
        <v>1.58084685257732</v>
      </c>
      <c r="F1793" s="10" t="n">
        <f aca="false">IF(B1793="","",(B1793-E1793)/Resumen!$B$5)</f>
        <v>1.83784999795288</v>
      </c>
      <c r="G1793" s="10" t="n">
        <f aca="false">IF(OR(F1793="",C1793=""),0,(F1793-C1793)*0.9)</f>
        <v>-0.238725001842405</v>
      </c>
      <c r="H1793" s="26" t="n">
        <f aca="false">IF(A1793&lt;Resumen!$B$11,"",IF(H1792="",0,H1792)+G1793/Resumen!$B$9)</f>
        <v>0.976839231472892</v>
      </c>
      <c r="I1793" s="26" t="n">
        <f aca="false">IF(H1793="","",H1793-AVERAGE(H1745:H1841))</f>
        <v>-0.207002325813678</v>
      </c>
      <c r="J1793" s="27" t="n">
        <f aca="false">IF(I1793="","",Resumen!$B$10-(MAX(I1745:I1841)-I1793))</f>
        <v>1.40044156479045</v>
      </c>
    </row>
    <row r="1794" customFormat="false" ht="15" hidden="false" customHeight="false" outlineLevel="0" collapsed="false">
      <c r="A1794" s="24" t="n">
        <v>46280.0625</v>
      </c>
      <c r="B1794" s="10" t="n">
        <v>4.0779</v>
      </c>
      <c r="C1794" s="10" t="n">
        <v>1.7658</v>
      </c>
      <c r="D1794" s="10" t="n">
        <f aca="false">IF(OR(B1794="",C1794="",B1794&lt;=0.05,C1794&lt;=0.05),0,1)</f>
        <v>1</v>
      </c>
      <c r="E1794" s="25" t="n">
        <f aca="false">IF(OR(A1794&lt;Resumen!$B$6,A1794&gt;=Resumen!$B$7),0,MAX(0,AVERAGEIFS(B1746:B1842,D1746:D1842,1)-Resumen!$B$5*AVERAGEIFS(C1746:C1842,D1746:D1842,1)))</f>
        <v>1.57978629587629</v>
      </c>
      <c r="F1794" s="10" t="n">
        <f aca="false">IF(B1794="","",(B1794-E1794)/Resumen!$B$5)</f>
        <v>1.98420468953432</v>
      </c>
      <c r="G1794" s="10" t="n">
        <f aca="false">IF(OR(F1794="",C1794=""),0,(F1794-C1794)*0.9)</f>
        <v>0.19656422058089</v>
      </c>
      <c r="H1794" s="26" t="n">
        <f aca="false">IF(A1794&lt;Resumen!$B$11,"",IF(H1793="",0,H1793)+G1794/Resumen!$B$9)</f>
        <v>0.986130603970159</v>
      </c>
      <c r="I1794" s="26" t="n">
        <f aca="false">IF(H1794="","",H1794-AVERAGE(H1746:H1842))</f>
        <v>-0.19627607138162</v>
      </c>
      <c r="J1794" s="27" t="n">
        <f aca="false">IF(I1794="","",Resumen!$B$10-(MAX(I1746:I1842)-I1794))</f>
        <v>1.4111678192225</v>
      </c>
    </row>
    <row r="1795" customFormat="false" ht="15" hidden="false" customHeight="false" outlineLevel="0" collapsed="false">
      <c r="A1795" s="24" t="n">
        <v>46280.0729166667</v>
      </c>
      <c r="B1795" s="10" t="n">
        <v>4.7445</v>
      </c>
      <c r="C1795" s="10" t="n">
        <v>1.7947</v>
      </c>
      <c r="D1795" s="10" t="n">
        <f aca="false">IF(OR(B1795="",C1795="",B1795&lt;=0.05,C1795&lt;=0.05),0,1)</f>
        <v>1</v>
      </c>
      <c r="E1795" s="25" t="n">
        <f aca="false">IF(OR(A1795&lt;Resumen!$B$6,A1795&gt;=Resumen!$B$7),0,MAX(0,AVERAGEIFS(B1747:B1843,D1747:D1843,1)-Resumen!$B$5*AVERAGEIFS(C1747:C1843,D1747:D1843,1)))</f>
        <v>1.60276499278351</v>
      </c>
      <c r="F1795" s="10" t="n">
        <f aca="false">IF(B1795="","",(B1795-E1795)/Resumen!$B$5)</f>
        <v>2.49542097475496</v>
      </c>
      <c r="G1795" s="10" t="n">
        <f aca="false">IF(OR(F1795="",C1795=""),0,(F1795-C1795)*0.9)</f>
        <v>0.630648877279464</v>
      </c>
      <c r="H1795" s="26" t="n">
        <f aca="false">IF(A1795&lt;Resumen!$B$11,"",IF(H1794="",0,H1794)+G1795/Resumen!$B$9)</f>
        <v>1.01594067630413</v>
      </c>
      <c r="I1795" s="26" t="n">
        <f aca="false">IF(H1795="","",H1795-AVERAGE(H1747:H1843))</f>
        <v>-0.165579360882824</v>
      </c>
      <c r="J1795" s="27" t="n">
        <f aca="false">IF(I1795="","",Resumen!$B$10-(MAX(I1747:I1843)-I1795))</f>
        <v>1.4418645297213</v>
      </c>
    </row>
    <row r="1796" customFormat="false" ht="15" hidden="false" customHeight="false" outlineLevel="0" collapsed="false">
      <c r="A1796" s="24" t="n">
        <v>46280.0833333333</v>
      </c>
      <c r="B1796" s="10" t="n">
        <v>4.2302</v>
      </c>
      <c r="C1796" s="10" t="n">
        <v>1.7462</v>
      </c>
      <c r="D1796" s="10" t="n">
        <f aca="false">IF(OR(B1796="",C1796="",B1796&lt;=0.05,C1796&lt;=0.05),0,1)</f>
        <v>1</v>
      </c>
      <c r="E1796" s="25" t="n">
        <f aca="false">IF(OR(A1796&lt;Resumen!$B$6,A1796&gt;=Resumen!$B$7),0,MAX(0,AVERAGEIFS(B1748:B1844,D1748:D1844,1)-Resumen!$B$5*AVERAGEIFS(C1748:C1844,D1748:D1844,1)))</f>
        <v>1.61186623917526</v>
      </c>
      <c r="F1796" s="10" t="n">
        <f aca="false">IF(B1796="","",(B1796-E1796)/Resumen!$B$5)</f>
        <v>2.07969321749384</v>
      </c>
      <c r="G1796" s="10" t="n">
        <f aca="false">IF(OR(F1796="",C1796=""),0,(F1796-C1796)*0.9)</f>
        <v>0.300143895744454</v>
      </c>
      <c r="H1796" s="26" t="n">
        <f aca="false">IF(A1796&lt;Resumen!$B$11,"",IF(H1795="",0,H1795)+G1796/Resumen!$B$9)</f>
        <v>1.03012814506066</v>
      </c>
      <c r="I1796" s="26" t="n">
        <f aca="false">IF(H1796="","",H1796-AVERAGE(H1748:H1844))</f>
        <v>-0.150591379946682</v>
      </c>
      <c r="J1796" s="27" t="n">
        <f aca="false">IF(I1796="","",Resumen!$B$10-(MAX(I1748:I1844)-I1796))</f>
        <v>1.45685251065744</v>
      </c>
    </row>
    <row r="1797" customFormat="false" ht="15" hidden="false" customHeight="false" outlineLevel="0" collapsed="false">
      <c r="A1797" s="24" t="n">
        <v>46280.09375</v>
      </c>
      <c r="B1797" s="10" t="n">
        <v>4.1361</v>
      </c>
      <c r="C1797" s="10" t="n">
        <v>1.8794</v>
      </c>
      <c r="D1797" s="10" t="n">
        <f aca="false">IF(OR(B1797="",C1797="",B1797&lt;=0.05,C1797&lt;=0.05),0,1)</f>
        <v>1</v>
      </c>
      <c r="E1797" s="25" t="n">
        <f aca="false">IF(OR(A1797&lt;Resumen!$B$6,A1797&gt;=Resumen!$B$7),0,MAX(0,AVERAGEIFS(B1749:B1845,D1749:D1845,1)-Resumen!$B$5*AVERAGEIFS(C1749:C1845,D1749:D1845,1)))</f>
        <v>1.61750892783505</v>
      </c>
      <c r="F1797" s="10" t="n">
        <f aca="false">IF(B1797="","",(B1797-E1797)/Resumen!$B$5)</f>
        <v>2.000469477494</v>
      </c>
      <c r="G1797" s="10" t="n">
        <f aca="false">IF(OR(F1797="",C1797=""),0,(F1797-C1797)*0.9)</f>
        <v>0.108962529744602</v>
      </c>
      <c r="H1797" s="26" t="n">
        <f aca="false">IF(A1797&lt;Resumen!$B$11,"",IF(H1796="",0,H1796)+G1797/Resumen!$B$9)</f>
        <v>1.03527868288036</v>
      </c>
      <c r="I1797" s="26" t="n">
        <f aca="false">IF(H1797="","",H1797-AVERAGE(H1749:H1845))</f>
        <v>-0.144608146030908</v>
      </c>
      <c r="J1797" s="27" t="n">
        <f aca="false">IF(I1797="","",Resumen!$B$10-(MAX(I1749:I1845)-I1797))</f>
        <v>1.46283574457322</v>
      </c>
    </row>
    <row r="1798" customFormat="false" ht="15" hidden="false" customHeight="false" outlineLevel="0" collapsed="false">
      <c r="A1798" s="24" t="n">
        <v>46280.1041666667</v>
      </c>
      <c r="B1798" s="10" t="n">
        <v>3.916</v>
      </c>
      <c r="C1798" s="10" t="n">
        <v>1.7557</v>
      </c>
      <c r="D1798" s="10" t="n">
        <f aca="false">IF(OR(B1798="",C1798="",B1798&lt;=0.05,C1798&lt;=0.05),0,1)</f>
        <v>1</v>
      </c>
      <c r="E1798" s="25" t="n">
        <f aca="false">IF(OR(A1798&lt;Resumen!$B$6,A1798&gt;=Resumen!$B$7),0,MAX(0,AVERAGEIFS(B1750:B1846,D1750:D1846,1)-Resumen!$B$5*AVERAGEIFS(C1750:C1846,D1750:D1846,1)))</f>
        <v>1.60318702886598</v>
      </c>
      <c r="F1798" s="10" t="n">
        <f aca="false">IF(B1798="","",(B1798-E1798)/Resumen!$B$5)</f>
        <v>1.83702380550756</v>
      </c>
      <c r="G1798" s="10" t="n">
        <f aca="false">IF(OR(F1798="",C1798=""),0,(F1798-C1798)*0.9)</f>
        <v>0.0731914249568054</v>
      </c>
      <c r="H1798" s="26" t="n">
        <f aca="false">IF(A1798&lt;Resumen!$B$11,"",IF(H1797="",0,H1797)+G1798/Resumen!$B$9)</f>
        <v>1.0387383602869</v>
      </c>
      <c r="I1798" s="26" t="n">
        <f aca="false">IF(H1798="","",H1798-AVERAGE(H1750:H1846))</f>
        <v>-0.139610315581623</v>
      </c>
      <c r="J1798" s="27" t="n">
        <f aca="false">IF(I1798="","",Resumen!$B$10-(MAX(I1750:I1846)-I1798))</f>
        <v>1.4678335750225</v>
      </c>
    </row>
    <row r="1799" customFormat="false" ht="15" hidden="false" customHeight="false" outlineLevel="0" collapsed="false">
      <c r="A1799" s="24" t="n">
        <v>46280.1145833333</v>
      </c>
      <c r="B1799" s="10" t="n">
        <v>4.1995</v>
      </c>
      <c r="C1799" s="10" t="n">
        <v>1.6787</v>
      </c>
      <c r="D1799" s="10" t="n">
        <f aca="false">IF(OR(B1799="",C1799="",B1799&lt;=0.05,C1799&lt;=0.05),0,1)</f>
        <v>1</v>
      </c>
      <c r="E1799" s="25" t="n">
        <f aca="false">IF(OR(A1799&lt;Resumen!$B$6,A1799&gt;=Resumen!$B$7),0,MAX(0,AVERAGEIFS(B1751:B1847,D1751:D1847,1)-Resumen!$B$5*AVERAGEIFS(C1751:C1847,D1751:D1847,1)))</f>
        <v>1.6046629443299</v>
      </c>
      <c r="F1799" s="10" t="n">
        <f aca="false">IF(B1799="","",(B1799-E1799)/Resumen!$B$5)</f>
        <v>2.06103022690239</v>
      </c>
      <c r="G1799" s="10" t="n">
        <f aca="false">IF(OR(F1799="",C1799=""),0,(F1799-C1799)*0.9)</f>
        <v>0.344097204212146</v>
      </c>
      <c r="H1799" s="26" t="n">
        <f aca="false">IF(A1799&lt;Resumen!$B$11,"",IF(H1798="",0,H1798)+G1799/Resumen!$B$9)</f>
        <v>1.05500345314132</v>
      </c>
      <c r="I1799" s="26" t="n">
        <f aca="false">IF(H1799="","",H1799-AVERAGE(H1751:H1847))</f>
        <v>-0.1216406570751</v>
      </c>
      <c r="J1799" s="27" t="n">
        <f aca="false">IF(I1799="","",Resumen!$B$10-(MAX(I1751:I1847)-I1799))</f>
        <v>1.51068488311759</v>
      </c>
    </row>
    <row r="1800" customFormat="false" ht="15" hidden="false" customHeight="false" outlineLevel="0" collapsed="false">
      <c r="A1800" s="24" t="n">
        <v>46280.125</v>
      </c>
      <c r="B1800" s="10" t="n">
        <v>4.163</v>
      </c>
      <c r="C1800" s="10" t="n">
        <v>1.7539</v>
      </c>
      <c r="D1800" s="10" t="n">
        <f aca="false">IF(OR(B1800="",C1800="",B1800&lt;=0.05,C1800&lt;=0.05),0,1)</f>
        <v>1</v>
      </c>
      <c r="E1800" s="25" t="n">
        <f aca="false">IF(OR(A1800&lt;Resumen!$B$6,A1800&gt;=Resumen!$B$7),0,MAX(0,AVERAGEIFS(B1752:B1848,D1752:D1848,1)-Resumen!$B$5*AVERAGEIFS(C1752:C1848,D1752:D1848,1)))</f>
        <v>1.60022671958763</v>
      </c>
      <c r="F1800" s="10" t="n">
        <f aca="false">IF(B1800="","",(B1800-E1800)/Resumen!$B$5)</f>
        <v>2.03556257379855</v>
      </c>
      <c r="G1800" s="10" t="n">
        <f aca="false">IF(OR(F1800="",C1800=""),0,(F1800-C1800)*0.9)</f>
        <v>0.253496316418693</v>
      </c>
      <c r="H1800" s="26" t="n">
        <f aca="false">IF(A1800&lt;Resumen!$B$11,"",IF(H1799="",0,H1799)+G1800/Resumen!$B$9)</f>
        <v>1.06698594260746</v>
      </c>
      <c r="I1800" s="26" t="n">
        <f aca="false">IF(H1800="","",H1800-AVERAGE(H1752:H1848))</f>
        <v>-0.107592940337066</v>
      </c>
      <c r="J1800" s="27" t="n">
        <f aca="false">IF(I1800="","",Resumen!$B$10-(MAX(I1752:I1848)-I1800))</f>
        <v>1.53350094425754</v>
      </c>
    </row>
    <row r="1801" customFormat="false" ht="15" hidden="false" customHeight="false" outlineLevel="0" collapsed="false">
      <c r="A1801" s="24" t="n">
        <v>46280.1354166667</v>
      </c>
      <c r="B1801" s="10" t="n">
        <v>3.978</v>
      </c>
      <c r="C1801" s="10" t="n">
        <v>1.6701</v>
      </c>
      <c r="D1801" s="10" t="n">
        <f aca="false">IF(OR(B1801="",C1801="",B1801&lt;=0.05,C1801&lt;=0.05),0,1)</f>
        <v>1</v>
      </c>
      <c r="E1801" s="25" t="n">
        <f aca="false">IF(OR(A1801&lt;Resumen!$B$6,A1801&gt;=Resumen!$B$7),0,MAX(0,AVERAGEIFS(B1753:B1849,D1753:D1849,1)-Resumen!$B$5*AVERAGEIFS(C1753:C1849,D1753:D1849,1)))</f>
        <v>1.62339006597938</v>
      </c>
      <c r="F1801" s="10" t="n">
        <f aca="false">IF(B1801="","",(B1801-E1801)/Resumen!$B$5)</f>
        <v>1.87022234632297</v>
      </c>
      <c r="G1801" s="10" t="n">
        <f aca="false">IF(OR(F1801="",C1801=""),0,(F1801-C1801)*0.9)</f>
        <v>0.180110111690672</v>
      </c>
      <c r="H1801" s="26" t="n">
        <f aca="false">IF(A1801&lt;Resumen!$B$11,"",IF(H1800="",0,H1800)+G1801/Resumen!$B$9)</f>
        <v>1.0754995476435</v>
      </c>
      <c r="I1801" s="26" t="n">
        <f aca="false">IF(H1801="","",H1801-AVERAGE(H1753:H1849))</f>
        <v>-0.0975852880836594</v>
      </c>
      <c r="J1801" s="27" t="n">
        <f aca="false">IF(I1801="","",Resumen!$B$10-(MAX(I1753:I1849)-I1801))</f>
        <v>1.59728281355085</v>
      </c>
    </row>
    <row r="1802" customFormat="false" ht="15" hidden="false" customHeight="false" outlineLevel="0" collapsed="false">
      <c r="A1802" s="24" t="n">
        <v>46280.1458333333</v>
      </c>
      <c r="B1802" s="10" t="n">
        <v>3.9712</v>
      </c>
      <c r="C1802" s="10" t="n">
        <v>1.7396</v>
      </c>
      <c r="D1802" s="10" t="n">
        <f aca="false">IF(OR(B1802="",C1802="",B1802&lt;=0.05,C1802&lt;=0.05),0,1)</f>
        <v>1</v>
      </c>
      <c r="E1802" s="25" t="n">
        <f aca="false">IF(OR(A1802&lt;Resumen!$B$6,A1802&gt;=Resumen!$B$7),0,MAX(0,AVERAGEIFS(B1754:B1850,D1754:D1850,1)-Resumen!$B$5*AVERAGEIFS(C1754:C1850,D1754:D1850,1)))</f>
        <v>1.65435165979381</v>
      </c>
      <c r="F1802" s="10" t="n">
        <f aca="false">IF(B1802="","",(B1802-E1802)/Resumen!$B$5)</f>
        <v>1.84022902319792</v>
      </c>
      <c r="G1802" s="10" t="n">
        <f aca="false">IF(OR(F1802="",C1802=""),0,(F1802-C1802)*0.9)</f>
        <v>0.0905661208781313</v>
      </c>
      <c r="H1802" s="26" t="n">
        <f aca="false">IF(A1802&lt;Resumen!$B$11,"",IF(H1801="",0,H1801)+G1802/Resumen!$B$9)</f>
        <v>1.07978050763827</v>
      </c>
      <c r="I1802" s="26" t="n">
        <f aca="false">IF(H1802="","",H1802-AVERAGE(H1754:H1850))</f>
        <v>-0.0926501858575735</v>
      </c>
      <c r="J1802" s="27" t="n">
        <f aca="false">IF(I1802="","",Resumen!$B$10-(MAX(I1754:I1850)-I1802))</f>
        <v>1.61100733255771</v>
      </c>
    </row>
    <row r="1803" customFormat="false" ht="15" hidden="false" customHeight="false" outlineLevel="0" collapsed="false">
      <c r="A1803" s="24" t="n">
        <v>46280.15625</v>
      </c>
      <c r="B1803" s="10" t="n">
        <v>4.0471</v>
      </c>
      <c r="C1803" s="10" t="n">
        <v>1.7833</v>
      </c>
      <c r="D1803" s="10" t="n">
        <f aca="false">IF(OR(B1803="",C1803="",B1803&lt;=0.05,C1803&lt;=0.05),0,1)</f>
        <v>1</v>
      </c>
      <c r="E1803" s="25" t="n">
        <f aca="false">IF(OR(A1803&lt;Resumen!$B$6,A1803&gt;=Resumen!$B$7),0,MAX(0,AVERAGEIFS(B1755:B1851,D1755:D1851,1)-Resumen!$B$5*AVERAGEIFS(C1755:C1851,D1755:D1851,1)))</f>
        <v>1.65770961546392</v>
      </c>
      <c r="F1803" s="10" t="n">
        <f aca="false">IF(B1803="","",(B1803-E1803)/Resumen!$B$5)</f>
        <v>1.89784780344407</v>
      </c>
      <c r="G1803" s="10" t="n">
        <f aca="false">IF(OR(F1803="",C1803=""),0,(F1803-C1803)*0.9)</f>
        <v>0.103093023099662</v>
      </c>
      <c r="H1803" s="26" t="n">
        <f aca="false">IF(A1803&lt;Resumen!$B$11,"",IF(H1802="",0,H1802)+G1803/Resumen!$B$9)</f>
        <v>1.08465360039472</v>
      </c>
      <c r="I1803" s="26" t="n">
        <f aca="false">IF(H1803="","",H1803-AVERAGE(H1755:H1851))</f>
        <v>-0.0870332357416834</v>
      </c>
      <c r="J1803" s="27" t="n">
        <f aca="false">IF(I1803="","",Resumen!$B$10-(MAX(I1755:I1851)-I1803))</f>
        <v>1.6166242826736</v>
      </c>
    </row>
    <row r="1804" customFormat="false" ht="15" hidden="false" customHeight="false" outlineLevel="0" collapsed="false">
      <c r="A1804" s="24" t="n">
        <v>46280.1666666667</v>
      </c>
      <c r="B1804" s="10" t="n">
        <v>4.2575</v>
      </c>
      <c r="C1804" s="10" t="n">
        <v>1.7225</v>
      </c>
      <c r="D1804" s="10" t="n">
        <f aca="false">IF(OR(B1804="",C1804="",B1804&lt;=0.05,C1804&lt;=0.05),0,1)</f>
        <v>1</v>
      </c>
      <c r="E1804" s="25" t="n">
        <f aca="false">IF(OR(A1804&lt;Resumen!$B$6,A1804&gt;=Resumen!$B$7),0,MAX(0,AVERAGEIFS(B1756:B1852,D1756:D1852,1)-Resumen!$B$5*AVERAGEIFS(C1756:C1852,D1756:D1852,1)))</f>
        <v>1.66094685360825</v>
      </c>
      <c r="F1804" s="10" t="n">
        <f aca="false">IF(B1804="","",(B1804-E1804)/Resumen!$B$5)</f>
        <v>2.0623932854581</v>
      </c>
      <c r="G1804" s="10" t="n">
        <f aca="false">IF(OR(F1804="",C1804=""),0,(F1804-C1804)*0.9)</f>
        <v>0.305903956912294</v>
      </c>
      <c r="H1804" s="26" t="n">
        <f aca="false">IF(A1804&lt;Resumen!$B$11,"",IF(H1803="",0,H1803)+G1804/Resumen!$B$9)</f>
        <v>1.0991133408483</v>
      </c>
      <c r="I1804" s="26" t="n">
        <f aca="false">IF(H1804="","",H1804-AVERAGE(H1756:H1852))</f>
        <v>-0.0717359814231413</v>
      </c>
      <c r="J1804" s="27" t="n">
        <f aca="false">IF(I1804="","",Resumen!$B$10-(MAX(I1756:I1852)-I1804))</f>
        <v>1.63695355897637</v>
      </c>
    </row>
    <row r="1805" customFormat="false" ht="15" hidden="false" customHeight="false" outlineLevel="0" collapsed="false">
      <c r="A1805" s="24" t="n">
        <v>46280.1770833333</v>
      </c>
      <c r="B1805" s="10" t="n">
        <v>4.3514</v>
      </c>
      <c r="C1805" s="10" t="n">
        <v>1.8118</v>
      </c>
      <c r="D1805" s="10" t="n">
        <f aca="false">IF(OR(B1805="",C1805="",B1805&lt;=0.05,C1805&lt;=0.05),0,1)</f>
        <v>1</v>
      </c>
      <c r="E1805" s="25" t="n">
        <f aca="false">IF(OR(A1805&lt;Resumen!$B$6,A1805&gt;=Resumen!$B$7),0,MAX(0,AVERAGEIFS(B1757:B1853,D1757:D1853,1)-Resumen!$B$5*AVERAGEIFS(C1757:C1853,D1757:D1853,1)))</f>
        <v>1.6641260556701</v>
      </c>
      <c r="F1805" s="10" t="n">
        <f aca="false">IF(B1805="","",(B1805-E1805)/Resumen!$B$5)</f>
        <v>2.13445110748999</v>
      </c>
      <c r="G1805" s="10" t="n">
        <f aca="false">IF(OR(F1805="",C1805=""),0,(F1805-C1805)*0.9)</f>
        <v>0.29038599674099</v>
      </c>
      <c r="H1805" s="26" t="n">
        <f aca="false">IF(A1805&lt;Resumen!$B$11,"",IF(H1804="",0,H1804)+G1805/Resumen!$B$9)</f>
        <v>1.11283956455136</v>
      </c>
      <c r="I1805" s="26" t="n">
        <f aca="false">IF(H1805="","",H1805-AVERAGE(H1757:H1853))</f>
        <v>-0.0570818026597959</v>
      </c>
      <c r="J1805" s="27" t="n">
        <f aca="false">IF(I1805="","",Resumen!$B$10-(MAX(I1757:I1853)-I1805))</f>
        <v>1.65160773773972</v>
      </c>
    </row>
    <row r="1806" customFormat="false" ht="15" hidden="false" customHeight="false" outlineLevel="0" collapsed="false">
      <c r="A1806" s="24" t="n">
        <v>46280.1875</v>
      </c>
      <c r="B1806" s="10" t="n">
        <v>5.0976</v>
      </c>
      <c r="C1806" s="10" t="n">
        <v>2.2852</v>
      </c>
      <c r="D1806" s="10" t="n">
        <f aca="false">IF(OR(B1806="",C1806="",B1806&lt;=0.05,C1806&lt;=0.05),0,1)</f>
        <v>1</v>
      </c>
      <c r="E1806" s="25" t="n">
        <f aca="false">IF(OR(A1806&lt;Resumen!$B$6,A1806&gt;=Resumen!$B$7),0,MAX(0,AVERAGEIFS(B1758:B1854,D1758:D1854,1)-Resumen!$B$5*AVERAGEIFS(C1758:C1854,D1758:D1854,1)))</f>
        <v>1.67268219484536</v>
      </c>
      <c r="F1806" s="10" t="n">
        <f aca="false">IF(B1806="","",(B1806-E1806)/Resumen!$B$5)</f>
        <v>2.72034774039288</v>
      </c>
      <c r="G1806" s="10" t="n">
        <f aca="false">IF(OR(F1806="",C1806=""),0,(F1806-C1806)*0.9)</f>
        <v>0.391632966353594</v>
      </c>
      <c r="H1806" s="26" t="n">
        <f aca="false">IF(A1806&lt;Resumen!$B$11,"",IF(H1805="",0,H1805)+G1806/Resumen!$B$9)</f>
        <v>1.13135162011186</v>
      </c>
      <c r="I1806" s="26" t="n">
        <f aca="false">IF(H1806="","",H1806-AVERAGE(H1758:H1854))</f>
        <v>-0.0377331649630852</v>
      </c>
      <c r="J1806" s="27" t="n">
        <f aca="false">IF(I1806="","",Resumen!$B$10-(MAX(I1758:I1854)-I1806))</f>
        <v>1.67878414504806</v>
      </c>
    </row>
    <row r="1807" customFormat="false" ht="15" hidden="false" customHeight="false" outlineLevel="0" collapsed="false">
      <c r="A1807" s="24" t="n">
        <v>46280.1979166667</v>
      </c>
      <c r="B1807" s="10" t="n">
        <v>3.4355</v>
      </c>
      <c r="C1807" s="10" t="n">
        <v>1.9592</v>
      </c>
      <c r="D1807" s="10" t="n">
        <f aca="false">IF(OR(B1807="",C1807="",B1807&lt;=0.05,C1807&lt;=0.05),0,1)</f>
        <v>1</v>
      </c>
      <c r="E1807" s="25" t="n">
        <f aca="false">IF(OR(A1807&lt;Resumen!$B$6,A1807&gt;=Resumen!$B$7),0,MAX(0,AVERAGEIFS(B1759:B1855,D1759:D1855,1)-Resumen!$B$5*AVERAGEIFS(C1759:C1855,D1759:D1855,1)))</f>
        <v>1.68049459278351</v>
      </c>
      <c r="F1807" s="10" t="n">
        <f aca="false">IF(B1807="","",(B1807-E1807)/Resumen!$B$5)</f>
        <v>1.3939677579162</v>
      </c>
      <c r="G1807" s="10" t="n">
        <f aca="false">IF(OR(F1807="",C1807=""),0,(F1807-C1807)*0.9)</f>
        <v>-0.508709017875421</v>
      </c>
      <c r="H1807" s="26" t="n">
        <f aca="false">IF(A1807&lt;Resumen!$B$11,"",IF(H1806="",0,H1806)+G1807/Resumen!$B$9)</f>
        <v>1.10730550956422</v>
      </c>
      <c r="I1807" s="26" t="n">
        <f aca="false">IF(H1807="","",H1807-AVERAGE(H1759:H1855))</f>
        <v>-0.0610112035159627</v>
      </c>
      <c r="J1807" s="27" t="n">
        <f aca="false">IF(I1807="","",Resumen!$B$10-(MAX(I1759:I1855)-I1807))</f>
        <v>1.66030539151386</v>
      </c>
    </row>
    <row r="1808" customFormat="false" ht="15" hidden="false" customHeight="false" outlineLevel="0" collapsed="false">
      <c r="A1808" s="24" t="n">
        <v>46280.2083333333</v>
      </c>
      <c r="B1808" s="10" t="n">
        <v>4.2487</v>
      </c>
      <c r="C1808" s="10" t="n">
        <v>2.1467</v>
      </c>
      <c r="D1808" s="10" t="n">
        <f aca="false">IF(OR(B1808="",C1808="",B1808&lt;=0.05,C1808&lt;=0.05),0,1)</f>
        <v>1</v>
      </c>
      <c r="E1808" s="25" t="n">
        <f aca="false">IF(OR(A1808&lt;Resumen!$B$6,A1808&gt;=Resumen!$B$7),0,MAX(0,AVERAGEIFS(B1760:B1856,D1760:D1856,1)-Resumen!$B$5*AVERAGEIFS(C1760:C1856,D1760:D1856,1)))</f>
        <v>1.69292607525773</v>
      </c>
      <c r="F1808" s="10" t="n">
        <f aca="false">IF(B1808="","",(B1808-E1808)/Resumen!$B$5)</f>
        <v>2.0300031173489</v>
      </c>
      <c r="G1808" s="10" t="n">
        <f aca="false">IF(OR(F1808="",C1808=""),0,(F1808-C1808)*0.9)</f>
        <v>-0.105027194385988</v>
      </c>
      <c r="H1808" s="26" t="n">
        <f aca="false">IF(A1808&lt;Resumen!$B$11,"",IF(H1807="",0,H1807)+G1808/Resumen!$B$9)</f>
        <v>1.10234099067823</v>
      </c>
      <c r="I1808" s="26" t="n">
        <f aca="false">IF(H1808="","",H1808-AVERAGE(H1760:H1856))</f>
        <v>-0.0654259055646436</v>
      </c>
      <c r="J1808" s="27" t="n">
        <f aca="false">IF(I1808="","",Resumen!$B$10-(MAX(I1760:I1856)-I1808))</f>
        <v>1.65589068946518</v>
      </c>
    </row>
    <row r="1809" customFormat="false" ht="15" hidden="false" customHeight="false" outlineLevel="0" collapsed="false">
      <c r="A1809" s="24" t="n">
        <v>46280.21875</v>
      </c>
      <c r="B1809" s="10" t="n">
        <v>5.5748</v>
      </c>
      <c r="C1809" s="10" t="n">
        <v>2.1158</v>
      </c>
      <c r="D1809" s="10" t="n">
        <f aca="false">IF(OR(B1809="",C1809="",B1809&lt;=0.05,C1809&lt;=0.05),0,1)</f>
        <v>1</v>
      </c>
      <c r="E1809" s="25" t="n">
        <f aca="false">IF(OR(A1809&lt;Resumen!$B$6,A1809&gt;=Resumen!$B$7),0,MAX(0,AVERAGEIFS(B1761:B1857,D1761:D1857,1)-Resumen!$B$5*AVERAGEIFS(C1761:C1857,D1761:D1857,1)))</f>
        <v>1.70033880927835</v>
      </c>
      <c r="F1809" s="10" t="n">
        <f aca="false">IF(B1809="","",(B1809-E1809)/Resumen!$B$5)</f>
        <v>3.07741158913554</v>
      </c>
      <c r="G1809" s="10" t="n">
        <f aca="false">IF(OR(F1809="",C1809=""),0,(F1809-C1809)*0.9)</f>
        <v>0.865450430221989</v>
      </c>
      <c r="H1809" s="26" t="n">
        <f aca="false">IF(A1809&lt;Resumen!$B$11,"",IF(H1808="",0,H1808)+G1809/Resumen!$B$9)</f>
        <v>1.14324987176223</v>
      </c>
      <c r="I1809" s="26" t="n">
        <f aca="false">IF(H1809="","",H1809-AVERAGE(H1761:H1857))</f>
        <v>-0.0240150667124508</v>
      </c>
      <c r="J1809" s="27" t="n">
        <f aca="false">IF(I1809="","",Resumen!$B$10-(MAX(I1761:I1857)-I1809))</f>
        <v>1.69730152831737</v>
      </c>
    </row>
    <row r="1810" customFormat="false" ht="15" hidden="false" customHeight="false" outlineLevel="0" collapsed="false">
      <c r="A1810" s="24" t="n">
        <v>46280.2291666667</v>
      </c>
      <c r="B1810" s="10" t="n">
        <v>4.4493</v>
      </c>
      <c r="C1810" s="10" t="n">
        <v>2.2765</v>
      </c>
      <c r="D1810" s="10" t="n">
        <f aca="false">IF(OR(B1810="",C1810="",B1810&lt;=0.05,C1810&lt;=0.05),0,1)</f>
        <v>1</v>
      </c>
      <c r="E1810" s="25" t="n">
        <f aca="false">IF(OR(A1810&lt;Resumen!$B$6,A1810&gt;=Resumen!$B$7),0,MAX(0,AVERAGEIFS(B1762:B1858,D1762:D1858,1)-Resumen!$B$5*AVERAGEIFS(C1762:C1858,D1762:D1858,1)))</f>
        <v>1.71361042061856</v>
      </c>
      <c r="F1810" s="10" t="n">
        <f aca="false">IF(B1810="","",(B1810-E1810)/Resumen!$B$5)</f>
        <v>2.17290673501306</v>
      </c>
      <c r="G1810" s="10" t="n">
        <f aca="false">IF(OR(F1810="",C1810=""),0,(F1810-C1810)*0.9)</f>
        <v>-0.0932339384882452</v>
      </c>
      <c r="H1810" s="26" t="n">
        <f aca="false">IF(A1810&lt;Resumen!$B$11,"",IF(H1809="",0,H1809)+G1810/Resumen!$B$9)</f>
        <v>1.13884280699062</v>
      </c>
      <c r="I1810" s="26" t="n">
        <f aca="false">IF(H1810="","",H1810-AVERAGE(H1762:H1858))</f>
        <v>-0.0281734006196912</v>
      </c>
      <c r="J1810" s="27" t="n">
        <f aca="false">IF(I1810="","",Resumen!$B$10-(MAX(I1762:I1858)-I1810))</f>
        <v>1.69314319441013</v>
      </c>
    </row>
    <row r="1811" customFormat="false" ht="15" hidden="false" customHeight="false" outlineLevel="0" collapsed="false">
      <c r="A1811" s="24" t="n">
        <v>46280.2395833333</v>
      </c>
      <c r="B1811" s="10" t="n">
        <v>5.5579</v>
      </c>
      <c r="C1811" s="10" t="n">
        <v>2.5497</v>
      </c>
      <c r="D1811" s="10" t="n">
        <f aca="false">IF(OR(B1811="",C1811="",B1811&lt;=0.05,C1811&lt;=0.05),0,1)</f>
        <v>1</v>
      </c>
      <c r="E1811" s="25" t="n">
        <f aca="false">IF(OR(A1811&lt;Resumen!$B$6,A1811&gt;=Resumen!$B$7),0,MAX(0,AVERAGEIFS(B1763:B1859,D1763:D1859,1)-Resumen!$B$5*AVERAGEIFS(C1763:C1859,D1763:D1859,1)))</f>
        <v>1.72667405670103</v>
      </c>
      <c r="F1811" s="10" t="n">
        <f aca="false">IF(B1811="","",(B1811-E1811)/Resumen!$B$5)</f>
        <v>3.04307064598806</v>
      </c>
      <c r="G1811" s="10" t="n">
        <f aca="false">IF(OR(F1811="",C1811=""),0,(F1811-C1811)*0.9)</f>
        <v>0.444033581389254</v>
      </c>
      <c r="H1811" s="26" t="n">
        <f aca="false">IF(A1811&lt;Resumen!$B$11,"",IF(H1810="",0,H1810)+G1811/Resumen!$B$9)</f>
        <v>1.15983178145296</v>
      </c>
      <c r="I1811" s="26" t="n">
        <f aca="false">IF(H1811="","",H1811-AVERAGE(H1763:H1859))</f>
        <v>-0.00717988948692461</v>
      </c>
      <c r="J1811" s="27" t="n">
        <f aca="false">IF(I1811="","",Resumen!$B$10-(MAX(I1763:I1859)-I1811))</f>
        <v>1.7141367055429</v>
      </c>
    </row>
    <row r="1812" customFormat="false" ht="15" hidden="false" customHeight="false" outlineLevel="0" collapsed="false">
      <c r="A1812" s="24" t="n">
        <v>46280.25</v>
      </c>
      <c r="B1812" s="10" t="n">
        <v>5.7778</v>
      </c>
      <c r="C1812" s="10" t="n">
        <v>2.9425</v>
      </c>
      <c r="D1812" s="10" t="n">
        <f aca="false">IF(OR(B1812="",C1812="",B1812&lt;=0.05,C1812&lt;=0.05),0,1)</f>
        <v>1</v>
      </c>
      <c r="E1812" s="25" t="n">
        <f aca="false">IF(OR(A1812&lt;Resumen!$B$6,A1812&gt;=Resumen!$B$7),0,MAX(0,AVERAGEIFS(B1764:B1860,D1764:D1860,1)-Resumen!$B$5*AVERAGEIFS(C1764:C1860,D1764:D1860,1)))</f>
        <v>1.73663564020619</v>
      </c>
      <c r="F1812" s="10" t="n">
        <f aca="false">IF(B1812="","",(B1812-E1812)/Resumen!$B$5)</f>
        <v>3.20982077823178</v>
      </c>
      <c r="G1812" s="10" t="n">
        <f aca="false">IF(OR(F1812="",C1812=""),0,(F1812-C1812)*0.9)</f>
        <v>0.240588700408605</v>
      </c>
      <c r="H1812" s="26" t="n">
        <f aca="false">IF(A1812&lt;Resumen!$B$11,"",IF(H1811="",0,H1811)+G1812/Resumen!$B$9)</f>
        <v>1.17120414223929</v>
      </c>
      <c r="I1812" s="26" t="n">
        <f aca="false">IF(H1812="","",H1812-AVERAGE(H1764:H1860))</f>
        <v>0.00405230200092421</v>
      </c>
      <c r="J1812" s="27" t="n">
        <f aca="false">IF(I1812="","",Resumen!$B$10-(MAX(I1764:I1860)-I1812))</f>
        <v>1.72536889703075</v>
      </c>
    </row>
    <row r="1813" customFormat="false" ht="15" hidden="false" customHeight="false" outlineLevel="0" collapsed="false">
      <c r="A1813" s="24" t="n">
        <v>46280.2604166667</v>
      </c>
      <c r="B1813" s="10" t="n">
        <v>5.8698</v>
      </c>
      <c r="C1813" s="10" t="n">
        <v>2.9428</v>
      </c>
      <c r="D1813" s="10" t="n">
        <f aca="false">IF(OR(B1813="",C1813="",B1813&lt;=0.05,C1813&lt;=0.05),0,1)</f>
        <v>1</v>
      </c>
      <c r="E1813" s="25" t="n">
        <f aca="false">IF(OR(A1813&lt;Resumen!$B$6,A1813&gt;=Resumen!$B$7),0,MAX(0,AVERAGEIFS(B1765:B1861,D1765:D1861,1)-Resumen!$B$5*AVERAGEIFS(C1765:C1861,D1765:D1861,1)))</f>
        <v>1.7373550742268</v>
      </c>
      <c r="F1813" s="10" t="n">
        <f aca="false">IF(B1813="","",(B1813-E1813)/Resumen!$B$5)</f>
        <v>3.28232321348149</v>
      </c>
      <c r="G1813" s="10" t="n">
        <f aca="false">IF(OR(F1813="",C1813=""),0,(F1813-C1813)*0.9)</f>
        <v>0.305570892133341</v>
      </c>
      <c r="H1813" s="26" t="n">
        <f aca="false">IF(A1813&lt;Resumen!$B$11,"",IF(H1812="",0,H1812)+G1813/Resumen!$B$9)</f>
        <v>1.18564813909051</v>
      </c>
      <c r="I1813" s="26" t="n">
        <f aca="false">IF(H1813="","",H1813-AVERAGE(H1765:H1861))</f>
        <v>0.0185194300014624</v>
      </c>
      <c r="J1813" s="27" t="n">
        <f aca="false">IF(I1813="","",Resumen!$B$10-(MAX(I1765:I1861)-I1813))</f>
        <v>1.73983602503129</v>
      </c>
    </row>
    <row r="1814" customFormat="false" ht="15" hidden="false" customHeight="false" outlineLevel="0" collapsed="false">
      <c r="A1814" s="24" t="n">
        <v>46280.2708333333</v>
      </c>
      <c r="B1814" s="10" t="n">
        <v>6.1797</v>
      </c>
      <c r="C1814" s="10" t="n">
        <v>2.3552</v>
      </c>
      <c r="D1814" s="10" t="n">
        <f aca="false">IF(OR(B1814="",C1814="",B1814&lt;=0.05,C1814&lt;=0.05),0,1)</f>
        <v>1</v>
      </c>
      <c r="E1814" s="25" t="n">
        <f aca="false">IF(OR(A1814&lt;Resumen!$B$6,A1814&gt;=Resumen!$B$7),0,MAX(0,AVERAGEIFS(B1766:B1862,D1766:D1862,1)-Resumen!$B$5*AVERAGEIFS(C1766:C1862,D1766:D1862,1)))</f>
        <v>1.75276205154639</v>
      </c>
      <c r="F1814" s="10" t="n">
        <f aca="false">IF(B1814="","",(B1814-E1814)/Resumen!$B$5)</f>
        <v>3.51623347772328</v>
      </c>
      <c r="G1814" s="10" t="n">
        <f aca="false">IF(OR(F1814="",C1814=""),0,(F1814-C1814)*0.9)</f>
        <v>1.04493012995095</v>
      </c>
      <c r="H1814" s="26" t="n">
        <f aca="false">IF(A1814&lt;Resumen!$B$11,"",IF(H1813="",0,H1813)+G1814/Resumen!$B$9)</f>
        <v>1.23504082633695</v>
      </c>
      <c r="I1814" s="26" t="n">
        <f aca="false">IF(H1814="","",H1814-AVERAGE(H1766:H1862))</f>
        <v>0.0676043774668795</v>
      </c>
      <c r="J1814" s="27" t="n">
        <f aca="false">IF(I1814="","",Resumen!$B$10-(MAX(I1766:I1862)-I1814))</f>
        <v>1.7889209724967</v>
      </c>
    </row>
    <row r="1815" customFormat="false" ht="15" hidden="false" customHeight="false" outlineLevel="0" collapsed="false">
      <c r="A1815" s="24" t="n">
        <v>46280.28125</v>
      </c>
      <c r="B1815" s="10" t="n">
        <v>5.3608</v>
      </c>
      <c r="C1815" s="10" t="n">
        <v>3.1388</v>
      </c>
      <c r="D1815" s="10" t="n">
        <f aca="false">IF(OR(B1815="",C1815="",B1815&lt;=0.05,C1815&lt;=0.05),0,1)</f>
        <v>1</v>
      </c>
      <c r="E1815" s="25" t="n">
        <f aca="false">IF(OR(A1815&lt;Resumen!$B$6,A1815&gt;=Resumen!$B$7),0,MAX(0,AVERAGEIFS(B1767:B1863,D1767:D1863,1)-Resumen!$B$5*AVERAGEIFS(C1767:C1863,D1767:D1863,1)))</f>
        <v>1.73933015670103</v>
      </c>
      <c r="F1815" s="10" t="n">
        <f aca="false">IF(B1815="","",(B1815-E1815)/Resumen!$B$5)</f>
        <v>2.87646532430419</v>
      </c>
      <c r="G1815" s="10" t="n">
        <f aca="false">IF(OR(F1815="",C1815=""),0,(F1815-C1815)*0.9)</f>
        <v>-0.236101208126233</v>
      </c>
      <c r="H1815" s="26" t="n">
        <f aca="false">IF(A1815&lt;Resumen!$B$11,"",IF(H1814="",0,H1814)+G1815/Resumen!$B$9)</f>
        <v>1.22388058432916</v>
      </c>
      <c r="I1815" s="26" t="n">
        <f aca="false">IF(H1815="","",H1815-AVERAGE(H1767:H1863))</f>
        <v>0.0567736459898756</v>
      </c>
      <c r="J1815" s="27" t="n">
        <f aca="false">IF(I1815="","",Resumen!$B$10-(MAX(I1767:I1863)-I1815))</f>
        <v>1.7780902410197</v>
      </c>
    </row>
    <row r="1816" customFormat="false" ht="15" hidden="false" customHeight="false" outlineLevel="0" collapsed="false">
      <c r="A1816" s="24" t="n">
        <v>46280.2916666667</v>
      </c>
      <c r="B1816" s="10" t="n">
        <v>5.3648</v>
      </c>
      <c r="C1816" s="10" t="n">
        <v>2.729</v>
      </c>
      <c r="D1816" s="10" t="n">
        <f aca="false">IF(OR(B1816="",C1816="",B1816&lt;=0.05,C1816&lt;=0.05),0,1)</f>
        <v>1</v>
      </c>
      <c r="E1816" s="25" t="n">
        <f aca="false">IF(OR(A1816&lt;Resumen!$B$6,A1816&gt;=Resumen!$B$7),0,MAX(0,AVERAGEIFS(B1768:B1864,D1768:D1864,1)-Resumen!$B$5*AVERAGEIFS(C1768:C1864,D1768:D1864,1)))</f>
        <v>1.73763197216495</v>
      </c>
      <c r="F1816" s="10" t="n">
        <f aca="false">IF(B1816="","",(B1816-E1816)/Resumen!$B$5)</f>
        <v>2.88099128501593</v>
      </c>
      <c r="G1816" s="10" t="n">
        <f aca="false">IF(OR(F1816="",C1816=""),0,(F1816-C1816)*0.9)</f>
        <v>0.136792156514334</v>
      </c>
      <c r="H1816" s="26" t="n">
        <f aca="false">IF(A1816&lt;Resumen!$B$11,"",IF(H1815="",0,H1815)+G1816/Resumen!$B$9)</f>
        <v>1.23034659771208</v>
      </c>
      <c r="I1816" s="26" t="n">
        <f aca="false">IF(H1816="","",H1816-AVERAGE(H1768:H1864))</f>
        <v>0.0638124352902794</v>
      </c>
      <c r="J1816" s="27" t="n">
        <f aca="false">IF(I1816="","",Resumen!$B$10-(MAX(I1768:I1864)-I1816))</f>
        <v>1.7851290303201</v>
      </c>
    </row>
    <row r="1817" customFormat="false" ht="15" hidden="false" customHeight="false" outlineLevel="0" collapsed="false">
      <c r="A1817" s="24" t="n">
        <v>46280.3020833333</v>
      </c>
      <c r="B1817" s="10" t="n">
        <v>5.0458</v>
      </c>
      <c r="C1817" s="10" t="n">
        <v>3.0458</v>
      </c>
      <c r="D1817" s="10" t="n">
        <f aca="false">IF(OR(B1817="",C1817="",B1817&lt;=0.05,C1817&lt;=0.05),0,1)</f>
        <v>1</v>
      </c>
      <c r="E1817" s="25" t="n">
        <f aca="false">IF(OR(A1817&lt;Resumen!$B$6,A1817&gt;=Resumen!$B$7),0,MAX(0,AVERAGEIFS(B1769:B1865,D1769:D1865,1)-Resumen!$B$5*AVERAGEIFS(C1769:C1865,D1769:D1865,1)))</f>
        <v>1.74680184948454</v>
      </c>
      <c r="F1817" s="10" t="n">
        <f aca="false">IF(B1817="","",(B1817-E1817)/Resumen!$B$5)</f>
        <v>2.62033212908297</v>
      </c>
      <c r="G1817" s="10" t="n">
        <f aca="false">IF(OR(F1817="",C1817=""),0,(F1817-C1817)*0.9)</f>
        <v>-0.382921083825324</v>
      </c>
      <c r="H1817" s="26" t="n">
        <f aca="false">IF(A1817&lt;Resumen!$B$11,"",IF(H1816="",0,H1816)+G1817/Resumen!$B$9)</f>
        <v>1.21224634316746</v>
      </c>
      <c r="I1817" s="26" t="n">
        <f aca="false">IF(H1817="","",H1817-AVERAGE(H1769:H1865))</f>
        <v>0.0461592028024023</v>
      </c>
      <c r="J1817" s="27" t="n">
        <f aca="false">IF(I1817="","",Resumen!$B$10-(MAX(I1769:I1865)-I1817))</f>
        <v>1.76747579783223</v>
      </c>
    </row>
    <row r="1818" customFormat="false" ht="15" hidden="false" customHeight="false" outlineLevel="0" collapsed="false">
      <c r="A1818" s="24" t="n">
        <v>46280.3125</v>
      </c>
      <c r="B1818" s="10" t="n">
        <v>6.8037</v>
      </c>
      <c r="C1818" s="10" t="n">
        <v>4.0819</v>
      </c>
      <c r="D1818" s="10" t="n">
        <f aca="false">IF(OR(B1818="",C1818="",B1818&lt;=0.05,C1818&lt;=0.05),0,1)</f>
        <v>1</v>
      </c>
      <c r="E1818" s="25" t="n">
        <f aca="false">IF(OR(A1818&lt;Resumen!$B$6,A1818&gt;=Resumen!$B$7),0,MAX(0,AVERAGEIFS(B1770:B1866,D1770:D1866,1)-Resumen!$B$5*AVERAGEIFS(C1770:C1866,D1770:D1866,1)))</f>
        <v>1.75921095670103</v>
      </c>
      <c r="F1818" s="10" t="n">
        <f aca="false">IF(B1818="","",(B1818-E1818)/Resumen!$B$5)</f>
        <v>4.00674268729068</v>
      </c>
      <c r="G1818" s="10" t="n">
        <f aca="false">IF(OR(F1818="",C1818=""),0,(F1818-C1818)*0.9)</f>
        <v>-0.0676415814383861</v>
      </c>
      <c r="H1818" s="26" t="n">
        <f aca="false">IF(A1818&lt;Resumen!$B$11,"",IF(H1817="",0,H1817)+G1818/Resumen!$B$9)</f>
        <v>1.20904900070305</v>
      </c>
      <c r="I1818" s="26" t="n">
        <f aca="false">IF(H1818="","",H1818-AVERAGE(H1770:H1866))</f>
        <v>0.0431735646941145</v>
      </c>
      <c r="J1818" s="27" t="n">
        <f aca="false">IF(I1818="","",Resumen!$B$10-(MAX(I1770:I1866)-I1818))</f>
        <v>1.76449015972394</v>
      </c>
    </row>
    <row r="1819" customFormat="false" ht="15" hidden="false" customHeight="false" outlineLevel="0" collapsed="false">
      <c r="A1819" s="24" t="n">
        <v>46280.3229166667</v>
      </c>
      <c r="B1819" s="10" t="n">
        <v>7.057</v>
      </c>
      <c r="C1819" s="10" t="n">
        <v>3.6148</v>
      </c>
      <c r="D1819" s="10" t="n">
        <f aca="false">IF(OR(B1819="",C1819="",B1819&lt;=0.05,C1819&lt;=0.05),0,1)</f>
        <v>1</v>
      </c>
      <c r="E1819" s="25" t="n">
        <f aca="false">IF(OR(A1819&lt;Resumen!$B$6,A1819&gt;=Resumen!$B$7),0,MAX(0,AVERAGEIFS(B1771:B1867,D1771:D1867,1)-Resumen!$B$5*AVERAGEIFS(C1771:C1867,D1771:D1867,1)))</f>
        <v>1.75866662371134</v>
      </c>
      <c r="F1819" s="10" t="n">
        <f aca="false">IF(B1819="","",(B1819-E1819)/Resumen!$B$5)</f>
        <v>4.20836646250092</v>
      </c>
      <c r="G1819" s="10" t="n">
        <f aca="false">IF(OR(F1819="",C1819=""),0,(F1819-C1819)*0.9)</f>
        <v>0.53420981625083</v>
      </c>
      <c r="H1819" s="26" t="n">
        <f aca="false">IF(A1819&lt;Resumen!$B$11,"",IF(H1818="",0,H1818)+G1819/Resumen!$B$9)</f>
        <v>1.23430050568099</v>
      </c>
      <c r="I1819" s="26" t="n">
        <f aca="false">IF(H1819="","",H1819-AVERAGE(H1771:H1867))</f>
        <v>0.0688421079946515</v>
      </c>
      <c r="J1819" s="27" t="n">
        <f aca="false">IF(I1819="","",Resumen!$B$10-(MAX(I1771:I1867)-I1819))</f>
        <v>1.79015870302448</v>
      </c>
    </row>
    <row r="1820" customFormat="false" ht="15" hidden="false" customHeight="false" outlineLevel="0" collapsed="false">
      <c r="A1820" s="24" t="n">
        <v>46280.3333333333</v>
      </c>
      <c r="B1820" s="10" t="n">
        <v>6.4401</v>
      </c>
      <c r="C1820" s="10" t="n">
        <v>3.8799</v>
      </c>
      <c r="D1820" s="10" t="n">
        <f aca="false">IF(OR(B1820="",C1820="",B1820&lt;=0.05,C1820&lt;=0.05),0,1)</f>
        <v>1</v>
      </c>
      <c r="E1820" s="25" t="n">
        <f aca="false">IF(OR(A1820&lt;Resumen!$B$6,A1820&gt;=Resumen!$B$7),0,MAX(0,AVERAGEIFS(B1772:B1868,D1772:D1868,1)-Resumen!$B$5*AVERAGEIFS(C1772:C1868,D1772:D1868,1)))</f>
        <v>1.77817866391753</v>
      </c>
      <c r="F1820" s="10" t="n">
        <f aca="false">IF(B1820="","",(B1820-E1820)/Resumen!$B$5)</f>
        <v>3.7028763590806</v>
      </c>
      <c r="G1820" s="10" t="n">
        <f aca="false">IF(OR(F1820="",C1820=""),0,(F1820-C1820)*0.9)</f>
        <v>-0.15932127682746</v>
      </c>
      <c r="H1820" s="26" t="n">
        <f aca="false">IF(A1820&lt;Resumen!$B$11,"",IF(H1819="",0,H1819)+G1820/Resumen!$B$9)</f>
        <v>1.22676956579086</v>
      </c>
      <c r="I1820" s="26" t="n">
        <f aca="false">IF(H1820="","",H1820-AVERAGE(H1772:H1868))</f>
        <v>0.0612467497161409</v>
      </c>
      <c r="J1820" s="27" t="n">
        <f aca="false">IF(I1820="","",Resumen!$B$10-(MAX(I1772:I1868)-I1820))</f>
        <v>1.78256334474597</v>
      </c>
    </row>
    <row r="1821" customFormat="false" ht="15" hidden="false" customHeight="false" outlineLevel="0" collapsed="false">
      <c r="A1821" s="24" t="n">
        <v>46280.34375</v>
      </c>
      <c r="B1821" s="10" t="n">
        <v>7.3004</v>
      </c>
      <c r="C1821" s="10" t="n">
        <v>3.5303</v>
      </c>
      <c r="D1821" s="10" t="n">
        <f aca="false">IF(OR(B1821="",C1821="",B1821&lt;=0.05,C1821&lt;=0.05),0,1)</f>
        <v>1</v>
      </c>
      <c r="E1821" s="25" t="n">
        <f aca="false">IF(OR(A1821&lt;Resumen!$B$6,A1821&gt;=Resumen!$B$7),0,MAX(0,AVERAGEIFS(B1773:B1869,D1773:D1869,1)-Resumen!$B$5*AVERAGEIFS(C1773:C1869,D1773:D1869,1)))</f>
        <v>1.78042761134021</v>
      </c>
      <c r="F1821" s="10" t="n">
        <f aca="false">IF(B1821="","",(B1821-E1821)/Resumen!$B$5)</f>
        <v>4.38441015779173</v>
      </c>
      <c r="G1821" s="10" t="n">
        <f aca="false">IF(OR(F1821="",C1821=""),0,(F1821-C1821)*0.9)</f>
        <v>0.768699142012561</v>
      </c>
      <c r="H1821" s="26" t="n">
        <f aca="false">IF(A1821&lt;Resumen!$B$11,"",IF(H1820="",0,H1820)+G1821/Resumen!$B$9)</f>
        <v>1.2631051208866</v>
      </c>
      <c r="I1821" s="26" t="n">
        <f aca="false">IF(H1821="","",H1821-AVERAGE(H1773:H1869))</f>
        <v>0.0976195841455561</v>
      </c>
      <c r="J1821" s="27" t="n">
        <f aca="false">IF(I1821="","",Resumen!$B$10-(MAX(I1773:I1869)-I1821))</f>
        <v>1.81893617917538</v>
      </c>
    </row>
    <row r="1822" customFormat="false" ht="15" hidden="false" customHeight="false" outlineLevel="0" collapsed="false">
      <c r="A1822" s="24" t="n">
        <v>46280.3541666667</v>
      </c>
      <c r="B1822" s="10" t="n">
        <v>4.8081</v>
      </c>
      <c r="C1822" s="10" t="n">
        <v>2.9744</v>
      </c>
      <c r="D1822" s="10" t="n">
        <f aca="false">IF(OR(B1822="",C1822="",B1822&lt;=0.05,C1822&lt;=0.05),0,1)</f>
        <v>1</v>
      </c>
      <c r="E1822" s="25" t="n">
        <f aca="false">IF(OR(A1822&lt;Resumen!$B$6,A1822&gt;=Resumen!$B$7),0,MAX(0,AVERAGEIFS(B1774:B1870,D1774:D1870,1)-Resumen!$B$5*AVERAGEIFS(C1774:C1870,D1774:D1870,1)))</f>
        <v>1.78728723092784</v>
      </c>
      <c r="F1822" s="10" t="n">
        <f aca="false">IF(B1822="","",(B1822-E1822)/Resumen!$B$5)</f>
        <v>2.39937471729322</v>
      </c>
      <c r="G1822" s="10" t="n">
        <f aca="false">IF(OR(F1822="",C1822=""),0,(F1822-C1822)*0.9)</f>
        <v>-0.517522754436102</v>
      </c>
      <c r="H1822" s="26" t="n">
        <f aca="false">IF(A1822&lt;Resumen!$B$11,"",IF(H1821="",0,H1821)+G1822/Resumen!$B$9)</f>
        <v>1.23864239479603</v>
      </c>
      <c r="I1822" s="26" t="n">
        <f aca="false">IF(H1822="","",H1822-AVERAGE(H1774:H1870))</f>
        <v>0.0731658193965137</v>
      </c>
      <c r="J1822" s="27" t="n">
        <f aca="false">IF(I1822="","",Resumen!$B$10-(MAX(I1774:I1870)-I1822))</f>
        <v>1.79448241442634</v>
      </c>
    </row>
    <row r="1823" customFormat="false" ht="15" hidden="false" customHeight="false" outlineLevel="0" collapsed="false">
      <c r="A1823" s="24" t="n">
        <v>46280.3645833333</v>
      </c>
      <c r="B1823" s="10" t="n">
        <v>6.4534</v>
      </c>
      <c r="C1823" s="10" t="n">
        <v>3.8058</v>
      </c>
      <c r="D1823" s="10" t="n">
        <f aca="false">IF(OR(B1823="",C1823="",B1823&lt;=0.05,C1823&lt;=0.05),0,1)</f>
        <v>1</v>
      </c>
      <c r="E1823" s="25" t="n">
        <f aca="false">IF(OR(A1823&lt;Resumen!$B$6,A1823&gt;=Resumen!$B$7),0,MAX(0,AVERAGEIFS(B1775:B1871,D1775:D1871,1)-Resumen!$B$5*AVERAGEIFS(C1775:C1871,D1775:D1871,1)))</f>
        <v>1.79611419484536</v>
      </c>
      <c r="F1823" s="10" t="n">
        <f aca="false">IF(B1823="","",(B1823-E1823)/Resumen!$B$5)</f>
        <v>3.699194444126</v>
      </c>
      <c r="G1823" s="10" t="n">
        <f aca="false">IF(OR(F1823="",C1823=""),0,(F1823-C1823)*0.9)</f>
        <v>-0.0959450002865962</v>
      </c>
      <c r="H1823" s="26" t="n">
        <f aca="false">IF(A1823&lt;Resumen!$B$11,"",IF(H1822="",0,H1822)+G1823/Resumen!$B$9)</f>
        <v>1.23410718114281</v>
      </c>
      <c r="I1823" s="26" t="n">
        <f aca="false">IF(H1823="","",H1823-AVERAGE(H1775:H1871))</f>
        <v>0.0685182694653741</v>
      </c>
      <c r="J1823" s="27" t="n">
        <f aca="false">IF(I1823="","",Resumen!$B$10-(MAX(I1775:I1871)-I1823))</f>
        <v>1.7898348644952</v>
      </c>
    </row>
    <row r="1824" customFormat="false" ht="15" hidden="false" customHeight="false" outlineLevel="0" collapsed="false">
      <c r="A1824" s="24" t="n">
        <v>46280.375</v>
      </c>
      <c r="B1824" s="10" t="n">
        <v>6.3262</v>
      </c>
      <c r="C1824" s="10" t="n">
        <v>3.9419</v>
      </c>
      <c r="D1824" s="10" t="n">
        <f aca="false">IF(OR(B1824="",C1824="",B1824&lt;=0.05,C1824&lt;=0.05),0,1)</f>
        <v>1</v>
      </c>
      <c r="E1824" s="25" t="n">
        <f aca="false">IF(OR(A1824&lt;Resumen!$B$6,A1824&gt;=Resumen!$B$7),0,MAX(0,AVERAGEIFS(B1776:B1872,D1776:D1872,1)-Resumen!$B$5*AVERAGEIFS(C1776:C1872,D1776:D1872,1)))</f>
        <v>1.79283001752577</v>
      </c>
      <c r="F1824" s="10" t="n">
        <f aca="false">IF(B1824="","",(B1824-E1824)/Resumen!$B$5)</f>
        <v>3.60077043881988</v>
      </c>
      <c r="G1824" s="10" t="n">
        <f aca="false">IF(OR(F1824="",C1824=""),0,(F1824-C1824)*0.9)</f>
        <v>-0.307016605062109</v>
      </c>
      <c r="H1824" s="26" t="n">
        <f aca="false">IF(A1824&lt;Resumen!$B$11,"",IF(H1823="",0,H1823)+G1824/Resumen!$B$9)</f>
        <v>1.21959484704635</v>
      </c>
      <c r="I1824" s="26" t="n">
        <f aca="false">IF(H1824="","",H1824-AVERAGE(H1776:H1872))</f>
        <v>0.0541643398901905</v>
      </c>
      <c r="J1824" s="27" t="n">
        <f aca="false">IF(I1824="","",Resumen!$B$10-(MAX(I1776:I1872)-I1824))</f>
        <v>1.77548093492002</v>
      </c>
    </row>
    <row r="1825" customFormat="false" ht="15" hidden="false" customHeight="false" outlineLevel="0" collapsed="false">
      <c r="A1825" s="24" t="n">
        <v>46280.3854166667</v>
      </c>
      <c r="B1825" s="10" t="n">
        <v>5.6334</v>
      </c>
      <c r="C1825" s="10" t="n">
        <v>2.8326</v>
      </c>
      <c r="D1825" s="10" t="n">
        <f aca="false">IF(OR(B1825="",C1825="",B1825&lt;=0.05,C1825&lt;=0.05),0,1)</f>
        <v>1</v>
      </c>
      <c r="E1825" s="25" t="n">
        <f aca="false">IF(OR(A1825&lt;Resumen!$B$6,A1825&gt;=Resumen!$B$7),0,MAX(0,AVERAGEIFS(B1777:B1873,D1777:D1873,1)-Resumen!$B$5*AVERAGEIFS(C1777:C1873,D1777:D1873,1)))</f>
        <v>1.80126140206186</v>
      </c>
      <c r="F1825" s="10" t="n">
        <f aca="false">IF(B1825="","",(B1825-E1825)/Resumen!$B$5)</f>
        <v>3.04379555038772</v>
      </c>
      <c r="G1825" s="10" t="n">
        <f aca="false">IF(OR(F1825="",C1825=""),0,(F1825-C1825)*0.9)</f>
        <v>0.190075995348952</v>
      </c>
      <c r="H1825" s="26" t="n">
        <f aca="false">IF(A1825&lt;Resumen!$B$11,"",IF(H1824="",0,H1824)+G1825/Resumen!$B$9)</f>
        <v>1.22857952833961</v>
      </c>
      <c r="I1825" s="26" t="n">
        <f aca="false">IF(H1825="","",H1825-AVERAGE(H1777:H1873))</f>
        <v>0.0631624626001277</v>
      </c>
      <c r="J1825" s="27" t="n">
        <f aca="false">IF(I1825="","",Resumen!$B$10-(MAX(I1777:I1873)-I1825))</f>
        <v>1.78447905762995</v>
      </c>
    </row>
    <row r="1826" customFormat="false" ht="15" hidden="false" customHeight="false" outlineLevel="0" collapsed="false">
      <c r="A1826" s="24" t="n">
        <v>46280.3958333333</v>
      </c>
      <c r="B1826" s="10" t="n">
        <v>6.1371</v>
      </c>
      <c r="C1826" s="10" t="n">
        <v>3.5618</v>
      </c>
      <c r="D1826" s="10" t="n">
        <f aca="false">IF(OR(B1826="",C1826="",B1826&lt;=0.05,C1826&lt;=0.05),0,1)</f>
        <v>1</v>
      </c>
      <c r="E1826" s="25" t="n">
        <f aca="false">IF(OR(A1826&lt;Resumen!$B$6,A1826&gt;=Resumen!$B$7),0,MAX(0,AVERAGEIFS(B1778:B1874,D1778:D1874,1)-Resumen!$B$5*AVERAGEIFS(C1778:C1874,D1778:D1874,1)))</f>
        <v>1.81090801340206</v>
      </c>
      <c r="F1826" s="10" t="n">
        <f aca="false">IF(B1826="","",(B1826-E1826)/Resumen!$B$5)</f>
        <v>3.43621285671004</v>
      </c>
      <c r="G1826" s="10" t="n">
        <f aca="false">IF(OR(F1826="",C1826=""),0,(F1826-C1826)*0.9)</f>
        <v>-0.113028428960966</v>
      </c>
      <c r="H1826" s="26" t="n">
        <f aca="false">IF(A1826&lt;Resumen!$B$11,"",IF(H1825="",0,H1825)+G1826/Resumen!$B$9)</f>
        <v>1.22323679997758</v>
      </c>
      <c r="I1826" s="26" t="n">
        <f aca="false">IF(H1826="","",H1826-AVERAGE(H1778:H1874))</f>
        <v>0.0576466176939148</v>
      </c>
      <c r="J1826" s="27" t="n">
        <f aca="false">IF(I1826="","",Resumen!$B$10-(MAX(I1778:I1874)-I1826))</f>
        <v>1.77896321272374</v>
      </c>
    </row>
    <row r="1827" customFormat="false" ht="15" hidden="false" customHeight="false" outlineLevel="0" collapsed="false">
      <c r="A1827" s="24" t="n">
        <v>46280.40625</v>
      </c>
      <c r="B1827" s="10" t="n">
        <v>6.1602</v>
      </c>
      <c r="C1827" s="10" t="n">
        <v>3.2805</v>
      </c>
      <c r="D1827" s="10" t="n">
        <f aca="false">IF(OR(B1827="",C1827="",B1827&lt;=0.05,C1827&lt;=0.05),0,1)</f>
        <v>1</v>
      </c>
      <c r="E1827" s="25" t="n">
        <f aca="false">IF(OR(A1827&lt;Resumen!$B$6,A1827&gt;=Resumen!$B$7),0,MAX(0,AVERAGEIFS(B1779:B1875,D1779:D1875,1)-Resumen!$B$5*AVERAGEIFS(C1779:C1875,D1779:D1875,1)))</f>
        <v>1.81395862474227</v>
      </c>
      <c r="F1827" s="10" t="n">
        <f aca="false">IF(B1827="","",(B1827-E1827)/Resumen!$B$5)</f>
        <v>3.45213770870352</v>
      </c>
      <c r="G1827" s="10" t="n">
        <f aca="false">IF(OR(F1827="",C1827=""),0,(F1827-C1827)*0.9)</f>
        <v>0.154473937833168</v>
      </c>
      <c r="H1827" s="26" t="n">
        <f aca="false">IF(A1827&lt;Resumen!$B$11,"",IF(H1826="",0,H1826)+G1827/Resumen!$B$9)</f>
        <v>1.23053861153457</v>
      </c>
      <c r="I1827" s="26" t="n">
        <f aca="false">IF(H1827="","",H1827-AVERAGE(H1779:H1875))</f>
        <v>0.0648313659190514</v>
      </c>
      <c r="J1827" s="27" t="n">
        <f aca="false">IF(I1827="","",Resumen!$B$10-(MAX(I1779:I1875)-I1827))</f>
        <v>1.78614796094888</v>
      </c>
    </row>
    <row r="1828" customFormat="false" ht="15" hidden="false" customHeight="false" outlineLevel="0" collapsed="false">
      <c r="A1828" s="24" t="n">
        <v>46280.4166666667</v>
      </c>
      <c r="B1828" s="10" t="n">
        <v>6.3772</v>
      </c>
      <c r="C1828" s="10" t="n">
        <v>4.3285</v>
      </c>
      <c r="D1828" s="10" t="n">
        <f aca="false">IF(OR(B1828="",C1828="",B1828&lt;=0.05,C1828&lt;=0.05),0,1)</f>
        <v>1</v>
      </c>
      <c r="E1828" s="25" t="n">
        <f aca="false">IF(OR(A1828&lt;Resumen!$B$6,A1828&gt;=Resumen!$B$7),0,MAX(0,AVERAGEIFS(B1780:B1876,D1780:D1876,1)-Resumen!$B$5*AVERAGEIFS(C1780:C1876,D1780:D1876,1)))</f>
        <v>1.80971384639175</v>
      </c>
      <c r="F1828" s="10" t="n">
        <f aca="false">IF(B1828="","",(B1828-E1828)/Resumen!$B$5)</f>
        <v>3.627868271333</v>
      </c>
      <c r="G1828" s="10" t="n">
        <f aca="false">IF(OR(F1828="",C1828=""),0,(F1828-C1828)*0.9)</f>
        <v>-0.630568555800299</v>
      </c>
      <c r="H1828" s="26" t="n">
        <f aca="false">IF(A1828&lt;Resumen!$B$11,"",IF(H1827="",0,H1827)+G1828/Resumen!$B$9)</f>
        <v>1.20073233590775</v>
      </c>
      <c r="I1828" s="26" t="n">
        <f aca="false">IF(H1828="","",H1828-AVERAGE(H1780:H1876))</f>
        <v>0.0352269376600769</v>
      </c>
      <c r="J1828" s="27" t="n">
        <f aca="false">IF(I1828="","",Resumen!$B$10-(MAX(I1780:I1876)-I1828))</f>
        <v>1.7565435326899</v>
      </c>
    </row>
    <row r="1829" customFormat="false" ht="15" hidden="false" customHeight="false" outlineLevel="0" collapsed="false">
      <c r="A1829" s="24" t="n">
        <v>46280.4270833333</v>
      </c>
      <c r="B1829" s="10" t="n">
        <v>6.3982</v>
      </c>
      <c r="C1829" s="10" t="n">
        <v>4.1433</v>
      </c>
      <c r="D1829" s="10" t="n">
        <f aca="false">IF(OR(B1829="",C1829="",B1829&lt;=0.05,C1829&lt;=0.05),0,1)</f>
        <v>1</v>
      </c>
      <c r="E1829" s="25" t="n">
        <f aca="false">IF(OR(A1829&lt;Resumen!$B$6,A1829&gt;=Resumen!$B$7),0,MAX(0,AVERAGEIFS(B1781:B1877,D1781:D1877,1)-Resumen!$B$5*AVERAGEIFS(C1781:C1877,D1781:D1877,1)))</f>
        <v>1.8261326072165</v>
      </c>
      <c r="F1829" s="10" t="n">
        <f aca="false">IF(B1829="","",(B1829-E1829)/Resumen!$B$5)</f>
        <v>3.63150706337054</v>
      </c>
      <c r="G1829" s="10" t="n">
        <f aca="false">IF(OR(F1829="",C1829=""),0,(F1829-C1829)*0.9)</f>
        <v>-0.460613642966517</v>
      </c>
      <c r="H1829" s="26" t="n">
        <f aca="false">IF(A1829&lt;Resumen!$B$11,"",IF(H1828="",0,H1828)+G1829/Resumen!$B$9)</f>
        <v>1.17895964034048</v>
      </c>
      <c r="I1829" s="26" t="n">
        <f aca="false">IF(H1829="","",H1829-AVERAGE(H1781:H1877))</f>
        <v>0.0132561831675302</v>
      </c>
      <c r="J1829" s="27" t="n">
        <f aca="false">IF(I1829="","",Resumen!$B$10-(MAX(I1781:I1877)-I1829))</f>
        <v>1.73457277819736</v>
      </c>
    </row>
    <row r="1830" customFormat="false" ht="15" hidden="false" customHeight="false" outlineLevel="0" collapsed="false">
      <c r="A1830" s="24" t="n">
        <v>46280.4375</v>
      </c>
      <c r="B1830" s="10" t="n">
        <v>6.8125</v>
      </c>
      <c r="C1830" s="10" t="n">
        <v>4.1719</v>
      </c>
      <c r="D1830" s="10" t="n">
        <f aca="false">IF(OR(B1830="",C1830="",B1830&lt;=0.05,C1830&lt;=0.05),0,1)</f>
        <v>1</v>
      </c>
      <c r="E1830" s="25" t="n">
        <f aca="false">IF(OR(A1830&lt;Resumen!$B$6,A1830&gt;=Resumen!$B$7),0,MAX(0,AVERAGEIFS(B1782:B1878,D1782:D1878,1)-Resumen!$B$5*AVERAGEIFS(C1782:C1878,D1782:D1878,1)))</f>
        <v>1.83903348659794</v>
      </c>
      <c r="F1830" s="10" t="n">
        <f aca="false">IF(B1830="","",(B1830-E1830)/Resumen!$B$5)</f>
        <v>3.95033082875462</v>
      </c>
      <c r="G1830" s="10" t="n">
        <f aca="false">IF(OR(F1830="",C1830=""),0,(F1830-C1830)*0.9)</f>
        <v>-0.199412254120845</v>
      </c>
      <c r="H1830" s="26" t="n">
        <f aca="false">IF(A1830&lt;Resumen!$B$11,"",IF(H1829="",0,H1829)+G1830/Resumen!$B$9)</f>
        <v>1.16953364445944</v>
      </c>
      <c r="I1830" s="26" t="n">
        <f aca="false">IF(H1830="","",H1830-AVERAGE(H1782:H1878))</f>
        <v>0.00332909957328797</v>
      </c>
      <c r="J1830" s="27" t="n">
        <f aca="false">IF(I1830="","",Resumen!$B$10-(MAX(I1782:I1878)-I1830))</f>
        <v>1.72464569460311</v>
      </c>
    </row>
    <row r="1831" customFormat="false" ht="15" hidden="false" customHeight="false" outlineLevel="0" collapsed="false">
      <c r="A1831" s="24" t="n">
        <v>46280.4479166667</v>
      </c>
      <c r="B1831" s="10" t="n">
        <v>6.4917</v>
      </c>
      <c r="C1831" s="10" t="n">
        <v>3.9657</v>
      </c>
      <c r="D1831" s="10" t="n">
        <f aca="false">IF(OR(B1831="",C1831="",B1831&lt;=0.05,C1831&lt;=0.05),0,1)</f>
        <v>1</v>
      </c>
      <c r="E1831" s="25" t="n">
        <f aca="false">IF(OR(A1831&lt;Resumen!$B$6,A1831&gt;=Resumen!$B$7),0,MAX(0,AVERAGEIFS(B1783:B1879,D1783:D1879,1)-Resumen!$B$5*AVERAGEIFS(C1783:C1879,D1783:D1879,1)))</f>
        <v>1.83906319896907</v>
      </c>
      <c r="F1831" s="10" t="n">
        <f aca="false">IF(B1831="","",(B1831-E1831)/Resumen!$B$5)</f>
        <v>3.69550182766555</v>
      </c>
      <c r="G1831" s="10" t="n">
        <f aca="false">IF(OR(F1831="",C1831=""),0,(F1831-C1831)*0.9)</f>
        <v>-0.243178355101004</v>
      </c>
      <c r="H1831" s="26" t="n">
        <f aca="false">IF(A1831&lt;Resumen!$B$11,"",IF(H1830="",0,H1830)+G1831/Resumen!$B$9)</f>
        <v>1.15803887357062</v>
      </c>
      <c r="I1831" s="26" t="n">
        <f aca="false">IF(H1831="","",H1831-AVERAGE(H1783:H1879))</f>
        <v>-0.00856367752999865</v>
      </c>
      <c r="J1831" s="27" t="n">
        <f aca="false">IF(I1831="","",Resumen!$B$10-(MAX(I1783:I1879)-I1831))</f>
        <v>1.71275291749983</v>
      </c>
    </row>
    <row r="1832" customFormat="false" ht="15" hidden="false" customHeight="false" outlineLevel="0" collapsed="false">
      <c r="A1832" s="24" t="n">
        <v>46280.4583333333</v>
      </c>
      <c r="B1832" s="10" t="n">
        <v>6.112</v>
      </c>
      <c r="C1832" s="10" t="n">
        <v>3.3771</v>
      </c>
      <c r="D1832" s="10" t="n">
        <f aca="false">IF(OR(B1832="",C1832="",B1832&lt;=0.05,C1832&lt;=0.05),0,1)</f>
        <v>1</v>
      </c>
      <c r="E1832" s="25" t="n">
        <f aca="false">IF(OR(A1832&lt;Resumen!$B$6,A1832&gt;=Resumen!$B$7),0,MAX(0,AVERAGEIFS(B1784:B1880,D1784:D1880,1)-Resumen!$B$5*AVERAGEIFS(C1784:C1880,D1784:D1880,1)))</f>
        <v>1.85985426804124</v>
      </c>
      <c r="F1832" s="10" t="n">
        <f aca="false">IF(B1832="","",(B1832-E1832)/Resumen!$B$5)</f>
        <v>3.37739931053119</v>
      </c>
      <c r="G1832" s="10" t="n">
        <f aca="false">IF(OR(F1832="",C1832=""),0,(F1832-C1832)*0.9)</f>
        <v>0.000269379478067133</v>
      </c>
      <c r="H1832" s="26" t="n">
        <f aca="false">IF(A1832&lt;Resumen!$B$11,"",IF(H1831="",0,H1831)+G1832/Resumen!$B$9)</f>
        <v>1.15805160683951</v>
      </c>
      <c r="I1832" s="26" t="n">
        <f aca="false">IF(H1832="","",H1832-AVERAGE(H1784:H1880))</f>
        <v>-0.00956662942275544</v>
      </c>
      <c r="J1832" s="27" t="n">
        <f aca="false">IF(I1832="","",Resumen!$B$10-(MAX(I1784:I1880)-I1832))</f>
        <v>1.71174996560707</v>
      </c>
    </row>
    <row r="1833" customFormat="false" ht="15" hidden="false" customHeight="false" outlineLevel="0" collapsed="false">
      <c r="A1833" s="24" t="n">
        <v>46280.46875</v>
      </c>
      <c r="B1833" s="10" t="n">
        <v>10.0547</v>
      </c>
      <c r="C1833" s="10" t="n">
        <v>4.7015</v>
      </c>
      <c r="D1833" s="10" t="n">
        <f aca="false">IF(OR(B1833="",C1833="",B1833&lt;=0.05,C1833&lt;=0.05),0,1)</f>
        <v>1</v>
      </c>
      <c r="E1833" s="25" t="n">
        <f aca="false">IF(OR(A1833&lt;Resumen!$B$6,A1833&gt;=Resumen!$B$7),0,MAX(0,AVERAGEIFS(B1785:B1881,D1785:D1881,1)-Resumen!$B$5*AVERAGEIFS(C1785:C1881,D1785:D1881,1)))</f>
        <v>1.87199102371134</v>
      </c>
      <c r="F1833" s="10" t="n">
        <f aca="false">IF(B1833="","",(B1833-E1833)/Resumen!$B$5)</f>
        <v>6.49937170475668</v>
      </c>
      <c r="G1833" s="10" t="n">
        <f aca="false">IF(OR(F1833="",C1833=""),0,(F1833-C1833)*0.9)</f>
        <v>1.61808453428101</v>
      </c>
      <c r="H1833" s="26" t="n">
        <f aca="false">IF(A1833&lt;Resumen!$B$11,"",IF(H1832="",0,H1832)+G1833/Resumen!$B$9)</f>
        <v>1.23453666650928</v>
      </c>
      <c r="I1833" s="26" t="n">
        <f aca="false">IF(H1833="","",H1833-AVERAGE(H1785:H1881))</f>
        <v>0.0655538253450592</v>
      </c>
      <c r="J1833" s="27" t="n">
        <f aca="false">IF(I1833="","",Resumen!$B$10-(MAX(I1785:I1881)-I1833))</f>
        <v>1.78687042037488</v>
      </c>
    </row>
    <row r="1834" customFormat="false" ht="15" hidden="false" customHeight="false" outlineLevel="0" collapsed="false">
      <c r="A1834" s="24" t="n">
        <v>46280.4791666667</v>
      </c>
      <c r="B1834" s="10" t="n">
        <v>6.454</v>
      </c>
      <c r="C1834" s="10" t="n">
        <v>3.3899</v>
      </c>
      <c r="D1834" s="10" t="n">
        <f aca="false">IF(OR(B1834="",C1834="",B1834&lt;=0.05,C1834&lt;=0.05),0,1)</f>
        <v>1</v>
      </c>
      <c r="E1834" s="25" t="n">
        <f aca="false">IF(OR(A1834&lt;Resumen!$B$6,A1834&gt;=Resumen!$B$7),0,MAX(0,AVERAGEIFS(B1786:B1882,D1786:D1882,1)-Resumen!$B$5*AVERAGEIFS(C1786:C1882,D1786:D1882,1)))</f>
        <v>1.87923554742268</v>
      </c>
      <c r="F1834" s="10" t="n">
        <f aca="false">IF(B1834="","",(B1834-E1834)/Resumen!$B$5)</f>
        <v>3.63364928719406</v>
      </c>
      <c r="G1834" s="10" t="n">
        <f aca="false">IF(OR(F1834="",C1834=""),0,(F1834-C1834)*0.9)</f>
        <v>0.219374358474653</v>
      </c>
      <c r="H1834" s="26" t="n">
        <f aca="false">IF(A1834&lt;Resumen!$B$11,"",IF(H1833="",0,H1833)+G1834/Resumen!$B$9)</f>
        <v>1.24490624890283</v>
      </c>
      <c r="I1834" s="26" t="n">
        <f aca="false">IF(H1834="","",H1834-AVERAGE(H1786:H1882))</f>
        <v>0.0743662277671504</v>
      </c>
      <c r="J1834" s="27" t="n">
        <f aca="false">IF(I1834="","",Resumen!$B$10-(MAX(I1786:I1882)-I1834))</f>
        <v>1.79568282279698</v>
      </c>
    </row>
    <row r="1835" customFormat="false" ht="15" hidden="false" customHeight="false" outlineLevel="0" collapsed="false">
      <c r="A1835" s="24" t="n">
        <v>46280.4895833333</v>
      </c>
      <c r="B1835" s="10" t="n">
        <v>5.9629</v>
      </c>
      <c r="C1835" s="10" t="n">
        <v>3.0777</v>
      </c>
      <c r="D1835" s="10" t="n">
        <f aca="false">IF(OR(B1835="",C1835="",B1835&lt;=0.05,C1835&lt;=0.05),0,1)</f>
        <v>1</v>
      </c>
      <c r="E1835" s="25" t="n">
        <f aca="false">IF(OR(A1835&lt;Resumen!$B$6,A1835&gt;=Resumen!$B$7),0,MAX(0,AVERAGEIFS(B1787:B1883,D1787:D1883,1)-Resumen!$B$5*AVERAGEIFS(C1787:C1883,D1787:D1883,1)))</f>
        <v>1.88252595360825</v>
      </c>
      <c r="F1835" s="10" t="n">
        <f aca="false">IF(B1835="","",(B1835-E1835)/Resumen!$B$5)</f>
        <v>3.2409642941952</v>
      </c>
      <c r="G1835" s="10" t="n">
        <f aca="false">IF(OR(F1835="",C1835=""),0,(F1835-C1835)*0.9)</f>
        <v>0.146937864775677</v>
      </c>
      <c r="H1835" s="26" t="n">
        <f aca="false">IF(A1835&lt;Resumen!$B$11,"",IF(H1834="",0,H1834)+G1835/Resumen!$B$9)</f>
        <v>1.25185183865232</v>
      </c>
      <c r="I1835" s="26" t="n">
        <f aca="false">IF(H1835="","",H1835-AVERAGE(H1787:H1883))</f>
        <v>0.079685785677398</v>
      </c>
      <c r="J1835" s="27" t="n">
        <f aca="false">IF(I1835="","",Resumen!$B$10-(MAX(I1787:I1883)-I1835))</f>
        <v>1.80100238070722</v>
      </c>
    </row>
    <row r="1836" customFormat="false" ht="15" hidden="false" customHeight="false" outlineLevel="0" collapsed="false">
      <c r="A1836" s="24" t="n">
        <v>46280.5</v>
      </c>
      <c r="B1836" s="10" t="n">
        <v>5.2568</v>
      </c>
      <c r="C1836" s="10" t="n">
        <v>2.9719</v>
      </c>
      <c r="D1836" s="10" t="n">
        <f aca="false">IF(OR(B1836="",C1836="",B1836&lt;=0.05,C1836&lt;=0.05),0,1)</f>
        <v>1</v>
      </c>
      <c r="E1836" s="25" t="n">
        <f aca="false">IF(OR(A1836&lt;Resumen!$B$6,A1836&gt;=Resumen!$B$7),0,MAX(0,AVERAGEIFS(B1788:B1884,D1788:D1884,1)-Resumen!$B$5*AVERAGEIFS(C1788:C1884,D1788:D1884,1)))</f>
        <v>1.89096471134021</v>
      </c>
      <c r="F1836" s="10" t="n">
        <f aca="false">IF(B1836="","",(B1836-E1836)/Resumen!$B$5)</f>
        <v>2.67341960973772</v>
      </c>
      <c r="G1836" s="10" t="n">
        <f aca="false">IF(OR(F1836="",C1836=""),0,(F1836-C1836)*0.9)</f>
        <v>-0.268632351236049</v>
      </c>
      <c r="H1836" s="26" t="n">
        <f aca="false">IF(A1836&lt;Resumen!$B$11,"",IF(H1835="",0,H1835)+G1836/Resumen!$B$9)</f>
        <v>1.23915388562315</v>
      </c>
      <c r="I1836" s="26" t="n">
        <f aca="false">IF(H1836="","",H1836-AVERAGE(H1788:H1884))</f>
        <v>0.065113038716232</v>
      </c>
      <c r="J1836" s="27" t="n">
        <f aca="false">IF(I1836="","",Resumen!$B$10-(MAX(I1788:I1884)-I1836))</f>
        <v>1.78642963374606</v>
      </c>
    </row>
    <row r="1837" customFormat="false" ht="15" hidden="false" customHeight="false" outlineLevel="0" collapsed="false">
      <c r="A1837" s="24" t="n">
        <v>46280.5104166667</v>
      </c>
      <c r="B1837" s="10" t="n">
        <v>5.295</v>
      </c>
      <c r="C1837" s="10" t="n">
        <v>2.8453</v>
      </c>
      <c r="D1837" s="10" t="n">
        <f aca="false">IF(OR(B1837="",C1837="",B1837&lt;=0.05,C1837&lt;=0.05),0,1)</f>
        <v>1</v>
      </c>
      <c r="E1837" s="25" t="n">
        <f aca="false">IF(OR(A1837&lt;Resumen!$B$6,A1837&gt;=Resumen!$B$7),0,MAX(0,AVERAGEIFS(B1789:B1885,D1789:D1885,1)-Resumen!$B$5*AVERAGEIFS(C1789:C1885,D1789:D1885,1)))</f>
        <v>1.90740636494845</v>
      </c>
      <c r="F1837" s="10" t="n">
        <f aca="false">IF(B1837="","",(B1837-E1837)/Resumen!$B$5)</f>
        <v>2.69070185468749</v>
      </c>
      <c r="G1837" s="10" t="n">
        <f aca="false">IF(OR(F1837="",C1837=""),0,(F1837-C1837)*0.9)</f>
        <v>-0.139138330781262</v>
      </c>
      <c r="H1837" s="26" t="n">
        <f aca="false">IF(A1837&lt;Resumen!$B$11,"",IF(H1836="",0,H1836)+G1837/Resumen!$B$9)</f>
        <v>1.23257697118717</v>
      </c>
      <c r="I1837" s="26" t="n">
        <f aca="false">IF(H1837="","",H1837-AVERAGE(H1789:H1885))</f>
        <v>0.0561433219668499</v>
      </c>
      <c r="J1837" s="27" t="n">
        <f aca="false">IF(I1837="","",Resumen!$B$10-(MAX(I1789:I1885)-I1837))</f>
        <v>1.77745991699668</v>
      </c>
    </row>
    <row r="1838" customFormat="false" ht="15" hidden="false" customHeight="false" outlineLevel="0" collapsed="false">
      <c r="A1838" s="24" t="n">
        <v>46280.5208333333</v>
      </c>
      <c r="B1838" s="10" t="n">
        <v>5.7989</v>
      </c>
      <c r="C1838" s="10" t="n">
        <v>2.9047</v>
      </c>
      <c r="D1838" s="10" t="n">
        <f aca="false">IF(OR(B1838="",C1838="",B1838&lt;=0.05,C1838&lt;=0.05),0,1)</f>
        <v>1</v>
      </c>
      <c r="E1838" s="25" t="n">
        <f aca="false">IF(OR(A1838&lt;Resumen!$B$6,A1838&gt;=Resumen!$B$7),0,MAX(0,AVERAGEIFS(B1790:B1886,D1790:D1886,1)-Resumen!$B$5*AVERAGEIFS(C1790:C1886,D1790:D1886,1)))</f>
        <v>1.93493173092784</v>
      </c>
      <c r="F1838" s="10" t="n">
        <f aca="false">IF(B1838="","",(B1838-E1838)/Resumen!$B$5)</f>
        <v>3.06907725899298</v>
      </c>
      <c r="G1838" s="10" t="n">
        <f aca="false">IF(OR(F1838="",C1838=""),0,(F1838-C1838)*0.9)</f>
        <v>0.147939533093684</v>
      </c>
      <c r="H1838" s="26" t="n">
        <f aca="false">IF(A1838&lt;Resumen!$B$11,"",IF(H1837="",0,H1837)+G1838/Resumen!$B$9)</f>
        <v>1.23956990868608</v>
      </c>
      <c r="I1838" s="26" t="n">
        <f aca="false">IF(H1838="","",H1838-AVERAGE(H1790:H1886))</f>
        <v>0.0598486994334944</v>
      </c>
      <c r="J1838" s="27" t="n">
        <f aca="false">IF(I1838="","",Resumen!$B$10-(MAX(I1790:I1886)-I1838))</f>
        <v>1.78116529446332</v>
      </c>
    </row>
    <row r="1839" customFormat="false" ht="15" hidden="false" customHeight="false" outlineLevel="0" collapsed="false">
      <c r="A1839" s="24" t="n">
        <v>46280.53125</v>
      </c>
      <c r="B1839" s="10" t="n">
        <v>6.3087</v>
      </c>
      <c r="C1839" s="10" t="n">
        <v>2.4013</v>
      </c>
      <c r="D1839" s="10" t="n">
        <f aca="false">IF(OR(B1839="",C1839="",B1839&lt;=0.05,C1839&lt;=0.05),0,1)</f>
        <v>1</v>
      </c>
      <c r="E1839" s="25" t="n">
        <f aca="false">IF(OR(A1839&lt;Resumen!$B$6,A1839&gt;=Resumen!$B$7),0,MAX(0,AVERAGEIFS(B1791:B1887,D1791:D1887,1)-Resumen!$B$5*AVERAGEIFS(C1791:C1887,D1791:D1887,1)))</f>
        <v>1.93601945257732</v>
      </c>
      <c r="F1839" s="10" t="n">
        <f aca="false">IF(B1839="","",(B1839-E1839)/Resumen!$B$5)</f>
        <v>3.4731378454509</v>
      </c>
      <c r="G1839" s="10" t="n">
        <f aca="false">IF(OR(F1839="",C1839=""),0,(F1839-C1839)*0.9)</f>
        <v>0.964654060905808</v>
      </c>
      <c r="H1839" s="26" t="n">
        <f aca="false">IF(A1839&lt;Resumen!$B$11,"",IF(H1838="",0,H1838)+G1839/Resumen!$B$9)</f>
        <v>1.28516803526471</v>
      </c>
      <c r="I1839" s="26" t="n">
        <f aca="false">IF(H1839="","",H1839-AVERAGE(H1791:H1887))</f>
        <v>0.102150890847264</v>
      </c>
      <c r="J1839" s="27" t="n">
        <f aca="false">IF(I1839="","",Resumen!$B$10-(MAX(I1791:I1887)-I1839))</f>
        <v>1.82346748587709</v>
      </c>
    </row>
    <row r="1840" customFormat="false" ht="15" hidden="false" customHeight="false" outlineLevel="0" collapsed="false">
      <c r="A1840" s="24" t="n">
        <v>46280.5416666667</v>
      </c>
      <c r="B1840" s="10" t="n">
        <v>6.5561</v>
      </c>
      <c r="C1840" s="10" t="n">
        <v>2.9692</v>
      </c>
      <c r="D1840" s="10" t="n">
        <f aca="false">IF(OR(B1840="",C1840="",B1840&lt;=0.05,C1840&lt;=0.05),0,1)</f>
        <v>1</v>
      </c>
      <c r="E1840" s="25" t="n">
        <f aca="false">IF(OR(A1840&lt;Resumen!$B$6,A1840&gt;=Resumen!$B$7),0,MAX(0,AVERAGEIFS(B1792:B1888,D1792:D1888,1)-Resumen!$B$5*AVERAGEIFS(C1792:C1888,D1792:D1888,1)))</f>
        <v>1.93582412886598</v>
      </c>
      <c r="F1840" s="10" t="n">
        <f aca="false">IF(B1840="","",(B1840-E1840)/Resumen!$B$5)</f>
        <v>3.66979815022559</v>
      </c>
      <c r="G1840" s="10" t="n">
        <f aca="false">IF(OR(F1840="",C1840=""),0,(F1840-C1840)*0.9)</f>
        <v>0.630538335203034</v>
      </c>
      <c r="H1840" s="26" t="n">
        <f aca="false">IF(A1840&lt;Resumen!$B$11,"",IF(H1839="",0,H1839)+G1840/Resumen!$B$9)</f>
        <v>1.31497288239745</v>
      </c>
      <c r="I1840" s="26" t="n">
        <f aca="false">IF(H1840="","",H1840-AVERAGE(H1792:H1888))</f>
        <v>0.128683404970175</v>
      </c>
      <c r="J1840" s="27" t="n">
        <f aca="false">IF(I1840="","",Resumen!$B$10-(MAX(I1792:I1888)-I1840))</f>
        <v>1.85</v>
      </c>
    </row>
    <row r="1841" customFormat="false" ht="15" hidden="false" customHeight="false" outlineLevel="0" collapsed="false">
      <c r="A1841" s="24" t="n">
        <v>46280.5520833333</v>
      </c>
      <c r="B1841" s="10" t="n">
        <v>5.1809</v>
      </c>
      <c r="C1841" s="10" t="n">
        <v>3.629</v>
      </c>
      <c r="D1841" s="10" t="n">
        <f aca="false">IF(OR(B1841="",C1841="",B1841&lt;=0.05,C1841&lt;=0.05),0,1)</f>
        <v>1</v>
      </c>
      <c r="E1841" s="25" t="n">
        <f aca="false">IF(OR(A1841&lt;Resumen!$B$6,A1841&gt;=Resumen!$B$7),0,MAX(0,AVERAGEIFS(B1793:B1889,D1793:D1889,1)-Resumen!$B$5*AVERAGEIFS(C1793:C1889,D1793:D1889,1)))</f>
        <v>1.93296416082474</v>
      </c>
      <c r="F1841" s="10" t="n">
        <f aca="false">IF(B1841="","",(B1841-E1841)/Resumen!$B$5)</f>
        <v>2.57977429640608</v>
      </c>
      <c r="G1841" s="10" t="n">
        <f aca="false">IF(OR(F1841="",C1841=""),0,(F1841-C1841)*0.9)</f>
        <v>-0.944303133234526</v>
      </c>
      <c r="H1841" s="26" t="n">
        <f aca="false">IF(A1841&lt;Resumen!$B$11,"",IF(H1840="",0,H1840)+G1841/Resumen!$B$9)</f>
        <v>1.27033672157789</v>
      </c>
      <c r="I1841" s="26" t="n">
        <f aca="false">IF(H1841="","",H1841-AVERAGE(H1793:H1889))</f>
        <v>0.0808810195846355</v>
      </c>
      <c r="J1841" s="27" t="n">
        <f aca="false">IF(I1841="","",Resumen!$B$10-(MAX(I1793:I1889)-I1841))</f>
        <v>1.80219761461446</v>
      </c>
    </row>
    <row r="1842" customFormat="false" ht="15" hidden="false" customHeight="false" outlineLevel="0" collapsed="false">
      <c r="A1842" s="24" t="n">
        <v>46280.5625</v>
      </c>
      <c r="B1842" s="10" t="n">
        <v>5.4166</v>
      </c>
      <c r="C1842" s="10" t="n">
        <v>3.0433</v>
      </c>
      <c r="D1842" s="10" t="n">
        <f aca="false">IF(OR(B1842="",C1842="",B1842&lt;=0.05,C1842&lt;=0.05),0,1)</f>
        <v>1</v>
      </c>
      <c r="E1842" s="25" t="n">
        <f aca="false">IF(OR(A1842&lt;Resumen!$B$6,A1842&gt;=Resumen!$B$7),0,MAX(0,AVERAGEIFS(B1794:B1890,D1794:D1890,1)-Resumen!$B$5*AVERAGEIFS(C1794:C1890,D1794:D1890,1)))</f>
        <v>1.94984878865979</v>
      </c>
      <c r="F1842" s="10" t="n">
        <f aca="false">IF(B1842="","",(B1842-E1842)/Resumen!$B$5)</f>
        <v>2.75357522743464</v>
      </c>
      <c r="G1842" s="10" t="n">
        <f aca="false">IF(OR(F1842="",C1842=""),0,(F1842-C1842)*0.9)</f>
        <v>-0.260752295308828</v>
      </c>
      <c r="H1842" s="26" t="n">
        <f aca="false">IF(A1842&lt;Resumen!$B$11,"",IF(H1841="",0,H1841)+G1842/Resumen!$B$9)</f>
        <v>1.25801125004461</v>
      </c>
      <c r="I1842" s="26" t="n">
        <f aca="false">IF(H1842="","",H1842-AVERAGE(H1794:H1890))</f>
        <v>0.0648392039198182</v>
      </c>
      <c r="J1842" s="27" t="n">
        <f aca="false">IF(I1842="","",Resumen!$B$10-(MAX(I1794:I1890)-I1842))</f>
        <v>1.78615579894964</v>
      </c>
    </row>
    <row r="1843" customFormat="false" ht="15" hidden="false" customHeight="false" outlineLevel="0" collapsed="false">
      <c r="A1843" s="24" t="n">
        <v>46280.5729166667</v>
      </c>
      <c r="B1843" s="10" t="n">
        <v>6.7747</v>
      </c>
      <c r="C1843" s="10" t="n">
        <v>2.98</v>
      </c>
      <c r="D1843" s="10" t="n">
        <f aca="false">IF(OR(B1843="",C1843="",B1843&lt;=0.05,C1843&lt;=0.05),0,1)</f>
        <v>1</v>
      </c>
      <c r="E1843" s="25" t="n">
        <f aca="false">IF(OR(A1843&lt;Resumen!$B$6,A1843&gt;=Resumen!$B$7),0,MAX(0,AVERAGEIFS(B1795:B1891,D1795:D1891,1)-Resumen!$B$5*AVERAGEIFS(C1795:C1891,D1795:D1891,1)))</f>
        <v>1.95295973402062</v>
      </c>
      <c r="F1843" s="10" t="n">
        <f aca="false">IF(B1843="","",(B1843-E1843)/Resumen!$B$5)</f>
        <v>3.82981752659204</v>
      </c>
      <c r="G1843" s="10" t="n">
        <f aca="false">IF(OR(F1843="",C1843=""),0,(F1843-C1843)*0.9)</f>
        <v>0.764835773932839</v>
      </c>
      <c r="H1843" s="26" t="n">
        <f aca="false">IF(A1843&lt;Resumen!$B$11,"",IF(H1842="",0,H1842)+G1843/Resumen!$B$9)</f>
        <v>1.29416418802002</v>
      </c>
      <c r="I1843" s="26" t="n">
        <f aca="false">IF(H1843="","",H1843-AVERAGE(H1795:H1891))</f>
        <v>0.0971916798903101</v>
      </c>
      <c r="J1843" s="27" t="n">
        <f aca="false">IF(I1843="","",Resumen!$B$10-(MAX(I1795:I1891)-I1843))</f>
        <v>1.81850827492014</v>
      </c>
    </row>
    <row r="1844" customFormat="false" ht="15" hidden="false" customHeight="false" outlineLevel="0" collapsed="false">
      <c r="A1844" s="24" t="n">
        <v>46280.5833333333</v>
      </c>
      <c r="B1844" s="10" t="n">
        <v>4.5859</v>
      </c>
      <c r="C1844" s="10" t="n">
        <v>1.9888</v>
      </c>
      <c r="D1844" s="10" t="n">
        <f aca="false">IF(OR(B1844="",C1844="",B1844&lt;=0.05,C1844&lt;=0.05),0,1)</f>
        <v>1</v>
      </c>
      <c r="E1844" s="25" t="n">
        <f aca="false">IF(OR(A1844&lt;Resumen!$B$6,A1844&gt;=Resumen!$B$7),0,MAX(0,AVERAGEIFS(B1796:B1892,D1796:D1892,1)-Resumen!$B$5*AVERAGEIFS(C1796:C1892,D1796:D1892,1)))</f>
        <v>1.94580207938144</v>
      </c>
      <c r="F1844" s="10" t="n">
        <f aca="false">IF(B1844="","",(B1844-E1844)/Resumen!$B$5)</f>
        <v>2.09698007991942</v>
      </c>
      <c r="G1844" s="10" t="n">
        <f aca="false">IF(OR(F1844="",C1844=""),0,(F1844-C1844)*0.9)</f>
        <v>0.0973620719274819</v>
      </c>
      <c r="H1844" s="26" t="n">
        <f aca="false">IF(A1844&lt;Resumen!$B$11,"",IF(H1843="",0,H1843)+G1844/Resumen!$B$9)</f>
        <v>1.29876638507659</v>
      </c>
      <c r="I1844" s="26" t="n">
        <f aca="false">IF(H1844="","",H1844-AVERAGE(H1796:H1892))</f>
        <v>0.0982427346958597</v>
      </c>
      <c r="J1844" s="27" t="n">
        <f aca="false">IF(I1844="","",Resumen!$B$10-(MAX(I1796:I1892)-I1844))</f>
        <v>1.81955932972569</v>
      </c>
    </row>
    <row r="1845" customFormat="false" ht="15" hidden="false" customHeight="false" outlineLevel="0" collapsed="false">
      <c r="A1845" s="24" t="n">
        <v>46280.59375</v>
      </c>
      <c r="B1845" s="10" t="n">
        <v>4.9547</v>
      </c>
      <c r="C1845" s="10" t="n">
        <v>2.5048</v>
      </c>
      <c r="D1845" s="10" t="n">
        <f aca="false">IF(OR(B1845="",C1845="",B1845&lt;=0.05,C1845&lt;=0.05),0,1)</f>
        <v>1</v>
      </c>
      <c r="E1845" s="25" t="n">
        <f aca="false">IF(OR(A1845&lt;Resumen!$B$6,A1845&gt;=Resumen!$B$7),0,MAX(0,AVERAGEIFS(B1797:B1893,D1797:D1893,1)-Resumen!$B$5*AVERAGEIFS(C1797:C1893,D1797:D1893,1)))</f>
        <v>1.95754084639175</v>
      </c>
      <c r="F1845" s="10" t="n">
        <f aca="false">IF(B1845="","",(B1845-E1845)/Resumen!$B$5)</f>
        <v>2.38058709579686</v>
      </c>
      <c r="G1845" s="10" t="n">
        <f aca="false">IF(OR(F1845="",C1845=""),0,(F1845-C1845)*0.9)</f>
        <v>-0.111791613782825</v>
      </c>
      <c r="H1845" s="26" t="n">
        <f aca="false">IF(A1845&lt;Resumen!$B$11,"",IF(H1844="",0,H1844)+G1845/Resumen!$B$9)</f>
        <v>1.29348211959502</v>
      </c>
      <c r="I1845" s="26" t="n">
        <f aca="false">IF(H1845="","",H1845-AVERAGE(H1797:H1893))</f>
        <v>0.0890131058539534</v>
      </c>
      <c r="J1845" s="27" t="n">
        <f aca="false">IF(I1845="","",Resumen!$B$10-(MAX(I1797:I1893)-I1845))</f>
        <v>1.81032970088378</v>
      </c>
    </row>
    <row r="1846" customFormat="false" ht="15" hidden="false" customHeight="false" outlineLevel="0" collapsed="false">
      <c r="A1846" s="24" t="n">
        <v>46280.6041666667</v>
      </c>
      <c r="B1846" s="10" t="n">
        <v>5.0037</v>
      </c>
      <c r="C1846" s="10" t="n">
        <v>3.061</v>
      </c>
      <c r="D1846" s="10" t="n">
        <f aca="false">IF(OR(B1846="",C1846="",B1846&lt;=0.05,C1846&lt;=0.05),0,1)</f>
        <v>1</v>
      </c>
      <c r="E1846" s="25" t="n">
        <f aca="false">IF(OR(A1846&lt;Resumen!$B$6,A1846&gt;=Resumen!$B$7),0,MAX(0,AVERAGEIFS(B1798:B1894,D1798:D1894,1)-Resumen!$B$5*AVERAGEIFS(C1798:C1894,D1798:D1894,1)))</f>
        <v>1.9626253371134</v>
      </c>
      <c r="F1846" s="10" t="n">
        <f aca="false">IF(B1846="","",(B1846-E1846)/Resumen!$B$5)</f>
        <v>2.41546835813074</v>
      </c>
      <c r="G1846" s="10" t="n">
        <f aca="false">IF(OR(F1846="",C1846=""),0,(F1846-C1846)*0.9)</f>
        <v>-0.580978477682337</v>
      </c>
      <c r="H1846" s="26" t="n">
        <f aca="false">IF(A1846&lt;Resumen!$B$11,"",IF(H1845="",0,H1845)+G1846/Resumen!$B$9)</f>
        <v>1.26601991190997</v>
      </c>
      <c r="I1846" s="26" t="n">
        <f aca="false">IF(H1846="","",H1846-AVERAGE(H1798:H1894))</f>
        <v>0.0574334509965777</v>
      </c>
      <c r="J1846" s="27" t="n">
        <f aca="false">IF(I1846="","",Resumen!$B$10-(MAX(I1798:I1894)-I1846))</f>
        <v>1.7787500460264</v>
      </c>
    </row>
    <row r="1847" customFormat="false" ht="15" hidden="false" customHeight="false" outlineLevel="0" collapsed="false">
      <c r="A1847" s="24" t="n">
        <v>46280.6145833333</v>
      </c>
      <c r="B1847" s="10" t="n">
        <v>5.2185</v>
      </c>
      <c r="C1847" s="10" t="n">
        <v>2.9905</v>
      </c>
      <c r="D1847" s="10" t="n">
        <f aca="false">IF(OR(B1847="",C1847="",B1847&lt;=0.05,C1847&lt;=0.05),0,1)</f>
        <v>1</v>
      </c>
      <c r="E1847" s="25" t="n">
        <f aca="false">IF(OR(A1847&lt;Resumen!$B$6,A1847&gt;=Resumen!$B$7),0,MAX(0,AVERAGEIFS(B1799:B1895,D1799:D1895,1)-Resumen!$B$5*AVERAGEIFS(C1799:C1895,D1799:D1895,1)))</f>
        <v>1.9598053257732</v>
      </c>
      <c r="F1847" s="10" t="n">
        <f aca="false">IF(B1847="","",(B1847-E1847)/Resumen!$B$5)</f>
        <v>2.58831983655822</v>
      </c>
      <c r="G1847" s="10" t="n">
        <f aca="false">IF(OR(F1847="",C1847=""),0,(F1847-C1847)*0.9)</f>
        <v>-0.361962147097599</v>
      </c>
      <c r="H1847" s="26" t="n">
        <f aca="false">IF(A1847&lt;Resumen!$B$11,"",IF(H1846="",0,H1846)+G1847/Resumen!$B$9)</f>
        <v>1.24891036303757</v>
      </c>
      <c r="I1847" s="26" t="n">
        <f aca="false">IF(H1847="","",H1847-AVERAGE(H1799:H1895))</f>
        <v>0.0363083917062435</v>
      </c>
      <c r="J1847" s="27" t="n">
        <f aca="false">IF(I1847="","",Resumen!$B$10-(MAX(I1799:I1895)-I1847))</f>
        <v>1.75762498673607</v>
      </c>
    </row>
    <row r="1848" customFormat="false" ht="15" hidden="false" customHeight="false" outlineLevel="0" collapsed="false">
      <c r="A1848" s="24" t="n">
        <v>46280.625</v>
      </c>
      <c r="B1848" s="10" t="n">
        <v>4.6643</v>
      </c>
      <c r="C1848" s="10" t="n">
        <v>3.5863</v>
      </c>
      <c r="D1848" s="10" t="n">
        <f aca="false">IF(OR(B1848="",C1848="",B1848&lt;=0.05,C1848&lt;=0.05),0,1)</f>
        <v>1</v>
      </c>
      <c r="E1848" s="25" t="n">
        <f aca="false">IF(OR(A1848&lt;Resumen!$B$6,A1848&gt;=Resumen!$B$7),0,MAX(0,AVERAGEIFS(B1800:B1896,D1800:D1896,1)-Resumen!$B$5*AVERAGEIFS(C1800:C1896,D1800:D1896,1)))</f>
        <v>1.95283815773196</v>
      </c>
      <c r="F1848" s="10" t="n">
        <f aca="false">IF(B1848="","",(B1848-E1848)/Resumen!$B$5)</f>
        <v>2.15366309949805</v>
      </c>
      <c r="G1848" s="10" t="n">
        <f aca="false">IF(OR(F1848="",C1848=""),0,(F1848-C1848)*0.9)</f>
        <v>-1.28937321045176</v>
      </c>
      <c r="H1848" s="26" t="n">
        <f aca="false">IF(A1848&lt;Resumen!$B$11,"",IF(H1847="",0,H1847)+G1848/Resumen!$B$9)</f>
        <v>1.18796312273666</v>
      </c>
      <c r="I1848" s="26" t="n">
        <f aca="false">IF(H1848="","",H1848-AVERAGE(H1800:H1896))</f>
        <v>-0.0284120941864436</v>
      </c>
      <c r="J1848" s="27" t="n">
        <f aca="false">IF(I1848="","",Resumen!$B$10-(MAX(I1800:I1896)-I1848))</f>
        <v>1.69290450084338</v>
      </c>
    </row>
    <row r="1849" customFormat="false" ht="15" hidden="false" customHeight="false" outlineLevel="0" collapsed="false">
      <c r="A1849" s="24" t="n">
        <v>46280.6354166667</v>
      </c>
      <c r="B1849" s="10" t="n">
        <v>6.2503</v>
      </c>
      <c r="C1849" s="10" t="n">
        <v>2.3311</v>
      </c>
      <c r="D1849" s="10" t="n">
        <f aca="false">IF(OR(B1849="",C1849="",B1849&lt;=0.05,C1849&lt;=0.05),0,1)</f>
        <v>1</v>
      </c>
      <c r="E1849" s="25" t="n">
        <f aca="false">IF(OR(A1849&lt;Resumen!$B$6,A1849&gt;=Resumen!$B$7),0,MAX(0,AVERAGEIFS(B1801:B1897,D1801:D1897,1)-Resumen!$B$5*AVERAGEIFS(C1801:C1897,D1801:D1897,1)))</f>
        <v>1.96322146494845</v>
      </c>
      <c r="F1849" s="10" t="n">
        <f aca="false">IF(B1849="","",(B1849-E1849)/Resumen!$B$5)</f>
        <v>3.40514577843649</v>
      </c>
      <c r="G1849" s="10" t="n">
        <f aca="false">IF(OR(F1849="",C1849=""),0,(F1849-C1849)*0.9)</f>
        <v>0.966641200592845</v>
      </c>
      <c r="H1849" s="26" t="n">
        <f aca="false">IF(A1849&lt;Resumen!$B$11,"",IF(H1848="",0,H1848)+G1849/Resumen!$B$9)</f>
        <v>1.23365517920234</v>
      </c>
      <c r="I1849" s="26" t="n">
        <f aca="false">IF(H1849="","",H1849-AVERAGE(H1801:H1897))</f>
        <v>0.013170515723433</v>
      </c>
      <c r="J1849" s="27" t="n">
        <f aca="false">IF(I1849="","",Resumen!$B$10-(MAX(I1801:I1897)-I1849))</f>
        <v>1.73448711075326</v>
      </c>
    </row>
    <row r="1850" customFormat="false" ht="15" hidden="false" customHeight="false" outlineLevel="0" collapsed="false">
      <c r="A1850" s="24" t="n">
        <v>46280.6458333333</v>
      </c>
      <c r="B1850" s="10" t="n">
        <v>6.4147</v>
      </c>
      <c r="C1850" s="10" t="n">
        <v>2.8977</v>
      </c>
      <c r="D1850" s="10" t="n">
        <f aca="false">IF(OR(B1850="",C1850="",B1850&lt;=0.05,C1850&lt;=0.05),0,1)</f>
        <v>1</v>
      </c>
      <c r="E1850" s="25" t="n">
        <f aca="false">IF(OR(A1850&lt;Resumen!$B$6,A1850&gt;=Resumen!$B$7),0,MAX(0,AVERAGEIFS(B1802:B1898,D1802:D1898,1)-Resumen!$B$5*AVERAGEIFS(C1802:C1898,D1802:D1898,1)))</f>
        <v>1.96367095360825</v>
      </c>
      <c r="F1850" s="10" t="n">
        <f aca="false">IF(B1850="","",(B1850-E1850)/Resumen!$B$5)</f>
        <v>3.53536858331355</v>
      </c>
      <c r="G1850" s="10" t="n">
        <f aca="false">IF(OR(F1850="",C1850=""),0,(F1850-C1850)*0.9)</f>
        <v>0.573901724982191</v>
      </c>
      <c r="H1850" s="26" t="n">
        <f aca="false">IF(A1850&lt;Resumen!$B$11,"",IF(H1849="",0,H1849)+G1850/Resumen!$B$9)</f>
        <v>1.26078287664328</v>
      </c>
      <c r="I1850" s="26" t="n">
        <f aca="false">IF(H1850="","",H1850-AVERAGE(H1802:H1898))</f>
        <v>0.0361729677597098</v>
      </c>
      <c r="J1850" s="27" t="n">
        <f aca="false">IF(I1850="","",Resumen!$B$10-(MAX(I1802:I1898)-I1850))</f>
        <v>1.75748956278954</v>
      </c>
    </row>
    <row r="1851" customFormat="false" ht="15" hidden="false" customHeight="false" outlineLevel="0" collapsed="false">
      <c r="A1851" s="24" t="n">
        <v>46280.65625</v>
      </c>
      <c r="B1851" s="10" t="n">
        <v>5.0116</v>
      </c>
      <c r="C1851" s="10" t="n">
        <v>3.0286</v>
      </c>
      <c r="D1851" s="10" t="n">
        <f aca="false">IF(OR(B1851="",C1851="",B1851&lt;=0.05,C1851&lt;=0.05),0,1)</f>
        <v>1</v>
      </c>
      <c r="E1851" s="25" t="n">
        <f aca="false">IF(OR(A1851&lt;Resumen!$B$6,A1851&gt;=Resumen!$B$7),0,MAX(0,AVERAGEIFS(B1803:B1899,D1803:D1899,1)-Resumen!$B$5*AVERAGEIFS(C1803:C1899,D1803:D1899,1)))</f>
        <v>1.96729508865979</v>
      </c>
      <c r="F1851" s="10" t="n">
        <f aca="false">IF(B1851="","",(B1851-E1851)/Resumen!$B$5)</f>
        <v>2.41803408366974</v>
      </c>
      <c r="G1851" s="10" t="n">
        <f aca="false">IF(OR(F1851="",C1851=""),0,(F1851-C1851)*0.9)</f>
        <v>-0.549509324697232</v>
      </c>
      <c r="H1851" s="26" t="n">
        <f aca="false">IF(A1851&lt;Resumen!$B$11,"",IF(H1850="",0,H1850)+G1851/Resumen!$B$9)</f>
        <v>1.23480818088535</v>
      </c>
      <c r="I1851" s="26" t="n">
        <f aca="false">IF(H1851="","",H1851-AVERAGE(H1803:H1899))</f>
        <v>0.00593418467994411</v>
      </c>
      <c r="J1851" s="27" t="n">
        <f aca="false">IF(I1851="","",Resumen!$B$10-(MAX(I1803:I1899)-I1851))</f>
        <v>1.72725077970977</v>
      </c>
    </row>
    <row r="1852" customFormat="false" ht="15" hidden="false" customHeight="false" outlineLevel="0" collapsed="false">
      <c r="A1852" s="24" t="n">
        <v>46280.6666666667</v>
      </c>
      <c r="B1852" s="10" t="n">
        <v>5.3248</v>
      </c>
      <c r="C1852" s="10" t="n">
        <v>2.6859</v>
      </c>
      <c r="D1852" s="10" t="n">
        <f aca="false">IF(OR(B1852="",C1852="",B1852&lt;=0.05,C1852&lt;=0.05),0,1)</f>
        <v>1</v>
      </c>
      <c r="E1852" s="25" t="n">
        <f aca="false">IF(OR(A1852&lt;Resumen!$B$6,A1852&gt;=Resumen!$B$7),0,MAX(0,AVERAGEIFS(B1804:B1900,D1804:D1900,1)-Resumen!$B$5*AVERAGEIFS(C1804:C1900,D1804:D1900,1)))</f>
        <v>1.97554818969072</v>
      </c>
      <c r="F1852" s="10" t="n">
        <f aca="false">IF(B1852="","",(B1852-E1852)/Resumen!$B$5)</f>
        <v>2.660247665059</v>
      </c>
      <c r="G1852" s="10" t="n">
        <f aca="false">IF(OR(F1852="",C1852=""),0,(F1852-C1852)*0.9)</f>
        <v>-0.0230871014469018</v>
      </c>
      <c r="H1852" s="26" t="n">
        <f aca="false">IF(A1852&lt;Resumen!$B$11,"",IF(H1851="",0,H1851)+G1852/Resumen!$B$9)</f>
        <v>1.23371687922938</v>
      </c>
      <c r="I1852" s="26" t="n">
        <f aca="false">IF(H1852="","",H1852-AVERAGE(H1804:H1900))</f>
        <v>0.000284172161291174</v>
      </c>
      <c r="J1852" s="27" t="n">
        <f aca="false">IF(I1852="","",Resumen!$B$10-(MAX(I1804:I1900)-I1852))</f>
        <v>1.72160076719112</v>
      </c>
    </row>
    <row r="1853" customFormat="false" ht="15" hidden="false" customHeight="false" outlineLevel="0" collapsed="false">
      <c r="A1853" s="24" t="n">
        <v>46280.6770833333</v>
      </c>
      <c r="B1853" s="10" t="n">
        <v>5.0536</v>
      </c>
      <c r="C1853" s="10" t="n">
        <v>2.7786</v>
      </c>
      <c r="D1853" s="10" t="n">
        <f aca="false">IF(OR(B1853="",C1853="",B1853&lt;=0.05,C1853&lt;=0.05),0,1)</f>
        <v>1</v>
      </c>
      <c r="E1853" s="25" t="n">
        <f aca="false">IF(OR(A1853&lt;Resumen!$B$6,A1853&gt;=Resumen!$B$7),0,MAX(0,AVERAGEIFS(B1805:B1901,D1805:D1901,1)-Resumen!$B$5*AVERAGEIFS(C1805:C1901,D1805:D1901,1)))</f>
        <v>1.98050835257732</v>
      </c>
      <c r="F1853" s="10" t="n">
        <f aca="false">IF(B1853="","",(B1853-E1853)/Resumen!$B$5)</f>
        <v>2.44089884624518</v>
      </c>
      <c r="G1853" s="10" t="n">
        <f aca="false">IF(OR(F1853="",C1853=""),0,(F1853-C1853)*0.9)</f>
        <v>-0.303931038379338</v>
      </c>
      <c r="H1853" s="26" t="n">
        <f aca="false">IF(A1853&lt;Resumen!$B$11,"",IF(H1852="",0,H1852)+G1853/Resumen!$B$9)</f>
        <v>1.21935039644468</v>
      </c>
      <c r="I1853" s="26" t="n">
        <f aca="false">IF(H1853="","",H1853-AVERAGE(H1805:H1901))</f>
        <v>-0.0188269804876942</v>
      </c>
      <c r="J1853" s="27" t="n">
        <f aca="false">IF(I1853="","",Resumen!$B$10-(MAX(I1805:I1901)-I1853))</f>
        <v>1.696096990046</v>
      </c>
    </row>
    <row r="1854" customFormat="false" ht="15" hidden="false" customHeight="false" outlineLevel="0" collapsed="false">
      <c r="A1854" s="24" t="n">
        <v>46280.6875</v>
      </c>
      <c r="B1854" s="10" t="n">
        <v>5.2172</v>
      </c>
      <c r="C1854" s="10" t="n">
        <v>2.3328</v>
      </c>
      <c r="D1854" s="10" t="n">
        <f aca="false">IF(OR(B1854="",C1854="",B1854&lt;=0.05,C1854&lt;=0.05),0,1)</f>
        <v>1</v>
      </c>
      <c r="E1854" s="25" t="n">
        <f aca="false">IF(OR(A1854&lt;Resumen!$B$6,A1854&gt;=Resumen!$B$7),0,MAX(0,AVERAGEIFS(B1806:B1902,D1806:D1902,1)-Resumen!$B$5*AVERAGEIFS(C1806:C1902,D1806:D1902,1)))</f>
        <v>1.98359364742268</v>
      </c>
      <c r="F1854" s="10" t="n">
        <f aca="false">IF(B1854="","",(B1854-E1854)/Resumen!$B$5)</f>
        <v>2.56839265494624</v>
      </c>
      <c r="G1854" s="10" t="n">
        <f aca="false">IF(OR(F1854="",C1854=""),0,(F1854-C1854)*0.9)</f>
        <v>0.212033389451619</v>
      </c>
      <c r="H1854" s="26" t="n">
        <f aca="false">IF(A1854&lt;Resumen!$B$11,"",IF(H1853="",0,H1853)+G1854/Resumen!$B$9)</f>
        <v>1.22937297938185</v>
      </c>
      <c r="I1854" s="26" t="n">
        <f aca="false">IF(H1854="","",H1854-AVERAGE(H1806:H1902))</f>
        <v>-0.0136725421264499</v>
      </c>
      <c r="J1854" s="27" t="n">
        <f aca="false">IF(I1854="","",Resumen!$B$10-(MAX(I1806:I1902)-I1854))</f>
        <v>1.67801707203318</v>
      </c>
    </row>
    <row r="1855" customFormat="false" ht="15" hidden="false" customHeight="false" outlineLevel="0" collapsed="false">
      <c r="A1855" s="24" t="n">
        <v>46280.6979166667</v>
      </c>
      <c r="B1855" s="10" t="n">
        <v>4.9003</v>
      </c>
      <c r="C1855" s="10" t="n">
        <v>2.3327</v>
      </c>
      <c r="D1855" s="10" t="n">
        <f aca="false">IF(OR(B1855="",C1855="",B1855&lt;=0.05,C1855&lt;=0.05),0,1)</f>
        <v>1</v>
      </c>
      <c r="E1855" s="25" t="n">
        <f aca="false">IF(OR(A1855&lt;Resumen!$B$6,A1855&gt;=Resumen!$B$7),0,MAX(0,AVERAGEIFS(B1807:B1903,D1807:D1903,1)-Resumen!$B$5*AVERAGEIFS(C1807:C1903,D1807:D1903,1)))</f>
        <v>1.98608949381443</v>
      </c>
      <c r="F1855" s="10" t="n">
        <f aca="false">IF(B1855="","",(B1855-E1855)/Resumen!$B$5)</f>
        <v>2.31470254661284</v>
      </c>
      <c r="G1855" s="10" t="n">
        <f aca="false">IF(OR(F1855="",C1855=""),0,(F1855-C1855)*0.9)</f>
        <v>-0.0161977080484437</v>
      </c>
      <c r="H1855" s="26" t="n">
        <f aca="false">IF(A1855&lt;Resumen!$B$11,"",IF(H1854="",0,H1854)+G1855/Resumen!$B$9)</f>
        <v>1.22860733170378</v>
      </c>
      <c r="I1855" s="26" t="n">
        <f aca="false">IF(H1855="","",H1855-AVERAGE(H1807:H1903))</f>
        <v>-0.0194159487845231</v>
      </c>
      <c r="J1855" s="27" t="n">
        <f aca="false">IF(I1855="","",Resumen!$B$10-(MAX(I1807:I1903)-I1855))</f>
        <v>1.6455359177808</v>
      </c>
    </row>
    <row r="1856" customFormat="false" ht="15" hidden="false" customHeight="false" outlineLevel="0" collapsed="false">
      <c r="A1856" s="24" t="n">
        <v>46280.7083333333</v>
      </c>
      <c r="B1856" s="10" t="n">
        <v>5.7347</v>
      </c>
      <c r="C1856" s="10" t="n">
        <v>2.7864</v>
      </c>
      <c r="D1856" s="10" t="n">
        <f aca="false">IF(OR(B1856="",C1856="",B1856&lt;=0.05,C1856&lt;=0.05),0,1)</f>
        <v>1</v>
      </c>
      <c r="E1856" s="25" t="n">
        <f aca="false">IF(OR(A1856&lt;Resumen!$B$6,A1856&gt;=Resumen!$B$7),0,MAX(0,AVERAGEIFS(B1808:B1904,D1808:D1904,1)-Resumen!$B$5*AVERAGEIFS(C1808:C1904,D1808:D1904,1)))</f>
        <v>2.0031274072165</v>
      </c>
      <c r="F1856" s="10" t="n">
        <f aca="false">IF(B1856="","",(B1856-E1856)/Resumen!$B$5)</f>
        <v>2.96391786559452</v>
      </c>
      <c r="G1856" s="10" t="n">
        <f aca="false">IF(OR(F1856="",C1856=""),0,(F1856-C1856)*0.9)</f>
        <v>0.159766079035071</v>
      </c>
      <c r="H1856" s="26" t="n">
        <f aca="false">IF(A1856&lt;Resumen!$B$11,"",IF(H1855="",0,H1855)+G1856/Resumen!$B$9)</f>
        <v>1.23615929690047</v>
      </c>
      <c r="I1856" s="26" t="n">
        <f aca="false">IF(H1856="","",H1856-AVERAGE(H1808:H1904))</f>
        <v>-0.0174471469063957</v>
      </c>
      <c r="J1856" s="27" t="n">
        <f aca="false">IF(I1856="","",Resumen!$B$10-(MAX(I1808:I1904)-I1856))</f>
        <v>1.61530239672377</v>
      </c>
    </row>
    <row r="1857" customFormat="false" ht="15" hidden="false" customHeight="false" outlineLevel="0" collapsed="false">
      <c r="A1857" s="24" t="n">
        <v>46280.71875</v>
      </c>
      <c r="B1857" s="10" t="n">
        <v>4.6628</v>
      </c>
      <c r="C1857" s="10" t="n">
        <v>2.3537</v>
      </c>
      <c r="D1857" s="10" t="n">
        <f aca="false">IF(OR(B1857="",C1857="",B1857&lt;=0.05,C1857&lt;=0.05),0,1)</f>
        <v>1</v>
      </c>
      <c r="E1857" s="25" t="n">
        <f aca="false">IF(OR(A1857&lt;Resumen!$B$6,A1857&gt;=Resumen!$B$7),0,MAX(0,AVERAGEIFS(B1809:B1905,D1809:D1905,1)-Resumen!$B$5*AVERAGEIFS(C1809:C1905,D1809:D1905,1)))</f>
        <v>2.00789648041237</v>
      </c>
      <c r="F1857" s="10" t="n">
        <f aca="false">IF(B1857="","",(B1857-E1857)/Resumen!$B$5)</f>
        <v>2.1087398884731</v>
      </c>
      <c r="G1857" s="10" t="n">
        <f aca="false">IF(OR(F1857="",C1857=""),0,(F1857-C1857)*0.9)</f>
        <v>-0.220464100374214</v>
      </c>
      <c r="H1857" s="26" t="n">
        <f aca="false">IF(A1857&lt;Resumen!$B$11,"",IF(H1856="",0,H1856)+G1857/Resumen!$B$9)</f>
        <v>1.22573820361708</v>
      </c>
      <c r="I1857" s="26" t="n">
        <f aca="false">IF(H1857="","",H1857-AVERAGE(H1809:H1905))</f>
        <v>-0.0336495425560204</v>
      </c>
      <c r="J1857" s="27" t="n">
        <f aca="false">IF(I1857="","",Resumen!$B$10-(MAX(I1809:I1905)-I1857))</f>
        <v>1.58728831481469</v>
      </c>
    </row>
    <row r="1858" customFormat="false" ht="15" hidden="false" customHeight="false" outlineLevel="0" collapsed="false">
      <c r="A1858" s="24" t="n">
        <v>46280.7291666667</v>
      </c>
      <c r="B1858" s="10" t="n">
        <v>5.0661</v>
      </c>
      <c r="C1858" s="10" t="n">
        <v>2.4008</v>
      </c>
      <c r="D1858" s="10" t="n">
        <f aca="false">IF(OR(B1858="",C1858="",B1858&lt;=0.05,C1858&lt;=0.05),0,1)</f>
        <v>1</v>
      </c>
      <c r="E1858" s="25" t="n">
        <f aca="false">IF(OR(A1858&lt;Resumen!$B$6,A1858&gt;=Resumen!$B$7),0,MAX(0,AVERAGEIFS(B1810:B1906,D1810:D1906,1)-Resumen!$B$5*AVERAGEIFS(C1810:C1906,D1810:D1906,1)))</f>
        <v>2.00997324020619</v>
      </c>
      <c r="F1858" s="10" t="n">
        <f aca="false">IF(B1858="","",(B1858-E1858)/Resumen!$B$5)</f>
        <v>2.42742395535648</v>
      </c>
      <c r="G1858" s="10" t="n">
        <f aca="false">IF(OR(F1858="",C1858=""),0,(F1858-C1858)*0.9)</f>
        <v>0.023961559820836</v>
      </c>
      <c r="H1858" s="26" t="n">
        <f aca="false">IF(A1858&lt;Resumen!$B$11,"",IF(H1857="",0,H1857)+G1858/Resumen!$B$9)</f>
        <v>1.22687083994963</v>
      </c>
      <c r="I1858" s="26" t="n">
        <f aca="false">IF(H1858="","",H1858-AVERAGE(H1810:H1906))</f>
        <v>-0.0384084938363094</v>
      </c>
      <c r="J1858" s="27" t="n">
        <f aca="false">IF(I1858="","",Resumen!$B$10-(MAX(I1810:I1906)-I1858))</f>
        <v>1.53355986383153</v>
      </c>
    </row>
    <row r="1859" customFormat="false" ht="15" hidden="false" customHeight="false" outlineLevel="0" collapsed="false">
      <c r="A1859" s="24" t="n">
        <v>46280.7395833333</v>
      </c>
      <c r="B1859" s="10" t="n">
        <v>5.6853</v>
      </c>
      <c r="C1859" s="10" t="n">
        <v>2.9757</v>
      </c>
      <c r="D1859" s="10" t="n">
        <f aca="false">IF(OR(B1859="",C1859="",B1859&lt;=0.05,C1859&lt;=0.05),0,1)</f>
        <v>1</v>
      </c>
      <c r="E1859" s="25" t="n">
        <f aca="false">IF(OR(A1859&lt;Resumen!$B$6,A1859&gt;=Resumen!$B$7),0,MAX(0,AVERAGEIFS(B1811:B1907,D1811:D1907,1)-Resumen!$B$5*AVERAGEIFS(C1811:C1907,D1811:D1907,1)))</f>
        <v>2.0190759257732</v>
      </c>
      <c r="F1859" s="10" t="n">
        <f aca="false">IF(B1859="","",(B1859-E1859)/Resumen!$B$5)</f>
        <v>2.91201276745576</v>
      </c>
      <c r="G1859" s="10" t="n">
        <f aca="false">IF(OR(F1859="",C1859=""),0,(F1859-C1859)*0.9)</f>
        <v>-0.0573185092898145</v>
      </c>
      <c r="H1859" s="26" t="n">
        <f aca="false">IF(A1859&lt;Resumen!$B$11,"",IF(H1858="",0,H1858)+G1859/Resumen!$B$9)</f>
        <v>1.22416145764585</v>
      </c>
      <c r="I1859" s="26" t="n">
        <f aca="false">IF(H1859="","",H1859-AVERAGE(H1811:H1907))</f>
        <v>-0.0473639977870912</v>
      </c>
      <c r="J1859" s="27" t="n">
        <f aca="false">IF(I1859="","",Resumen!$B$10-(MAX(I1811:I1907)-I1859))</f>
        <v>1.4973117693392</v>
      </c>
    </row>
    <row r="1860" customFormat="false" ht="15" hidden="false" customHeight="false" outlineLevel="0" collapsed="false">
      <c r="A1860" s="24" t="n">
        <v>46280.75</v>
      </c>
      <c r="B1860" s="10" t="n">
        <v>5.4068</v>
      </c>
      <c r="C1860" s="10" t="n">
        <v>3.081</v>
      </c>
      <c r="D1860" s="10" t="n">
        <f aca="false">IF(OR(B1860="",C1860="",B1860&lt;=0.05,C1860&lt;=0.05),0,1)</f>
        <v>1</v>
      </c>
      <c r="E1860" s="25" t="n">
        <f aca="false">IF(OR(A1860&lt;Resumen!$B$6,A1860&gt;=Resumen!$B$7),0,MAX(0,AVERAGEIFS(B1812:B1908,D1812:D1908,1)-Resumen!$B$5*AVERAGEIFS(C1812:C1908,D1812:D1908,1)))</f>
        <v>2.01786290412371</v>
      </c>
      <c r="F1860" s="10" t="n">
        <f aca="false">IF(B1860="","",(B1860-E1860)/Resumen!$B$5)</f>
        <v>2.69176894033065</v>
      </c>
      <c r="G1860" s="10" t="n">
        <f aca="false">IF(OR(F1860="",C1860=""),0,(F1860-C1860)*0.9)</f>
        <v>-0.350307953702415</v>
      </c>
      <c r="H1860" s="26" t="n">
        <f aca="false">IF(A1860&lt;Resumen!$B$11,"",IF(H1859="",0,H1859)+G1860/Resumen!$B$9)</f>
        <v>1.2076027895577</v>
      </c>
      <c r="I1860" s="26" t="n">
        <f aca="false">IF(H1860="","",H1860-AVERAGE(H1812:H1908))</f>
        <v>-0.0701810679888184</v>
      </c>
      <c r="J1860" s="27" t="n">
        <f aca="false">IF(I1860="","",Resumen!$B$10-(MAX(I1812:I1908)-I1860))</f>
        <v>1.45510972612065</v>
      </c>
    </row>
    <row r="1861" customFormat="false" ht="15" hidden="false" customHeight="false" outlineLevel="0" collapsed="false">
      <c r="A1861" s="24" t="n">
        <v>46280.7604166667</v>
      </c>
      <c r="B1861" s="10" t="n">
        <v>5.0885</v>
      </c>
      <c r="C1861" s="10" t="n">
        <v>2.6179</v>
      </c>
      <c r="D1861" s="10" t="n">
        <f aca="false">IF(OR(B1861="",C1861="",B1861&lt;=0.05,C1861&lt;=0.05),0,1)</f>
        <v>1</v>
      </c>
      <c r="E1861" s="25" t="n">
        <f aca="false">IF(OR(A1861&lt;Resumen!$B$6,A1861&gt;=Resumen!$B$7),0,MAX(0,AVERAGEIFS(B1813:B1909,D1813:D1909,1)-Resumen!$B$5*AVERAGEIFS(C1813:C1909,D1813:D1909,1)))</f>
        <v>2.02376550824742</v>
      </c>
      <c r="F1861" s="10" t="n">
        <f aca="false">IF(B1861="","",(B1861-E1861)/Resumen!$B$5)</f>
        <v>2.43426091481539</v>
      </c>
      <c r="G1861" s="10" t="n">
        <f aca="false">IF(OR(F1861="",C1861=""),0,(F1861-C1861)*0.9)</f>
        <v>-0.165275176666148</v>
      </c>
      <c r="H1861" s="26" t="n">
        <f aca="false">IF(A1861&lt;Resumen!$B$11,"",IF(H1860="",0,H1860)+G1861/Resumen!$B$9)</f>
        <v>1.19979041543173</v>
      </c>
      <c r="I1861" s="26" t="n">
        <f aca="false">IF(H1861="","",H1861-AVERAGE(H1813:H1909))</f>
        <v>-0.084507805448619</v>
      </c>
      <c r="J1861" s="27" t="n">
        <f aca="false">IF(I1861="","",Resumen!$B$10-(MAX(I1813:I1909)-I1861))</f>
        <v>1.40766903149687</v>
      </c>
    </row>
    <row r="1862" customFormat="false" ht="15" hidden="false" customHeight="false" outlineLevel="0" collapsed="false">
      <c r="A1862" s="24" t="n">
        <v>46280.7708333333</v>
      </c>
      <c r="B1862" s="10" t="n">
        <v>5.1345</v>
      </c>
      <c r="C1862" s="10" t="n">
        <v>2.5948</v>
      </c>
      <c r="D1862" s="10" t="n">
        <f aca="false">IF(OR(B1862="",C1862="",B1862&lt;=0.05,C1862&lt;=0.05),0,1)</f>
        <v>1</v>
      </c>
      <c r="E1862" s="25" t="n">
        <f aca="false">IF(OR(A1862&lt;Resumen!$B$6,A1862&gt;=Resumen!$B$7),0,MAX(0,AVERAGEIFS(B1814:B1910,D1814:D1910,1)-Resumen!$B$5*AVERAGEIFS(C1814:C1910,D1814:D1910,1)))</f>
        <v>2.03260435154639</v>
      </c>
      <c r="F1862" s="10" t="n">
        <f aca="false">IF(B1862="","",(B1862-E1862)/Resumen!$B$5)</f>
        <v>2.46377732204417</v>
      </c>
      <c r="G1862" s="10" t="n">
        <f aca="false">IF(OR(F1862="",C1862=""),0,(F1862-C1862)*0.9)</f>
        <v>-0.117920410160248</v>
      </c>
      <c r="H1862" s="26" t="n">
        <f aca="false">IF(A1862&lt;Resumen!$B$11,"",IF(H1861="",0,H1861)+G1862/Resumen!$B$9)</f>
        <v>1.19421644854909</v>
      </c>
      <c r="I1862" s="26" t="n">
        <f aca="false">IF(H1862="","",H1862-AVERAGE(H1814:H1910))</f>
        <v>-0.0969526652871247</v>
      </c>
      <c r="J1862" s="27" t="n">
        <f aca="false">IF(I1862="","",Resumen!$B$10-(MAX(I1814:I1910)-I1862))</f>
        <v>1.34946991889837</v>
      </c>
    </row>
    <row r="1863" customFormat="false" ht="15" hidden="false" customHeight="false" outlineLevel="0" collapsed="false">
      <c r="A1863" s="24" t="n">
        <v>46280.78125</v>
      </c>
      <c r="B1863" s="10" t="n">
        <v>4.5943</v>
      </c>
      <c r="C1863" s="10" t="n">
        <v>2.8011</v>
      </c>
      <c r="D1863" s="10" t="n">
        <f aca="false">IF(OR(B1863="",C1863="",B1863&lt;=0.05,C1863&lt;=0.05),0,1)</f>
        <v>1</v>
      </c>
      <c r="E1863" s="25" t="n">
        <f aca="false">IF(OR(A1863&lt;Resumen!$B$6,A1863&gt;=Resumen!$B$7),0,MAX(0,AVERAGEIFS(B1815:B1911,D1815:D1911,1)-Resumen!$B$5*AVERAGEIFS(C1815:C1911,D1815:D1911,1)))</f>
        <v>2.03708799793814</v>
      </c>
      <c r="F1863" s="10" t="n">
        <f aca="false">IF(B1863="","",(B1863-E1863)/Resumen!$B$5)</f>
        <v>2.03114535509282</v>
      </c>
      <c r="G1863" s="10" t="n">
        <f aca="false">IF(OR(F1863="",C1863=""),0,(F1863-C1863)*0.9)</f>
        <v>-0.692959180416466</v>
      </c>
      <c r="H1863" s="26" t="n">
        <f aca="false">IF(A1863&lt;Resumen!$B$11,"",IF(H1862="",0,H1862)+G1863/Resumen!$B$9)</f>
        <v>1.16146103735766</v>
      </c>
      <c r="I1863" s="26" t="n">
        <f aca="false">IF(H1863="","",H1863-AVERAGE(H1815:H1911))</f>
        <v>-0.136795221060476</v>
      </c>
      <c r="J1863" s="27" t="n">
        <f aca="false">IF(I1863="","",Resumen!$B$10-(MAX(I1815:I1911)-I1863))</f>
        <v>1.24269517209001</v>
      </c>
    </row>
    <row r="1864" customFormat="false" ht="15" hidden="false" customHeight="false" outlineLevel="0" collapsed="false">
      <c r="A1864" s="24" t="n">
        <v>46280.7916666667</v>
      </c>
      <c r="B1864" s="10" t="n">
        <v>4.6111</v>
      </c>
      <c r="C1864" s="10" t="n">
        <v>2.5249</v>
      </c>
      <c r="D1864" s="10" t="n">
        <f aca="false">IF(OR(B1864="",C1864="",B1864&lt;=0.05,C1864&lt;=0.05),0,1)</f>
        <v>1</v>
      </c>
      <c r="E1864" s="25" t="n">
        <f aca="false">IF(OR(A1864&lt;Resumen!$B$6,A1864&gt;=Resumen!$B$7),0,MAX(0,AVERAGEIFS(B1816:B1912,D1816:D1912,1)-Resumen!$B$5*AVERAGEIFS(C1816:C1912,D1816:D1912,1)))</f>
        <v>2.04486119484536</v>
      </c>
      <c r="F1864" s="10" t="n">
        <f aca="false">IF(B1864="","",(B1864-E1864)/Resumen!$B$5)</f>
        <v>2.03831517486469</v>
      </c>
      <c r="G1864" s="10" t="n">
        <f aca="false">IF(OR(F1864="",C1864=""),0,(F1864-C1864)*0.9)</f>
        <v>-0.437926342621783</v>
      </c>
      <c r="H1864" s="26" t="n">
        <f aca="false">IF(A1864&lt;Resumen!$B$11,"",IF(H1863="",0,H1863)+G1864/Resumen!$B$9)</f>
        <v>1.1407607452921</v>
      </c>
      <c r="I1864" s="26" t="n">
        <f aca="false">IF(H1864="","",H1864-AVERAGE(H1816:H1912))</f>
        <v>-0.164902789831274</v>
      </c>
      <c r="J1864" s="27" t="n">
        <f aca="false">IF(I1864="","",Resumen!$B$10-(MAX(I1816:I1912)-I1864))</f>
        <v>1.19867479931876</v>
      </c>
    </row>
    <row r="1865" customFormat="false" ht="15" hidden="false" customHeight="false" outlineLevel="0" collapsed="false">
      <c r="A1865" s="24" t="n">
        <v>46280.8020833333</v>
      </c>
      <c r="B1865" s="10" t="n">
        <v>5.8122</v>
      </c>
      <c r="C1865" s="10" t="n">
        <v>2.4045</v>
      </c>
      <c r="D1865" s="10" t="n">
        <f aca="false">IF(OR(B1865="",C1865="",B1865&lt;=0.05,C1865&lt;=0.05),0,1)</f>
        <v>1</v>
      </c>
      <c r="E1865" s="25" t="n">
        <f aca="false">IF(OR(A1865&lt;Resumen!$B$6,A1865&gt;=Resumen!$B$7),0,MAX(0,AVERAGEIFS(B1817:B1913,D1817:D1913,1)-Resumen!$B$5*AVERAGEIFS(C1817:C1913,D1817:D1913,1)))</f>
        <v>2.04331665257732</v>
      </c>
      <c r="F1865" s="10" t="n">
        <f aca="false">IF(B1865="","",(B1865-E1865)/Resumen!$B$5)</f>
        <v>2.99355309564947</v>
      </c>
      <c r="G1865" s="10" t="n">
        <f aca="false">IF(OR(F1865="",C1865=""),0,(F1865-C1865)*0.9)</f>
        <v>0.530147786084521</v>
      </c>
      <c r="H1865" s="26" t="n">
        <f aca="false">IF(A1865&lt;Resumen!$B$11,"",IF(H1864="",0,H1864)+G1865/Resumen!$B$9)</f>
        <v>1.16582024261341</v>
      </c>
      <c r="I1865" s="26" t="n">
        <f aca="false">IF(H1865="","",H1865-AVERAGE(H1817:H1913))</f>
        <v>-0.147254510487889</v>
      </c>
      <c r="J1865" s="27" t="n">
        <f aca="false">IF(I1865="","",Resumen!$B$10-(MAX(I1817:I1913)-I1865))</f>
        <v>1.21385258500279</v>
      </c>
    </row>
    <row r="1866" customFormat="false" ht="15" hidden="false" customHeight="false" outlineLevel="0" collapsed="false">
      <c r="A1866" s="24" t="n">
        <v>46280.8125</v>
      </c>
      <c r="B1866" s="10" t="n">
        <v>5.2335</v>
      </c>
      <c r="C1866" s="10" t="n">
        <v>2.0074</v>
      </c>
      <c r="D1866" s="10" t="n">
        <f aca="false">IF(OR(B1866="",C1866="",B1866&lt;=0.05,C1866&lt;=0.05),0,1)</f>
        <v>1</v>
      </c>
      <c r="E1866" s="25" t="n">
        <f aca="false">IF(OR(A1866&lt;Resumen!$B$6,A1866&gt;=Resumen!$B$7),0,MAX(0,AVERAGEIFS(B1818:B1914,D1818:D1914,1)-Resumen!$B$5*AVERAGEIFS(C1818:C1914,D1818:D1914,1)))</f>
        <v>2.04887995670103</v>
      </c>
      <c r="F1866" s="10" t="n">
        <f aca="false">IF(B1866="","",(B1866-E1866)/Resumen!$B$5)</f>
        <v>2.52948375162746</v>
      </c>
      <c r="G1866" s="10" t="n">
        <f aca="false">IF(OR(F1866="",C1866=""),0,(F1866-C1866)*0.9)</f>
        <v>0.469875376464713</v>
      </c>
      <c r="H1866" s="26" t="n">
        <f aca="false">IF(A1866&lt;Resumen!$B$11,"",IF(H1865="",0,H1865)+G1866/Resumen!$B$9)</f>
        <v>1.18803073004152</v>
      </c>
      <c r="I1866" s="26" t="n">
        <f aca="false">IF(H1866="","",H1866-AVERAGE(H1818:H1914))</f>
        <v>-0.132709029370172</v>
      </c>
      <c r="J1866" s="27" t="n">
        <f aca="false">IF(I1866="","",Resumen!$B$10-(MAX(I1818:I1914)-I1866))</f>
        <v>1.22602904388743</v>
      </c>
    </row>
    <row r="1867" customFormat="false" ht="15" hidden="false" customHeight="false" outlineLevel="0" collapsed="false">
      <c r="A1867" s="24" t="n">
        <v>46280.8229166667</v>
      </c>
      <c r="B1867" s="10" t="n">
        <v>4.1665</v>
      </c>
      <c r="C1867" s="10" t="n">
        <v>2.443</v>
      </c>
      <c r="D1867" s="10" t="n">
        <f aca="false">IF(OR(B1867="",C1867="",B1867&lt;=0.05,C1867&lt;=0.05),0,1)</f>
        <v>1</v>
      </c>
      <c r="E1867" s="25" t="n">
        <f aca="false">IF(OR(A1867&lt;Resumen!$B$6,A1867&gt;=Resumen!$B$7),0,MAX(0,AVERAGEIFS(B1819:B1915,D1819:D1915,1)-Resumen!$B$5*AVERAGEIFS(C1819:C1915,D1819:D1915,1)))</f>
        <v>2.06668629587629</v>
      </c>
      <c r="F1867" s="10" t="n">
        <f aca="false">IF(B1867="","",(B1867-E1867)/Resumen!$B$5)</f>
        <v>1.66784249731828</v>
      </c>
      <c r="G1867" s="10" t="n">
        <f aca="false">IF(OR(F1867="",C1867=""),0,(F1867-C1867)*0.9)</f>
        <v>-0.69764175241355</v>
      </c>
      <c r="H1867" s="26" t="n">
        <f aca="false">IF(A1867&lt;Resumen!$B$11,"",IF(H1866="",0,H1866)+G1867/Resumen!$B$9)</f>
        <v>1.15505397886999</v>
      </c>
      <c r="I1867" s="26" t="n">
        <f aca="false">IF(H1867="","",H1867-AVERAGE(H1819:H1915))</f>
        <v>-0.174028844003249</v>
      </c>
      <c r="J1867" s="27" t="n">
        <f aca="false">IF(I1867="","",Resumen!$B$10-(MAX(I1819:I1915)-I1867))</f>
        <v>1.1260844466057</v>
      </c>
    </row>
    <row r="1868" customFormat="false" ht="15" hidden="false" customHeight="false" outlineLevel="0" collapsed="false">
      <c r="A1868" s="24" t="n">
        <v>46280.8333333333</v>
      </c>
      <c r="B1868" s="10" t="n">
        <v>5.5277</v>
      </c>
      <c r="C1868" s="10" t="n">
        <v>1.7928</v>
      </c>
      <c r="D1868" s="10" t="n">
        <f aca="false">IF(OR(B1868="",C1868="",B1868&lt;=0.05,C1868&lt;=0.05),0,1)</f>
        <v>1</v>
      </c>
      <c r="E1868" s="25" t="n">
        <f aca="false">IF(OR(A1868&lt;Resumen!$B$6,A1868&gt;=Resumen!$B$7),0,MAX(0,AVERAGEIFS(B1820:B1916,D1820:D1916,1)-Resumen!$B$5*AVERAGEIFS(C1820:C1916,D1820:D1916,1)))</f>
        <v>2.06218317422681</v>
      </c>
      <c r="F1868" s="10" t="n">
        <f aca="false">IF(B1868="","",(B1868-E1868)/Resumen!$B$5)</f>
        <v>2.75259477821541</v>
      </c>
      <c r="G1868" s="10" t="n">
        <f aca="false">IF(OR(F1868="",C1868=""),0,(F1868-C1868)*0.9)</f>
        <v>0.863815300393865</v>
      </c>
      <c r="H1868" s="26" t="n">
        <f aca="false">IF(A1868&lt;Resumen!$B$11,"",IF(H1867="",0,H1867)+G1868/Resumen!$B$9)</f>
        <v>1.1958855691822</v>
      </c>
      <c r="I1868" s="26" t="n">
        <f aca="false">IF(H1868="","",H1868-AVERAGE(H1820:H1916))</f>
        <v>-0.141461857251509</v>
      </c>
      <c r="J1868" s="27" t="n">
        <f aca="false">IF(I1868="","",Resumen!$B$10-(MAX(I1820:I1916)-I1868))</f>
        <v>1.14555235716433</v>
      </c>
    </row>
    <row r="1869" customFormat="false" ht="15" hidden="false" customHeight="false" outlineLevel="0" collapsed="false">
      <c r="A1869" s="24" t="n">
        <v>46280.84375</v>
      </c>
      <c r="B1869" s="10" t="n">
        <v>4.5522</v>
      </c>
      <c r="C1869" s="10" t="n">
        <v>2.3091</v>
      </c>
      <c r="D1869" s="10" t="n">
        <f aca="false">IF(OR(B1869="",C1869="",B1869&lt;=0.05,C1869&lt;=0.05),0,1)</f>
        <v>1</v>
      </c>
      <c r="E1869" s="25" t="n">
        <f aca="false">IF(OR(A1869&lt;Resumen!$B$6,A1869&gt;=Resumen!$B$7),0,MAX(0,AVERAGEIFS(B1821:B1917,D1821:D1917,1)-Resumen!$B$5*AVERAGEIFS(C1821:C1917,D1821:D1917,1)))</f>
        <v>2.05538102268041</v>
      </c>
      <c r="F1869" s="10" t="n">
        <f aca="false">IF(B1869="","",(B1869-E1869)/Resumen!$B$5)</f>
        <v>1.98317631240634</v>
      </c>
      <c r="G1869" s="10" t="n">
        <f aca="false">IF(OR(F1869="",C1869=""),0,(F1869-C1869)*0.9)</f>
        <v>-0.293331318834291</v>
      </c>
      <c r="H1869" s="26" t="n">
        <f aca="false">IF(A1869&lt;Resumen!$B$11,"",IF(H1868="",0,H1868)+G1869/Resumen!$B$9)</f>
        <v>1.18202012337345</v>
      </c>
      <c r="I1869" s="26" t="n">
        <f aca="false">IF(H1869="","",H1869-AVERAGE(H1821:H1917))</f>
        <v>-0.163452242382608</v>
      </c>
      <c r="J1869" s="27" t="n">
        <f aca="false">IF(I1869="","",Resumen!$B$10-(MAX(I1821:I1917)-I1869))</f>
        <v>1.12356197203323</v>
      </c>
    </row>
    <row r="1870" customFormat="false" ht="15" hidden="false" customHeight="false" outlineLevel="0" collapsed="false">
      <c r="A1870" s="24" t="n">
        <v>46280.8541666667</v>
      </c>
      <c r="B1870" s="10" t="n">
        <v>3.982</v>
      </c>
      <c r="C1870" s="10" t="n">
        <v>1.8941</v>
      </c>
      <c r="D1870" s="10" t="n">
        <f aca="false">IF(OR(B1870="",C1870="",B1870&lt;=0.05,C1870&lt;=0.05),0,1)</f>
        <v>1</v>
      </c>
      <c r="E1870" s="25" t="n">
        <f aca="false">IF(OR(A1870&lt;Resumen!$B$6,A1870&gt;=Resumen!$B$7),0,MAX(0,AVERAGEIFS(B1822:B1918,D1822:D1918,1)-Resumen!$B$5*AVERAGEIFS(C1822:C1918,D1822:D1918,1)))</f>
        <v>2.12479868556701</v>
      </c>
      <c r="F1870" s="10" t="n">
        <f aca="false">IF(B1870="","",(B1870-E1870)/Resumen!$B$5)</f>
        <v>1.4751400432351</v>
      </c>
      <c r="G1870" s="10" t="n">
        <f aca="false">IF(OR(F1870="",C1870=""),0,(F1870-C1870)*0.9)</f>
        <v>-0.377063961088411</v>
      </c>
      <c r="H1870" s="26" t="n">
        <f aca="false">IF(A1870&lt;Resumen!$B$11,"",IF(H1869="",0,H1869)+G1870/Resumen!$B$9)</f>
        <v>1.16419672851851</v>
      </c>
      <c r="I1870" s="26" t="n">
        <f aca="false">IF(H1870="","",H1870-AVERAGE(H1822:H1918))</f>
        <v>-0.192366439516554</v>
      </c>
      <c r="J1870" s="27" t="n">
        <f aca="false">IF(I1870="","",Resumen!$B$10-(MAX(I1822:I1918)-I1870))</f>
        <v>0.800180344270334</v>
      </c>
    </row>
    <row r="1871" customFormat="false" ht="15" hidden="false" customHeight="false" outlineLevel="0" collapsed="false">
      <c r="A1871" s="24" t="n">
        <v>46280.8645833333</v>
      </c>
      <c r="B1871" s="10" t="n">
        <v>5.182</v>
      </c>
      <c r="C1871" s="10" t="n">
        <v>1.8929</v>
      </c>
      <c r="D1871" s="10" t="n">
        <f aca="false">IF(OR(B1871="",C1871="",B1871&lt;=0.05,C1871&lt;=0.05),0,1)</f>
        <v>1</v>
      </c>
      <c r="E1871" s="25" t="n">
        <f aca="false">IF(OR(A1871&lt;Resumen!$B$6,A1871&gt;=Resumen!$B$7),0,MAX(0,AVERAGEIFS(B1823:B1919,D1823:D1919,1)-Resumen!$B$5*AVERAGEIFS(C1823:C1919,D1823:D1919,1)))</f>
        <v>2.05238956391753</v>
      </c>
      <c r="F1871" s="10" t="n">
        <f aca="false">IF(B1871="","",(B1871-E1871)/Resumen!$B$5)</f>
        <v>2.48579065614176</v>
      </c>
      <c r="G1871" s="10" t="n">
        <f aca="false">IF(OR(F1871="",C1871=""),0,(F1871-C1871)*0.9)</f>
        <v>0.533601590527584</v>
      </c>
      <c r="H1871" s="26" t="n">
        <f aca="false">IF(A1871&lt;Resumen!$B$11,"",IF(H1870="",0,H1870)+G1871/Resumen!$B$9)</f>
        <v>1.18941948334171</v>
      </c>
      <c r="I1871" s="26" t="n">
        <f aca="false">IF(H1871="","",H1871-AVERAGE(H1823:H1919))</f>
        <v>-0.176410368419246</v>
      </c>
      <c r="J1871" s="27" t="n">
        <f aca="false">IF(I1871="","",Resumen!$B$10-(MAX(I1823:I1919)-I1871))</f>
        <v>0.816136415367642</v>
      </c>
    </row>
    <row r="1872" customFormat="false" ht="15" hidden="false" customHeight="false" outlineLevel="0" collapsed="false">
      <c r="A1872" s="24" t="n">
        <v>46280.875</v>
      </c>
      <c r="B1872" s="10" t="n">
        <v>3.7375</v>
      </c>
      <c r="C1872" s="10" t="n">
        <v>2.1882</v>
      </c>
      <c r="D1872" s="10" t="n">
        <f aca="false">IF(OR(B1872="",C1872="",B1872&lt;=0.05,C1872&lt;=0.05),0,1)</f>
        <v>1</v>
      </c>
      <c r="E1872" s="25" t="n">
        <f aca="false">IF(OR(A1872&lt;Resumen!$B$6,A1872&gt;=Resumen!$B$7),0,MAX(0,AVERAGEIFS(B1824:B1920,D1824:D1920,1)-Resumen!$B$5*AVERAGEIFS(C1824:C1920,D1824:D1920,1)))</f>
        <v>1.98484829484536</v>
      </c>
      <c r="F1872" s="10" t="n">
        <f aca="false">IF(B1872="","",(B1872-E1872)/Resumen!$B$5)</f>
        <v>1.39209825667565</v>
      </c>
      <c r="G1872" s="10" t="n">
        <f aca="false">IF(OR(F1872="",C1872=""),0,(F1872-C1872)*0.9)</f>
        <v>-0.716491568991918</v>
      </c>
      <c r="H1872" s="26" t="n">
        <f aca="false">IF(A1872&lt;Resumen!$B$11,"",IF(H1871="",0,H1871)+G1872/Resumen!$B$9)</f>
        <v>1.15555172226606</v>
      </c>
      <c r="I1872" s="26" t="n">
        <f aca="false">IF(H1872="","",H1872-AVERAGE(H1824:H1920))</f>
        <v>-0.217888255823325</v>
      </c>
      <c r="J1872" s="27" t="n">
        <f aca="false">IF(I1872="","",Resumen!$B$10-(MAX(I1824:I1920)-I1872))</f>
        <v>0.774658527963563</v>
      </c>
    </row>
    <row r="1873" customFormat="false" ht="15" hidden="false" customHeight="false" outlineLevel="0" collapsed="false">
      <c r="A1873" s="24" t="n">
        <v>46280.8854166667</v>
      </c>
      <c r="B1873" s="10" t="n">
        <v>3.9284</v>
      </c>
      <c r="C1873" s="10" t="n">
        <v>1.9015</v>
      </c>
      <c r="D1873" s="10" t="n">
        <f aca="false">IF(OR(B1873="",C1873="",B1873&lt;=0.05,C1873&lt;=0.05),0,1)</f>
        <v>1</v>
      </c>
      <c r="E1873" s="25" t="n">
        <f aca="false">IF(OR(A1873&lt;Resumen!$B$6,A1873&gt;=Resumen!$B$7),0,MAX(0,AVERAGEIFS(B1825:B1921,D1825:D1921,1)-Resumen!$B$5*AVERAGEIFS(C1825:C1921,D1825:D1921,1)))</f>
        <v>1.93202243092784</v>
      </c>
      <c r="F1873" s="10" t="n">
        <f aca="false">IF(B1873="","",(B1873-E1873)/Resumen!$B$5)</f>
        <v>1.58568512237662</v>
      </c>
      <c r="G1873" s="10" t="n">
        <f aca="false">IF(OR(F1873="",C1873=""),0,(F1873-C1873)*0.9)</f>
        <v>-0.284233389861042</v>
      </c>
      <c r="H1873" s="26" t="n">
        <f aca="false">IF(A1873&lt;Resumen!$B$11,"",IF(H1872="",0,H1872)+G1873/Resumen!$B$9)</f>
        <v>1.14211632546009</v>
      </c>
      <c r="I1873" s="26" t="n">
        <f aca="false">IF(H1873="","",H1873-AVERAGE(H1825:H1921))</f>
        <v>-0.237773315613879</v>
      </c>
      <c r="J1873" s="27" t="n">
        <f aca="false">IF(I1873="","",Resumen!$B$10-(MAX(I1825:I1921)-I1873))</f>
        <v>0.754773468173009</v>
      </c>
    </row>
    <row r="1874" customFormat="false" ht="15" hidden="false" customHeight="false" outlineLevel="0" collapsed="false">
      <c r="A1874" s="24" t="n">
        <v>46280.8958333333</v>
      </c>
      <c r="B1874" s="10" t="n">
        <v>4.8471</v>
      </c>
      <c r="C1874" s="10" t="n">
        <v>2.3156</v>
      </c>
      <c r="D1874" s="10" t="n">
        <f aca="false">IF(OR(B1874="",C1874="",B1874&lt;=0.05,C1874&lt;=0.05),0,1)</f>
        <v>1</v>
      </c>
      <c r="E1874" s="25" t="n">
        <f aca="false">IF(OR(A1874&lt;Resumen!$B$6,A1874&gt;=Resumen!$B$7),0,MAX(0,AVERAGEIFS(B1826:B1922,D1826:D1922,1)-Resumen!$B$5*AVERAGEIFS(C1826:C1922,D1826:D1922,1)))</f>
        <v>1.93061478333333</v>
      </c>
      <c r="F1874" s="10" t="n">
        <f aca="false">IF(B1874="","",(B1874-E1874)/Resumen!$B$5)</f>
        <v>2.31650930632777</v>
      </c>
      <c r="G1874" s="10" t="n">
        <f aca="false">IF(OR(F1874="",C1874=""),0,(F1874-C1874)*0.9)</f>
        <v>0.000818375694996076</v>
      </c>
      <c r="H1874" s="26" t="n">
        <f aca="false">IF(A1874&lt;Resumen!$B$11,"",IF(H1873="",0,H1873)+G1874/Resumen!$B$9)</f>
        <v>1.1421550091707</v>
      </c>
      <c r="I1874" s="26" t="n">
        <f aca="false">IF(H1874="","",H1874-AVERAGE(H1826:H1922))</f>
        <v>-0.241888914673633</v>
      </c>
      <c r="J1874" s="27" t="n">
        <f aca="false">IF(I1874="","",Resumen!$B$10-(MAX(I1826:I1922)-I1874))</f>
        <v>0.750657869113255</v>
      </c>
    </row>
    <row r="1875" customFormat="false" ht="15" hidden="false" customHeight="false" outlineLevel="0" collapsed="false">
      <c r="A1875" s="24" t="n">
        <v>46280.90625</v>
      </c>
      <c r="B1875" s="10" t="n">
        <v>4.4177</v>
      </c>
      <c r="C1875" s="10" t="n">
        <v>2.1392</v>
      </c>
      <c r="D1875" s="10" t="n">
        <f aca="false">IF(OR(B1875="",C1875="",B1875&lt;=0.05,C1875&lt;=0.05),0,1)</f>
        <v>1</v>
      </c>
      <c r="E1875" s="25" t="n">
        <f aca="false">IF(OR(A1875&lt;Resumen!$B$6,A1875&gt;=Resumen!$B$7),0,MAX(0,AVERAGEIFS(B1827:B1923,D1827:D1923,1)-Resumen!$B$5*AVERAGEIFS(C1827:C1923,D1827:D1923,1)))</f>
        <v>1.98561683229167</v>
      </c>
      <c r="F1875" s="10" t="n">
        <f aca="false">IF(B1875="","",(B1875-E1875)/Resumen!$B$5)</f>
        <v>1.93175787744903</v>
      </c>
      <c r="G1875" s="10" t="n">
        <f aca="false">IF(OR(F1875="",C1875=""),0,(F1875-C1875)*0.9)</f>
        <v>-0.18669791029587</v>
      </c>
      <c r="H1875" s="26" t="n">
        <f aca="false">IF(A1875&lt;Resumen!$B$11,"",IF(H1874="",0,H1874)+G1875/Resumen!$B$9)</f>
        <v>1.13333000620783</v>
      </c>
      <c r="I1875" s="26" t="n">
        <f aca="false">IF(H1875="","",H1875-AVERAGE(H1827:H1923))</f>
        <v>-0.257338413086309</v>
      </c>
      <c r="J1875" s="27" t="n">
        <f aca="false">IF(I1875="","",Resumen!$B$10-(MAX(I1827:I1923)-I1875))</f>
        <v>0.735208370700578</v>
      </c>
    </row>
    <row r="1876" customFormat="false" ht="15" hidden="false" customHeight="false" outlineLevel="0" collapsed="false">
      <c r="A1876" s="24" t="n">
        <v>46280.9166666667</v>
      </c>
      <c r="B1876" s="10" t="n">
        <v>3.9785</v>
      </c>
      <c r="C1876" s="10" t="n">
        <v>2.3148</v>
      </c>
      <c r="D1876" s="10" t="n">
        <f aca="false">IF(OR(B1876="",C1876="",B1876&lt;=0.05,C1876&lt;=0.05),0,1)</f>
        <v>1</v>
      </c>
      <c r="E1876" s="25" t="n">
        <f aca="false">IF(OR(A1876&lt;Resumen!$B$6,A1876&gt;=Resumen!$B$7),0,MAX(0,AVERAGEIFS(B1828:B1924,D1828:D1924,1)-Resumen!$B$5*AVERAGEIFS(C1828:C1924,D1828:D1924,1)))</f>
        <v>2.02898771145833</v>
      </c>
      <c r="F1876" s="10" t="n">
        <f aca="false">IF(B1876="","",(B1876-E1876)/Resumen!$B$5)</f>
        <v>1.54846091226503</v>
      </c>
      <c r="G1876" s="10" t="n">
        <f aca="false">IF(OR(F1876="",C1876=""),0,(F1876-C1876)*0.9)</f>
        <v>-0.689705178961477</v>
      </c>
      <c r="H1876" s="26" t="n">
        <f aca="false">IF(A1876&lt;Resumen!$B$11,"",IF(H1875="",0,H1875)+G1876/Resumen!$B$9)</f>
        <v>1.10072840805285</v>
      </c>
      <c r="I1876" s="26" t="n">
        <f aca="false">IF(H1876="","",H1876-AVERAGE(H1828:H1924))</f>
        <v>-0.298646812985067</v>
      </c>
      <c r="J1876" s="27" t="n">
        <f aca="false">IF(I1876="","",Resumen!$B$10-(MAX(I1828:I1924)-I1876))</f>
        <v>0.693899970801821</v>
      </c>
    </row>
    <row r="1877" customFormat="false" ht="15" hidden="false" customHeight="false" outlineLevel="0" collapsed="false">
      <c r="A1877" s="24" t="n">
        <v>46280.9270833333</v>
      </c>
      <c r="B1877" s="10" t="n">
        <v>5.0957</v>
      </c>
      <c r="C1877" s="10" t="n">
        <v>1.9659</v>
      </c>
      <c r="D1877" s="10" t="n">
        <f aca="false">IF(OR(B1877="",C1877="",B1877&lt;=0.05,C1877&lt;=0.05),0,1)</f>
        <v>1</v>
      </c>
      <c r="E1877" s="25" t="n">
        <f aca="false">IF(OR(A1877&lt;Resumen!$B$6,A1877&gt;=Resumen!$B$7),0,MAX(0,AVERAGEIFS(B1829:B1925,D1829:D1925,1)-Resumen!$B$5*AVERAGEIFS(C1829:C1925,D1829:D1925,1)))</f>
        <v>1.96772354895833</v>
      </c>
      <c r="F1877" s="10" t="n">
        <f aca="false">IF(B1877="","",(B1877-E1877)/Resumen!$B$5)</f>
        <v>2.48449281258274</v>
      </c>
      <c r="G1877" s="10" t="n">
        <f aca="false">IF(OR(F1877="",C1877=""),0,(F1877-C1877)*0.9)</f>
        <v>0.466733531324464</v>
      </c>
      <c r="H1877" s="26" t="n">
        <f aca="false">IF(A1877&lt;Resumen!$B$11,"",IF(H1876="",0,H1876)+G1877/Resumen!$B$9)</f>
        <v>1.122790383949</v>
      </c>
      <c r="I1877" s="26" t="n">
        <f aca="false">IF(H1877="","",H1877-AVERAGE(H1829:H1925))</f>
        <v>-0.283873265903051</v>
      </c>
      <c r="J1877" s="27" t="n">
        <f aca="false">IF(I1877="","",Resumen!$B$10-(MAX(I1829:I1925)-I1877))</f>
        <v>0.708673517883837</v>
      </c>
    </row>
    <row r="1878" customFormat="false" ht="15" hidden="false" customHeight="false" outlineLevel="0" collapsed="false">
      <c r="A1878" s="24" t="n">
        <v>46280.9375</v>
      </c>
      <c r="B1878" s="10" t="n">
        <v>4.6535</v>
      </c>
      <c r="C1878" s="10" t="n">
        <v>2.1501</v>
      </c>
      <c r="D1878" s="10" t="n">
        <f aca="false">IF(OR(B1878="",C1878="",B1878&lt;=0.05,C1878&lt;=0.05),0,1)</f>
        <v>1</v>
      </c>
      <c r="E1878" s="25" t="n">
        <f aca="false">IF(OR(A1878&lt;Resumen!$B$6,A1878&gt;=Resumen!$B$7),0,MAX(0,AVERAGEIFS(B1830:B1926,D1830:D1926,1)-Resumen!$B$5*AVERAGEIFS(C1830:C1926,D1830:D1926,1)))</f>
        <v>1.90667310520833</v>
      </c>
      <c r="F1878" s="10" t="n">
        <f aca="false">IF(B1878="","",(B1878-E1878)/Resumen!$B$5)</f>
        <v>2.18175289498941</v>
      </c>
      <c r="G1878" s="10" t="n">
        <f aca="false">IF(OR(F1878="",C1878=""),0,(F1878-C1878)*0.9)</f>
        <v>0.0284876054904681</v>
      </c>
      <c r="H1878" s="26" t="n">
        <f aca="false">IF(A1878&lt;Resumen!$B$11,"",IF(H1877="",0,H1877)+G1878/Resumen!$B$9)</f>
        <v>1.12413696143591</v>
      </c>
      <c r="I1878" s="26" t="n">
        <f aca="false">IF(H1878="","",H1878-AVERAGE(H1830:H1926))</f>
        <v>-0.288409611010168</v>
      </c>
      <c r="J1878" s="27" t="n">
        <f aca="false">IF(I1878="","",Resumen!$B$10-(MAX(I1830:I1926)-I1878))</f>
        <v>0.70413717277672</v>
      </c>
    </row>
    <row r="1879" customFormat="false" ht="15" hidden="false" customHeight="false" outlineLevel="0" collapsed="false">
      <c r="A1879" s="24" t="n">
        <v>46280.9479166667</v>
      </c>
      <c r="B1879" s="10" t="n">
        <v>4.3325</v>
      </c>
      <c r="C1879" s="10" t="n">
        <v>1.9179</v>
      </c>
      <c r="D1879" s="10" t="n">
        <f aca="false">IF(OR(B1879="",C1879="",B1879&lt;=0.05,C1879&lt;=0.05),0,1)</f>
        <v>1</v>
      </c>
      <c r="E1879" s="25" t="n">
        <f aca="false">IF(OR(A1879&lt;Resumen!$B$6,A1879&gt;=Resumen!$B$7),0,MAX(0,AVERAGEIFS(B1831:B1927,D1831:D1927,1)-Resumen!$B$5*AVERAGEIFS(C1831:C1927,D1831:D1927,1)))</f>
        <v>1.84149131875</v>
      </c>
      <c r="F1879" s="10" t="n">
        <f aca="false">IF(B1879="","",(B1879-E1879)/Resumen!$B$5)</f>
        <v>1.97856130361398</v>
      </c>
      <c r="G1879" s="10" t="n">
        <f aca="false">IF(OR(F1879="",C1879=""),0,(F1879-C1879)*0.9)</f>
        <v>0.0545951732525812</v>
      </c>
      <c r="H1879" s="26" t="n">
        <f aca="false">IF(A1879&lt;Resumen!$B$11,"",IF(H1878="",0,H1878)+G1879/Resumen!$B$9)</f>
        <v>1.12671761466845</v>
      </c>
      <c r="I1879" s="26" t="n">
        <f aca="false">IF(H1879="","",H1879-AVERAGE(H1831:H1927))</f>
        <v>-0.290172708036617</v>
      </c>
      <c r="J1879" s="27" t="n">
        <f aca="false">IF(I1879="","",Resumen!$B$10-(MAX(I1831:I1927)-I1879))</f>
        <v>0.702374075750271</v>
      </c>
    </row>
    <row r="1880" customFormat="false" ht="15" hidden="false" customHeight="false" outlineLevel="0" collapsed="false">
      <c r="A1880" s="24" t="n">
        <v>46280.9583333333</v>
      </c>
      <c r="B1880" s="10" t="n">
        <v>4.3052</v>
      </c>
      <c r="C1880" s="10" t="n">
        <v>1.5894</v>
      </c>
      <c r="D1880" s="10" t="n">
        <f aca="false">IF(OR(B1880="",C1880="",B1880&lt;=0.05,C1880&lt;=0.05),0,1)</f>
        <v>1</v>
      </c>
      <c r="E1880" s="25" t="n">
        <f aca="false">IF(OR(A1880&lt;Resumen!$B$6,A1880&gt;=Resumen!$B$7),0,MAX(0,AVERAGEIFS(B1832:B1928,D1832:D1928,1)-Resumen!$B$5*AVERAGEIFS(C1832:C1928,D1832:D1928,1)))</f>
        <v>1.77563908020833</v>
      </c>
      <c r="F1880" s="10" t="n">
        <f aca="false">IF(B1880="","",(B1880-E1880)/Resumen!$B$5)</f>
        <v>2.0091826209624</v>
      </c>
      <c r="G1880" s="10" t="n">
        <f aca="false">IF(OR(F1880="",C1880=""),0,(F1880-C1880)*0.9)</f>
        <v>0.377804358866164</v>
      </c>
      <c r="H1880" s="26" t="n">
        <f aca="false">IF(A1880&lt;Resumen!$B$11,"",IF(H1879="",0,H1879)+G1880/Resumen!$B$9)</f>
        <v>1.14457600730441</v>
      </c>
      <c r="I1880" s="26" t="n">
        <f aca="false">IF(H1880="","",H1880-AVERAGE(H1832:H1928))</f>
        <v>-0.275096482445416</v>
      </c>
      <c r="J1880" s="27" t="n">
        <f aca="false">IF(I1880="","",Resumen!$B$10-(MAX(I1832:I1928)-I1880))</f>
        <v>0.717450301341472</v>
      </c>
    </row>
    <row r="1881" customFormat="false" ht="15" hidden="false" customHeight="false" outlineLevel="0" collapsed="false">
      <c r="A1881" s="24" t="n">
        <v>46280.96875</v>
      </c>
      <c r="B1881" s="10" t="n">
        <v>4.9653</v>
      </c>
      <c r="C1881" s="10" t="n">
        <v>1.6279</v>
      </c>
      <c r="D1881" s="10" t="n">
        <f aca="false">IF(OR(B1881="",C1881="",B1881&lt;=0.05,C1881&lt;=0.05),0,1)</f>
        <v>1</v>
      </c>
      <c r="E1881" s="25" t="n">
        <f aca="false">IF(OR(A1881&lt;Resumen!$B$6,A1881&gt;=Resumen!$B$7),0,MAX(0,AVERAGEIFS(B1833:B1929,D1833:D1929,1)-Resumen!$B$5*AVERAGEIFS(C1833:C1929,D1833:D1929,1)))</f>
        <v>1.71126773229167</v>
      </c>
      <c r="F1881" s="10" t="n">
        <f aca="false">IF(B1881="","",(B1881-E1881)/Resumen!$B$5)</f>
        <v>2.58461657482791</v>
      </c>
      <c r="G1881" s="10" t="n">
        <f aca="false">IF(OR(F1881="",C1881=""),0,(F1881-C1881)*0.9)</f>
        <v>0.861044917345115</v>
      </c>
      <c r="H1881" s="26" t="n">
        <f aca="false">IF(A1881&lt;Resumen!$B$11,"",IF(H1880="",0,H1880)+G1881/Resumen!$B$9)</f>
        <v>1.18527664468537</v>
      </c>
      <c r="I1881" s="26" t="n">
        <f aca="false">IF(H1881="","",H1881-AVERAGE(H1833:H1929))</f>
        <v>-0.235673195421447</v>
      </c>
      <c r="J1881" s="27" t="n">
        <f aca="false">IF(I1881="","",Resumen!$B$10-(MAX(I1833:I1929)-I1881))</f>
        <v>0.756873588365441</v>
      </c>
    </row>
    <row r="1882" customFormat="false" ht="15" hidden="false" customHeight="false" outlineLevel="0" collapsed="false">
      <c r="A1882" s="24" t="n">
        <v>46280.9791666667</v>
      </c>
      <c r="B1882" s="10" t="n">
        <v>4.9156</v>
      </c>
      <c r="C1882" s="10" t="n">
        <v>1.8255</v>
      </c>
      <c r="D1882" s="10" t="n">
        <f aca="false">IF(OR(B1882="",C1882="",B1882&lt;=0.05,C1882&lt;=0.05),0,1)</f>
        <v>1</v>
      </c>
      <c r="E1882" s="25" t="n">
        <f aca="false">IF(OR(A1882&lt;Resumen!$B$6,A1882&gt;=Resumen!$B$7),0,MAX(0,AVERAGEIFS(B1834:B1930,D1834:D1930,1)-Resumen!$B$5*AVERAGEIFS(C1834:C1930,D1834:D1930,1)))</f>
        <v>1.68146700729167</v>
      </c>
      <c r="F1882" s="10" t="n">
        <f aca="false">IF(B1882="","",(B1882-E1882)/Resumen!$B$5)</f>
        <v>2.56881095528859</v>
      </c>
      <c r="G1882" s="10" t="n">
        <f aca="false">IF(OR(F1882="",C1882=""),0,(F1882-C1882)*0.9)</f>
        <v>0.66897985975973</v>
      </c>
      <c r="H1882" s="26" t="n">
        <f aca="false">IF(A1882&lt;Resumen!$B$11,"",IF(H1881="",0,H1881)+G1882/Resumen!$B$9)</f>
        <v>1.21689858000924</v>
      </c>
      <c r="I1882" s="26" t="n">
        <f aca="false">IF(H1882="","",H1882-AVERAGE(H1834:H1930))</f>
        <v>-0.204984130927551</v>
      </c>
      <c r="J1882" s="27" t="n">
        <f aca="false">IF(I1882="","",Resumen!$B$10-(MAX(I1834:I1930)-I1882))</f>
        <v>0.787562652859337</v>
      </c>
    </row>
    <row r="1883" customFormat="false" ht="15" hidden="false" customHeight="false" outlineLevel="0" collapsed="false">
      <c r="A1883" s="24" t="n">
        <v>46280.9895833333</v>
      </c>
      <c r="B1883" s="10" t="n">
        <v>3.705</v>
      </c>
      <c r="C1883" s="10" t="n">
        <v>1.4498</v>
      </c>
      <c r="D1883" s="10" t="n">
        <f aca="false">IF(OR(B1883="",C1883="",B1883&lt;=0.05,C1883&lt;=0.05),0,1)</f>
        <v>1</v>
      </c>
      <c r="E1883" s="25" t="n">
        <f aca="false">IF(OR(A1883&lt;Resumen!$B$6,A1883&gt;=Resumen!$B$7),0,MAX(0,AVERAGEIFS(B1835:B1931,D1835:D1931,1)-Resumen!$B$5*AVERAGEIFS(C1835:C1931,D1835:D1931,1)))</f>
        <v>1.66755160729167</v>
      </c>
      <c r="F1883" s="10" t="n">
        <f aca="false">IF(B1883="","",(B1883-E1883)/Resumen!$B$5)</f>
        <v>1.61830690445459</v>
      </c>
      <c r="G1883" s="10" t="n">
        <f aca="false">IF(OR(F1883="",C1883=""),0,(F1883-C1883)*0.9)</f>
        <v>0.151656214009134</v>
      </c>
      <c r="H1883" s="26" t="n">
        <f aca="false">IF(A1883&lt;Resumen!$B$11,"",IF(H1882="",0,H1882)+G1883/Resumen!$B$9)</f>
        <v>1.22406720088907</v>
      </c>
      <c r="I1883" s="26" t="n">
        <f aca="false">IF(H1883="","",H1883-AVERAGE(H1835:H1931))</f>
        <v>-0.198937661359272</v>
      </c>
      <c r="J1883" s="27" t="n">
        <f aca="false">IF(I1883="","",Resumen!$B$10-(MAX(I1835:I1931)-I1883))</f>
        <v>0.793609122427616</v>
      </c>
    </row>
    <row r="1884" customFormat="false" ht="15" hidden="false" customHeight="false" outlineLevel="0" collapsed="false">
      <c r="A1884" s="24" t="n">
        <v>46281</v>
      </c>
      <c r="B1884" s="10" t="n">
        <v>5.0602</v>
      </c>
      <c r="C1884" s="10" t="n">
        <v>1.5868</v>
      </c>
      <c r="D1884" s="10" t="n">
        <f aca="false">IF(OR(B1884="",C1884="",B1884&lt;=0.05,C1884&lt;=0.05),0,1)</f>
        <v>1</v>
      </c>
      <c r="E1884" s="25" t="n">
        <f aca="false">IF(OR(A1884&lt;Resumen!$B$6,A1884&gt;=Resumen!$B$7),0,MAX(0,AVERAGEIFS(B1836:B1932,D1836:D1932,1)-Resumen!$B$5*AVERAGEIFS(C1836:C1932,D1836:D1932,1)))</f>
        <v>1.66312503789474</v>
      </c>
      <c r="F1884" s="10" t="n">
        <f aca="false">IF(B1884="","",(B1884-E1884)/Resumen!$B$5)</f>
        <v>2.69823269428536</v>
      </c>
      <c r="G1884" s="10" t="n">
        <f aca="false">IF(OR(F1884="",C1884=""),0,(F1884-C1884)*0.9)</f>
        <v>1.00028942485682</v>
      </c>
      <c r="H1884" s="26" t="n">
        <f aca="false">IF(A1884&lt;Resumen!$B$11,"",IF(H1883="",0,H1883)+G1884/Resumen!$B$9)</f>
        <v>1.27134977156219</v>
      </c>
      <c r="I1884" s="26" t="n">
        <f aca="false">IF(H1884="","",H1884-AVERAGE(H1836:H1932))</f>
        <v>-0.150824842962862</v>
      </c>
      <c r="J1884" s="27" t="n">
        <f aca="false">IF(I1884="","",Resumen!$B$10-(MAX(I1836:I1932)-I1884))</f>
        <v>0.841721940824026</v>
      </c>
    </row>
    <row r="1885" customFormat="false" ht="15" hidden="false" customHeight="false" outlineLevel="0" collapsed="false">
      <c r="A1885" s="24" t="n">
        <v>46281.0104166667</v>
      </c>
      <c r="B1885" s="10" t="n">
        <v>4.1896</v>
      </c>
      <c r="C1885" s="10" t="n">
        <v>1.456</v>
      </c>
      <c r="D1885" s="10" t="n">
        <f aca="false">IF(OR(B1885="",C1885="",B1885&lt;=0.05,C1885&lt;=0.05),0,1)</f>
        <v>1</v>
      </c>
      <c r="E1885" s="25" t="n">
        <f aca="false">IF(OR(A1885&lt;Resumen!$B$6,A1885&gt;=Resumen!$B$7),0,MAX(0,AVERAGEIFS(B1837:B1933,D1837:D1933,1)-Resumen!$B$5*AVERAGEIFS(C1837:C1933,D1837:D1933,1)))</f>
        <v>1.66469894361702</v>
      </c>
      <c r="F1885" s="10" t="n">
        <f aca="false">IF(B1885="","",(B1885-E1885)/Resumen!$B$5)</f>
        <v>2.00548137917631</v>
      </c>
      <c r="G1885" s="10" t="n">
        <f aca="false">IF(OR(F1885="",C1885=""),0,(F1885-C1885)*0.9)</f>
        <v>0.494533241258682</v>
      </c>
      <c r="H1885" s="26" t="n">
        <f aca="false">IF(A1885&lt;Resumen!$B$11,"",IF(H1884="",0,H1884)+G1885/Resumen!$B$9)</f>
        <v>1.29472580888595</v>
      </c>
      <c r="I1885" s="26" t="n">
        <f aca="false">IF(H1885="","",H1885-AVERAGE(H1837:H1933))</f>
        <v>-0.125186024186369</v>
      </c>
      <c r="J1885" s="27" t="n">
        <f aca="false">IF(I1885="","",Resumen!$B$10-(MAX(I1837:I1933)-I1885))</f>
        <v>0.867360759600519</v>
      </c>
    </row>
    <row r="1886" customFormat="false" ht="15" hidden="false" customHeight="false" outlineLevel="0" collapsed="false">
      <c r="A1886" s="24" t="n">
        <v>46281.0208333333</v>
      </c>
      <c r="B1886" s="10" t="n">
        <v>5.0492</v>
      </c>
      <c r="C1886" s="10" t="n">
        <v>1.4547</v>
      </c>
      <c r="D1886" s="10" t="n">
        <f aca="false">IF(OR(B1886="",C1886="",B1886&lt;=0.05,C1886&lt;=0.05),0,1)</f>
        <v>1</v>
      </c>
      <c r="E1886" s="25" t="n">
        <f aca="false">IF(OR(A1886&lt;Resumen!$B$6,A1886&gt;=Resumen!$B$7),0,MAX(0,AVERAGEIFS(B1838:B1934,D1838:D1934,1)-Resumen!$B$5*AVERAGEIFS(C1838:C1934,D1838:D1934,1)))</f>
        <v>1.66418207956989</v>
      </c>
      <c r="F1886" s="10" t="n">
        <f aca="false">IF(B1886="","",(B1886-E1886)/Resumen!$B$5)</f>
        <v>2.68865601305013</v>
      </c>
      <c r="G1886" s="10" t="n">
        <f aca="false">IF(OR(F1886="",C1886=""),0,(F1886-C1886)*0.9)</f>
        <v>1.11056041174511</v>
      </c>
      <c r="H1886" s="26" t="n">
        <f aca="false">IF(A1886&lt;Resumen!$B$11,"",IF(H1885="",0,H1885)+G1886/Resumen!$B$9)</f>
        <v>1.34722076669541</v>
      </c>
      <c r="I1886" s="26" t="n">
        <f aca="false">IF(H1886="","",H1886-AVERAGE(H1838:H1934))</f>
        <v>-0.0687273935142208</v>
      </c>
      <c r="J1886" s="27" t="n">
        <f aca="false">IF(I1886="","",Resumen!$B$10-(MAX(I1838:I1934)-I1886))</f>
        <v>0.923819390272667</v>
      </c>
    </row>
    <row r="1887" customFormat="false" ht="15" hidden="false" customHeight="false" outlineLevel="0" collapsed="false">
      <c r="A1887" s="24" t="n">
        <v>46281.03125</v>
      </c>
      <c r="B1887" s="10" t="n">
        <v>3.1567</v>
      </c>
      <c r="C1887" s="10" t="n">
        <v>1.8811</v>
      </c>
      <c r="D1887" s="10" t="n">
        <f aca="false">IF(OR(B1887="",C1887="",B1887&lt;=0.05,C1887&lt;=0.05),0,1)</f>
        <v>1</v>
      </c>
      <c r="E1887" s="25" t="n">
        <f aca="false">IF(OR(A1887&lt;Resumen!$B$6,A1887&gt;=Resumen!$B$7),0,MAX(0,AVERAGEIFS(B1839:B1935,D1839:D1935,1)-Resumen!$B$5*AVERAGEIFS(C1839:C1935,D1839:D1935,1)))</f>
        <v>1.65898968152174</v>
      </c>
      <c r="F1887" s="10" t="n">
        <f aca="false">IF(B1887="","",(B1887-E1887)/Resumen!$B$5)</f>
        <v>1.18960311237352</v>
      </c>
      <c r="G1887" s="10" t="n">
        <f aca="false">IF(OR(F1887="",C1887=""),0,(F1887-C1887)*0.9)</f>
        <v>-0.622347198863833</v>
      </c>
      <c r="H1887" s="26" t="n">
        <f aca="false">IF(A1887&lt;Resumen!$B$11,"",IF(H1886="",0,H1886)+G1887/Resumen!$B$9)</f>
        <v>1.3178031054843</v>
      </c>
      <c r="I1887" s="26" t="n">
        <f aca="false">IF(H1887="","",H1887-AVERAGE(H1839:H1935))</f>
        <v>-0.0925044914196727</v>
      </c>
      <c r="J1887" s="27" t="n">
        <f aca="false">IF(I1887="","",Resumen!$B$10-(MAX(I1839:I1935)-I1887))</f>
        <v>0.900042292367215</v>
      </c>
    </row>
    <row r="1888" customFormat="false" ht="15" hidden="false" customHeight="false" outlineLevel="0" collapsed="false">
      <c r="A1888" s="24" t="n">
        <v>46281.0416666667</v>
      </c>
      <c r="B1888" s="10" t="n">
        <v>3.1614</v>
      </c>
      <c r="C1888" s="10" t="n">
        <v>1.5513</v>
      </c>
      <c r="D1888" s="10" t="n">
        <f aca="false">IF(OR(B1888="",C1888="",B1888&lt;=0.05,C1888&lt;=0.05),0,1)</f>
        <v>1</v>
      </c>
      <c r="E1888" s="25" t="n">
        <f aca="false">IF(OR(A1888&lt;Resumen!$B$6,A1888&gt;=Resumen!$B$7),0,MAX(0,AVERAGEIFS(B1840:B1936,D1840:D1936,1)-Resumen!$B$5*AVERAGEIFS(C1840:C1936,D1840:D1936,1)))</f>
        <v>1.64111634505494</v>
      </c>
      <c r="F1888" s="10" t="n">
        <f aca="false">IF(B1888="","",(B1888-E1888)/Resumen!$B$5)</f>
        <v>1.20753268859814</v>
      </c>
      <c r="G1888" s="10" t="n">
        <f aca="false">IF(OR(F1888="",C1888=""),0,(F1888-C1888)*0.9)</f>
        <v>-0.309390580261676</v>
      </c>
      <c r="H1888" s="26" t="n">
        <f aca="false">IF(A1888&lt;Resumen!$B$11,"",IF(H1887="",0,H1887)+G1888/Resumen!$B$9)</f>
        <v>1.30317855621556</v>
      </c>
      <c r="I1888" s="26" t="n">
        <f aca="false">IF(H1888="","",H1888-AVERAGE(H1840:H1936))</f>
        <v>-0.0992368486362889</v>
      </c>
      <c r="J1888" s="27" t="n">
        <f aca="false">IF(I1888="","",Resumen!$B$10-(MAX(I1840:I1936)-I1888))</f>
        <v>0.893309935150599</v>
      </c>
    </row>
    <row r="1889" customFormat="false" ht="15" hidden="false" customHeight="false" outlineLevel="0" collapsed="false">
      <c r="A1889" s="24" t="n">
        <v>46281.0520833333</v>
      </c>
      <c r="B1889" s="10" t="n">
        <v>3.2929</v>
      </c>
      <c r="C1889" s="10" t="n">
        <v>1.5088</v>
      </c>
      <c r="D1889" s="10" t="n">
        <f aca="false">IF(OR(B1889="",C1889="",B1889&lt;=0.05,C1889&lt;=0.05),0,1)</f>
        <v>1</v>
      </c>
      <c r="E1889" s="25" t="n">
        <f aca="false">IF(OR(A1889&lt;Resumen!$B$6,A1889&gt;=Resumen!$B$7),0,MAX(0,AVERAGEIFS(B1841:B1936,D1841:D1936,1)-Resumen!$B$5*AVERAGEIFS(C1841:C1936,D1841:D1936,1)))</f>
        <v>1.62804122444444</v>
      </c>
      <c r="F1889" s="10" t="n">
        <f aca="false">IF(B1889="","",(B1889-E1889)/Resumen!$B$5)</f>
        <v>1.32236598534993</v>
      </c>
      <c r="G1889" s="10" t="n">
        <f aca="false">IF(OR(F1889="",C1889=""),0,(F1889-C1889)*0.9)</f>
        <v>-0.167790613185067</v>
      </c>
      <c r="H1889" s="26" t="n">
        <f aca="false">IF(A1889&lt;Resumen!$B$11,"",IF(H1888="",0,H1888)+G1889/Resumen!$B$9)</f>
        <v>1.29524728019777</v>
      </c>
      <c r="I1889" s="26" t="n">
        <f aca="false">IF(H1889="","",H1889-AVERAGE(H1841:H1936))</f>
        <v>-0.108078984262971</v>
      </c>
      <c r="J1889" s="27" t="n">
        <f aca="false">IF(I1889="","",Resumen!$B$10-(MAX(I1841:I1936)-I1889))</f>
        <v>0.884467799523917</v>
      </c>
    </row>
    <row r="1890" customFormat="false" ht="15" hidden="false" customHeight="false" outlineLevel="0" collapsed="false">
      <c r="A1890" s="24" t="n">
        <v>46281.0625</v>
      </c>
      <c r="B1890" s="10" t="n">
        <v>4.7304</v>
      </c>
      <c r="C1890" s="10" t="n">
        <v>1.466</v>
      </c>
      <c r="D1890" s="10" t="n">
        <f aca="false">IF(OR(B1890="",C1890="",B1890&lt;=0.05,C1890&lt;=0.05),0,1)</f>
        <v>1</v>
      </c>
      <c r="E1890" s="25" t="n">
        <f aca="false">IF(OR(A1890&lt;Resumen!$B$6,A1890&gt;=Resumen!$B$7),0,MAX(0,AVERAGEIFS(B1842:B1936,D1842:D1936,1)-Resumen!$B$5*AVERAGEIFS(C1842:C1936,D1842:D1936,1)))</f>
        <v>1.63945754157304</v>
      </c>
      <c r="F1890" s="10" t="n">
        <f aca="false">IF(B1890="","",(B1890-E1890)/Resumen!$B$5)</f>
        <v>2.45507740939394</v>
      </c>
      <c r="G1890" s="10" t="n">
        <f aca="false">IF(OR(F1890="",C1890=""),0,(F1890-C1890)*0.9)</f>
        <v>0.890169668454543</v>
      </c>
      <c r="H1890" s="26" t="n">
        <f aca="false">IF(A1890&lt;Resumen!$B$11,"",IF(H1889="",0,H1889)+G1890/Resumen!$B$9)</f>
        <v>1.33732461223174</v>
      </c>
      <c r="I1890" s="26" t="n">
        <f aca="false">IF(H1890="","",H1890-AVERAGE(H1842:H1936))</f>
        <v>-0.0674015421540879</v>
      </c>
      <c r="J1890" s="27" t="n">
        <f aca="false">IF(I1890="","",Resumen!$B$10-(MAX(I1842:I1936)-I1890))</f>
        <v>0.9251452416328</v>
      </c>
    </row>
    <row r="1891" customFormat="false" ht="15" hidden="false" customHeight="false" outlineLevel="0" collapsed="false">
      <c r="A1891" s="24" t="n">
        <v>46281.0729166667</v>
      </c>
      <c r="B1891" s="10" t="n">
        <v>4.6613</v>
      </c>
      <c r="C1891" s="10" t="n">
        <v>1.9895</v>
      </c>
      <c r="D1891" s="10" t="n">
        <f aca="false">IF(OR(B1891="",C1891="",B1891&lt;=0.05,C1891&lt;=0.05),0,1)</f>
        <v>1</v>
      </c>
      <c r="E1891" s="25" t="n">
        <f aca="false">IF(OR(A1891&lt;Resumen!$B$6,A1891&gt;=Resumen!$B$7),0,MAX(0,AVERAGEIFS(B1843:B1936,D1843:D1936,1)-Resumen!$B$5*AVERAGEIFS(C1843:C1936,D1843:D1936,1)))</f>
        <v>1.64007540795455</v>
      </c>
      <c r="F1891" s="10" t="n">
        <f aca="false">IF(B1891="","",(B1891-E1891)/Resumen!$B$5)</f>
        <v>2.39970182052856</v>
      </c>
      <c r="G1891" s="10" t="n">
        <f aca="false">IF(OR(F1891="",C1891=""),0,(F1891-C1891)*0.9)</f>
        <v>0.369181638475702</v>
      </c>
      <c r="H1891" s="26" t="n">
        <f aca="false">IF(A1891&lt;Resumen!$B$11,"",IF(H1890="",0,H1890)+G1891/Resumen!$B$9)</f>
        <v>1.35477541844709</v>
      </c>
      <c r="I1891" s="26" t="n">
        <f aca="false">IF(H1891="","",H1891-AVERAGE(H1843:H1936))</f>
        <v>-0.0515115327934281</v>
      </c>
      <c r="J1891" s="27" t="n">
        <f aca="false">IF(I1891="","",Resumen!$B$10-(MAX(I1843:I1936)-I1891))</f>
        <v>0.94103525099346</v>
      </c>
    </row>
    <row r="1892" customFormat="false" ht="15" hidden="false" customHeight="false" outlineLevel="0" collapsed="false">
      <c r="A1892" s="24" t="n">
        <v>46281.0833333333</v>
      </c>
      <c r="B1892" s="10" t="n">
        <v>4.1226</v>
      </c>
      <c r="C1892" s="10" t="n">
        <v>1.8522</v>
      </c>
      <c r="D1892" s="10" t="n">
        <f aca="false">IF(OR(B1892="",C1892="",B1892&lt;=0.05,C1892&lt;=0.05),0,1)</f>
        <v>1</v>
      </c>
      <c r="E1892" s="25" t="n">
        <f aca="false">IF(OR(A1892&lt;Resumen!$B$6,A1892&gt;=Resumen!$B$7),0,MAX(0,AVERAGEIFS(B1844:B1936,D1844:D1936,1)-Resumen!$B$5*AVERAGEIFS(C1844:C1936,D1844:D1936,1)))</f>
        <v>1.62418110229885</v>
      </c>
      <c r="F1892" s="10" t="n">
        <f aca="false">IF(B1892="","",(B1892-E1892)/Resumen!$B$5)</f>
        <v>1.98444709904778</v>
      </c>
      <c r="G1892" s="10" t="n">
        <f aca="false">IF(OR(F1892="",C1892=""),0,(F1892-C1892)*0.9)</f>
        <v>0.119022389142998</v>
      </c>
      <c r="H1892" s="26" t="n">
        <f aca="false">IF(A1892&lt;Resumen!$B$11,"",IF(H1891="",0,H1891)+G1892/Resumen!$B$9)</f>
        <v>1.36040147465292</v>
      </c>
      <c r="I1892" s="26" t="n">
        <f aca="false">IF(H1892="","",H1892-AVERAGE(H1844:H1936))</f>
        <v>-0.0470910976975008</v>
      </c>
      <c r="J1892" s="27" t="n">
        <f aca="false">IF(I1892="","",Resumen!$B$10-(MAX(I1844:I1936)-I1892))</f>
        <v>0.945455686089387</v>
      </c>
    </row>
    <row r="1893" customFormat="false" ht="15" hidden="false" customHeight="false" outlineLevel="0" collapsed="false">
      <c r="A1893" s="24" t="n">
        <v>46281.09375</v>
      </c>
      <c r="B1893" s="10" t="n">
        <v>5.5003</v>
      </c>
      <c r="C1893" s="10" t="n">
        <v>1.8506</v>
      </c>
      <c r="D1893" s="10" t="n">
        <f aca="false">IF(OR(B1893="",C1893="",B1893&lt;=0.05,C1893&lt;=0.05),0,1)</f>
        <v>1</v>
      </c>
      <c r="E1893" s="25" t="n">
        <f aca="false">IF(OR(A1893&lt;Resumen!$B$6,A1893&gt;=Resumen!$B$7),0,MAX(0,AVERAGEIFS(B1845:B1936,D1845:D1936,1)-Resumen!$B$5*AVERAGEIFS(C1845:C1936,D1845:D1936,1)))</f>
        <v>1.61885761744186</v>
      </c>
      <c r="F1893" s="10" t="n">
        <f aca="false">IF(B1893="","",(B1893-E1893)/Resumen!$B$5)</f>
        <v>3.08295661839407</v>
      </c>
      <c r="G1893" s="10" t="n">
        <f aca="false">IF(OR(F1893="",C1893=""),0,(F1893-C1893)*0.9)</f>
        <v>1.10912095655467</v>
      </c>
      <c r="H1893" s="26" t="n">
        <f aca="false">IF(A1893&lt;Resumen!$B$11,"",IF(H1892="",0,H1892)+G1893/Resumen!$B$9)</f>
        <v>1.41282839101349</v>
      </c>
      <c r="I1893" s="26" t="n">
        <f aca="false">IF(H1893="","",H1893-AVERAGE(H1845:H1936))</f>
        <v>0.00415401227965595</v>
      </c>
      <c r="J1893" s="27" t="n">
        <f aca="false">IF(I1893="","",Resumen!$B$10-(MAX(I1845:I1936)-I1893))</f>
        <v>0.996700796066544</v>
      </c>
    </row>
    <row r="1894" customFormat="false" ht="15" hidden="false" customHeight="false" outlineLevel="0" collapsed="false">
      <c r="A1894" s="24" t="n">
        <v>46281.1041666667</v>
      </c>
      <c r="B1894" s="10" t="n">
        <v>4.7698</v>
      </c>
      <c r="C1894" s="10" t="n">
        <v>1.991</v>
      </c>
      <c r="D1894" s="10" t="n">
        <f aca="false">IF(OR(B1894="",C1894="",B1894&lt;=0.05,C1894&lt;=0.05),0,1)</f>
        <v>1</v>
      </c>
      <c r="E1894" s="25" t="n">
        <f aca="false">IF(OR(A1894&lt;Resumen!$B$6,A1894&gt;=Resumen!$B$7),0,MAX(0,AVERAGEIFS(B1846:B1936,D1846:D1936,1)-Resumen!$B$5*AVERAGEIFS(C1846:C1936,D1846:D1936,1)))</f>
        <v>1.61671292117647</v>
      </c>
      <c r="F1894" s="10" t="n">
        <f aca="false">IF(B1894="","",(B1894-E1894)/Resumen!$B$5)</f>
        <v>2.50443771153577</v>
      </c>
      <c r="G1894" s="10" t="n">
        <f aca="false">IF(OR(F1894="",C1894=""),0,(F1894-C1894)*0.9)</f>
        <v>0.462093940382189</v>
      </c>
      <c r="H1894" s="26" t="n">
        <f aca="false">IF(A1894&lt;Resumen!$B$11,"",IF(H1893="",0,H1893)+G1894/Resumen!$B$9)</f>
        <v>1.43467105859629</v>
      </c>
      <c r="I1894" s="26" t="n">
        <f aca="false">IF(H1894="","",H1894-AVERAGE(H1846:H1936))</f>
        <v>0.024730830860932</v>
      </c>
      <c r="J1894" s="27" t="n">
        <f aca="false">IF(I1894="","",Resumen!$B$10-(MAX(I1846:I1936)-I1894))</f>
        <v>1.01727761464782</v>
      </c>
    </row>
    <row r="1895" customFormat="false" ht="15" hidden="false" customHeight="false" outlineLevel="0" collapsed="false">
      <c r="A1895" s="24" t="n">
        <v>46281.1145833333</v>
      </c>
      <c r="B1895" s="10" t="n">
        <v>3.7846</v>
      </c>
      <c r="C1895" s="10" t="n">
        <v>1.8686</v>
      </c>
      <c r="D1895" s="10" t="n">
        <f aca="false">IF(OR(B1895="",C1895="",B1895&lt;=0.05,C1895&lt;=0.05),0,1)</f>
        <v>1</v>
      </c>
      <c r="E1895" s="25" t="n">
        <f aca="false">IF(OR(A1895&lt;Resumen!$B$6,A1895&gt;=Resumen!$B$7),0,MAX(0,AVERAGEIFS(B1847:B1936,D1847:D1936,1)-Resumen!$B$5*AVERAGEIFS(C1847:C1936,D1847:D1936,1)))</f>
        <v>1.62227020595238</v>
      </c>
      <c r="F1895" s="10" t="n">
        <f aca="false">IF(B1895="","",(B1895-E1895)/Resumen!$B$5)</f>
        <v>1.71749785071296</v>
      </c>
      <c r="G1895" s="10" t="n">
        <f aca="false">IF(OR(F1895="",C1895=""),0,(F1895-C1895)*0.9)</f>
        <v>-0.135991934358334</v>
      </c>
      <c r="H1895" s="26" t="n">
        <f aca="false">IF(A1895&lt;Resumen!$B$11,"",IF(H1894="",0,H1894)+G1895/Resumen!$B$9)</f>
        <v>1.42824287082634</v>
      </c>
      <c r="I1895" s="26" t="n">
        <f aca="false">IF(H1895="","",H1895-AVERAGE(H1847:H1936))</f>
        <v>0.0167035284707031</v>
      </c>
      <c r="J1895" s="27" t="n">
        <f aca="false">IF(I1895="","",Resumen!$B$10-(MAX(I1847:I1936)-I1895))</f>
        <v>1.00925031225759</v>
      </c>
    </row>
    <row r="1896" customFormat="false" ht="15" hidden="false" customHeight="false" outlineLevel="0" collapsed="false">
      <c r="A1896" s="24" t="n">
        <v>46281.125</v>
      </c>
      <c r="B1896" s="10" t="n">
        <v>3.6832</v>
      </c>
      <c r="C1896" s="10" t="n">
        <v>1.8054</v>
      </c>
      <c r="D1896" s="10" t="n">
        <f aca="false">IF(OR(B1896="",C1896="",B1896&lt;=0.05,C1896&lt;=0.05),0,1)</f>
        <v>1</v>
      </c>
      <c r="E1896" s="25" t="n">
        <f aca="false">IF(OR(A1896&lt;Resumen!$B$6,A1896&gt;=Resumen!$B$7),0,MAX(0,AVERAGEIFS(B1848:B1936,D1848:D1936,1)-Resumen!$B$5*AVERAGEIFS(C1848:C1936,D1848:D1936,1)))</f>
        <v>1.62430405783133</v>
      </c>
      <c r="F1896" s="10" t="n">
        <f aca="false">IF(B1896="","",(B1896-E1896)/Resumen!$B$5)</f>
        <v>1.63534228925232</v>
      </c>
      <c r="G1896" s="10" t="n">
        <f aca="false">IF(OR(F1896="",C1896=""),0,(F1896-C1896)*0.9)</f>
        <v>-0.153051939672909</v>
      </c>
      <c r="H1896" s="26" t="n">
        <f aca="false">IF(A1896&lt;Resumen!$B$11,"",IF(H1895="",0,H1895)+G1896/Resumen!$B$9)</f>
        <v>1.4210082755438</v>
      </c>
      <c r="I1896" s="26" t="n">
        <f aca="false">IF(H1896="","",H1896-AVERAGE(H1848:H1936))</f>
        <v>0.00764164128571521</v>
      </c>
      <c r="J1896" s="27" t="n">
        <f aca="false">IF(I1896="","",Resumen!$B$10-(MAX(I1848:I1936)-I1896))</f>
        <v>1.0001884250726</v>
      </c>
    </row>
    <row r="1897" customFormat="false" ht="15" hidden="false" customHeight="false" outlineLevel="0" collapsed="false">
      <c r="A1897" s="24" t="n">
        <v>46281.1354166667</v>
      </c>
      <c r="B1897" s="10" t="n">
        <v>5.2568</v>
      </c>
      <c r="C1897" s="10" t="n">
        <v>1.8227</v>
      </c>
      <c r="D1897" s="10" t="n">
        <f aca="false">IF(OR(B1897="",C1897="",B1897&lt;=0.05,C1897&lt;=0.05),0,1)</f>
        <v>1</v>
      </c>
      <c r="E1897" s="25" t="n">
        <f aca="false">IF(OR(A1897&lt;Resumen!$B$6,A1897&gt;=Resumen!$B$7),0,MAX(0,AVERAGEIFS(B1849:B1936,D1849:D1936,1)-Resumen!$B$5*AVERAGEIFS(C1849:C1936,D1849:D1936,1)))</f>
        <v>1.64229376219512</v>
      </c>
      <c r="F1897" s="10" t="n">
        <f aca="false">IF(B1897="","",(B1897-E1897)/Resumen!$B$5)</f>
        <v>2.87093426354637</v>
      </c>
      <c r="G1897" s="10" t="n">
        <f aca="false">IF(OR(F1897="",C1897=""),0,(F1897-C1897)*0.9)</f>
        <v>0.943410837191732</v>
      </c>
      <c r="H1897" s="26" t="n">
        <f aca="false">IF(A1897&lt;Resumen!$B$11,"",IF(H1896="",0,H1896)+G1897/Resumen!$B$9)</f>
        <v>1.46560225851997</v>
      </c>
      <c r="I1897" s="26" t="n">
        <f aca="false">IF(H1897="","",H1897-AVERAGE(H1849:H1936))</f>
        <v>0.0496742207218619</v>
      </c>
      <c r="J1897" s="27" t="n">
        <f aca="false">IF(I1897="","",Resumen!$B$10-(MAX(I1849:I1936)-I1897))</f>
        <v>1.04222100450875</v>
      </c>
    </row>
    <row r="1898" customFormat="false" ht="15" hidden="false" customHeight="false" outlineLevel="0" collapsed="false">
      <c r="A1898" s="24" t="n">
        <v>46281.1458333333</v>
      </c>
      <c r="B1898" s="10" t="n">
        <v>4.5811</v>
      </c>
      <c r="C1898" s="10" t="n">
        <v>2.1145</v>
      </c>
      <c r="D1898" s="10" t="n">
        <f aca="false">IF(OR(B1898="",C1898="",B1898&lt;=0.05,C1898&lt;=0.05),0,1)</f>
        <v>1</v>
      </c>
      <c r="E1898" s="25" t="n">
        <f aca="false">IF(OR(A1898&lt;Resumen!$B$6,A1898&gt;=Resumen!$B$7),0,MAX(0,AVERAGEIFS(B1850:B1936,D1850:D1936,1)-Resumen!$B$5*AVERAGEIFS(C1850:C1936,D1850:D1936,1)))</f>
        <v>1.62163757283951</v>
      </c>
      <c r="F1898" s="10" t="n">
        <f aca="false">IF(B1898="","",(B1898-E1898)/Resumen!$B$5)</f>
        <v>2.35064529560007</v>
      </c>
      <c r="G1898" s="10" t="n">
        <f aca="false">IF(OR(F1898="",C1898=""),0,(F1898-C1898)*0.9)</f>
        <v>0.212530766040067</v>
      </c>
      <c r="H1898" s="26" t="n">
        <f aca="false">IF(A1898&lt;Resumen!$B$11,"",IF(H1897="",0,H1897)+G1898/Resumen!$B$9)</f>
        <v>1.47564835189633</v>
      </c>
      <c r="I1898" s="26" t="n">
        <f aca="false">IF(H1898="","",H1898-AVERAGE(H1850:H1936))</f>
        <v>0.0576252237695385</v>
      </c>
      <c r="J1898" s="27" t="n">
        <f aca="false">IF(I1898="","",Resumen!$B$10-(MAX(I1850:I1936)-I1898))</f>
        <v>1.05017200755643</v>
      </c>
    </row>
    <row r="1899" customFormat="false" ht="15" hidden="false" customHeight="false" outlineLevel="0" collapsed="false">
      <c r="A1899" s="24" t="n">
        <v>46281.15625</v>
      </c>
      <c r="B1899" s="10" t="n">
        <v>4.8101</v>
      </c>
      <c r="C1899" s="10" t="n">
        <v>2.1267</v>
      </c>
      <c r="D1899" s="10" t="n">
        <f aca="false">IF(OR(B1899="",C1899="",B1899&lt;=0.05,C1899&lt;=0.05),0,1)</f>
        <v>1</v>
      </c>
      <c r="E1899" s="25" t="n">
        <f aca="false">IF(OR(A1899&lt;Resumen!$B$6,A1899&gt;=Resumen!$B$7),0,MAX(0,AVERAGEIFS(B1851:B1936,D1851:D1936,1)-Resumen!$B$5*AVERAGEIFS(C1851:C1936,D1851:D1936,1)))</f>
        <v>1.60732684625</v>
      </c>
      <c r="F1899" s="10" t="n">
        <f aca="false">IF(B1899="","",(B1899-E1899)/Resumen!$B$5)</f>
        <v>2.54390242553614</v>
      </c>
      <c r="G1899" s="10" t="n">
        <f aca="false">IF(OR(F1899="",C1899=""),0,(F1899-C1899)*0.9)</f>
        <v>0.375482182982526</v>
      </c>
      <c r="H1899" s="26" t="n">
        <f aca="false">IF(A1899&lt;Resumen!$B$11,"",IF(H1898="",0,H1898)+G1899/Resumen!$B$9)</f>
        <v>1.49339697785617</v>
      </c>
      <c r="I1899" s="26" t="n">
        <f aca="false">IF(H1899="","",H1899-AVERAGE(H1851:H1936))</f>
        <v>0.0735454747121282</v>
      </c>
      <c r="J1899" s="27" t="n">
        <f aca="false">IF(I1899="","",Resumen!$B$10-(MAX(I1851:I1936)-I1899))</f>
        <v>1.06609225849902</v>
      </c>
    </row>
    <row r="1900" customFormat="false" ht="15" hidden="false" customHeight="false" outlineLevel="0" collapsed="false">
      <c r="A1900" s="24" t="n">
        <v>46281.1666666667</v>
      </c>
      <c r="B1900" s="10" t="n">
        <v>5.0224</v>
      </c>
      <c r="C1900" s="10" t="n">
        <v>1.9221</v>
      </c>
      <c r="D1900" s="10" t="n">
        <f aca="false">IF(OR(B1900="",C1900="",B1900&lt;=0.05,C1900&lt;=0.05),0,1)</f>
        <v>1</v>
      </c>
      <c r="E1900" s="25" t="n">
        <f aca="false">IF(OR(A1900&lt;Resumen!$B$6,A1900&gt;=Resumen!$B$7),0,MAX(0,AVERAGEIFS(B1852:B1936,D1852:D1936,1)-Resumen!$B$5*AVERAGEIFS(C1852:C1936,D1852:D1936,1)))</f>
        <v>1.61250069746835</v>
      </c>
      <c r="F1900" s="10" t="n">
        <f aca="false">IF(B1900="","",(B1900-E1900)/Resumen!$B$5)</f>
        <v>2.7084188264747</v>
      </c>
      <c r="G1900" s="10" t="n">
        <f aca="false">IF(OR(F1900="",C1900=""),0,(F1900-C1900)*0.9)</f>
        <v>0.707686943827229</v>
      </c>
      <c r="H1900" s="26" t="n">
        <f aca="false">IF(A1900&lt;Resumen!$B$11,"",IF(H1899="",0,H1899)+G1900/Resumen!$B$9)</f>
        <v>1.52684855407446</v>
      </c>
      <c r="I1900" s="26" t="n">
        <f aca="false">IF(H1900="","",H1900-AVERAGE(H1852:H1936))</f>
        <v>0.104820070668556</v>
      </c>
      <c r="J1900" s="27" t="n">
        <f aca="false">IF(I1900="","",Resumen!$B$10-(MAX(I1852:I1936)-I1900))</f>
        <v>1.09736685445544</v>
      </c>
    </row>
    <row r="1901" customFormat="false" ht="15" hidden="false" customHeight="false" outlineLevel="0" collapsed="false">
      <c r="A1901" s="24" t="n">
        <v>46281.1770833333</v>
      </c>
      <c r="B1901" s="10" t="n">
        <v>5.0204</v>
      </c>
      <c r="C1901" s="10" t="n">
        <v>1.9463</v>
      </c>
      <c r="D1901" s="10" t="n">
        <f aca="false">IF(OR(B1901="",C1901="",B1901&lt;=0.05,C1901&lt;=0.05),0,1)</f>
        <v>1</v>
      </c>
      <c r="E1901" s="25" t="n">
        <f aca="false">IF(OR(A1901&lt;Resumen!$B$6,A1901&gt;=Resumen!$B$7),0,MAX(0,AVERAGEIFS(B1853:B1936,D1853:D1936,1)-Resumen!$B$5*AVERAGEIFS(C1853:C1936,D1853:D1936,1)))</f>
        <v>1.6082602974359</v>
      </c>
      <c r="F1901" s="10" t="n">
        <f aca="false">IF(B1901="","",(B1901-E1901)/Resumen!$B$5)</f>
        <v>2.71019833404615</v>
      </c>
      <c r="G1901" s="10" t="n">
        <f aca="false">IF(OR(F1901="",C1901=""),0,(F1901-C1901)*0.9)</f>
        <v>0.687508500641535</v>
      </c>
      <c r="H1901" s="26" t="n">
        <f aca="false">IF(A1901&lt;Resumen!$B$11,"",IF(H1900="",0,H1900)+G1901/Resumen!$B$9)</f>
        <v>1.55934631768383</v>
      </c>
      <c r="I1901" s="26" t="n">
        <f aca="false">IF(H1901="","",H1901-AVERAGE(H1853:H1936))</f>
        <v>0.135076029466301</v>
      </c>
      <c r="J1901" s="27" t="n">
        <f aca="false">IF(I1901="","",Resumen!$B$10-(MAX(I1853:I1936)-I1901))</f>
        <v>1.12762281325319</v>
      </c>
    </row>
    <row r="1902" customFormat="false" ht="15" hidden="false" customHeight="false" outlineLevel="0" collapsed="false">
      <c r="A1902" s="24" t="n">
        <v>46281.1875</v>
      </c>
      <c r="B1902" s="10" t="n">
        <v>4.6124</v>
      </c>
      <c r="C1902" s="10" t="n">
        <v>1.7814</v>
      </c>
      <c r="D1902" s="10" t="n">
        <f aca="false">IF(OR(B1902="",C1902="",B1902&lt;=0.05,C1902&lt;=0.05),0,1)</f>
        <v>1</v>
      </c>
      <c r="E1902" s="25" t="n">
        <f aca="false">IF(OR(A1902&lt;Resumen!$B$6,A1902&gt;=Resumen!$B$7),0,MAX(0,AVERAGEIFS(B1854:B1936,D1854:D1936,1)-Resumen!$B$5*AVERAGEIFS(C1854:C1936,D1854:D1936,1)))</f>
        <v>1.60894754025974</v>
      </c>
      <c r="F1902" s="10" t="n">
        <f aca="false">IF(B1902="","",(B1902-E1902)/Resumen!$B$5)</f>
        <v>2.3855857503894</v>
      </c>
      <c r="G1902" s="10" t="n">
        <f aca="false">IF(OR(F1902="",C1902=""),0,(F1902-C1902)*0.9)</f>
        <v>0.543767175350464</v>
      </c>
      <c r="H1902" s="26" t="n">
        <f aca="false">IF(A1902&lt;Resumen!$B$11,"",IF(H1901="",0,H1901)+G1902/Resumen!$B$9)</f>
        <v>1.58504958841661</v>
      </c>
      <c r="I1902" s="26" t="n">
        <f aca="false">IF(H1902="","",H1902-AVERAGE(H1854:H1936))</f>
        <v>0.158310385840369</v>
      </c>
      <c r="J1902" s="27" t="n">
        <f aca="false">IF(I1902="","",Resumen!$B$10-(MAX(I1854:I1936)-I1902))</f>
        <v>1.15085716962726</v>
      </c>
    </row>
    <row r="1903" customFormat="false" ht="15" hidden="false" customHeight="false" outlineLevel="0" collapsed="false">
      <c r="A1903" s="24" t="n">
        <v>46281.1979166667</v>
      </c>
      <c r="B1903" s="10" t="n">
        <v>4.7141</v>
      </c>
      <c r="C1903" s="10" t="n">
        <v>1.7883</v>
      </c>
      <c r="D1903" s="10" t="n">
        <f aca="false">IF(OR(B1903="",C1903="",B1903&lt;=0.05,C1903&lt;=0.05),0,1)</f>
        <v>1</v>
      </c>
      <c r="E1903" s="25" t="n">
        <f aca="false">IF(OR(A1903&lt;Resumen!$B$6,A1903&gt;=Resumen!$B$7),0,MAX(0,AVERAGEIFS(B1855:B1936,D1855:D1936,1)-Resumen!$B$5*AVERAGEIFS(C1855:C1936,D1855:D1936,1)))</f>
        <v>1.60011520789474</v>
      </c>
      <c r="F1903" s="10" t="n">
        <f aca="false">IF(B1903="","",(B1903-E1903)/Resumen!$B$5)</f>
        <v>2.47337950127503</v>
      </c>
      <c r="G1903" s="10" t="n">
        <f aca="false">IF(OR(F1903="",C1903=""),0,(F1903-C1903)*0.9)</f>
        <v>0.616571551147527</v>
      </c>
      <c r="H1903" s="26" t="n">
        <f aca="false">IF(A1903&lt;Resumen!$B$11,"",IF(H1902="",0,H1902)+G1903/Resumen!$B$9)</f>
        <v>1.61419424117183</v>
      </c>
      <c r="I1903" s="26" t="n">
        <f aca="false">IF(H1903="","",H1903-AVERAGE(H1855:H1936))</f>
        <v>0.185048133434676</v>
      </c>
      <c r="J1903" s="27" t="n">
        <f aca="false">IF(I1903="","",Resumen!$B$10-(MAX(I1855:I1936)-I1903))</f>
        <v>1.17759491722156</v>
      </c>
    </row>
    <row r="1904" customFormat="false" ht="15" hidden="false" customHeight="false" outlineLevel="0" collapsed="false">
      <c r="A1904" s="24" t="n">
        <v>46281.2083333333</v>
      </c>
      <c r="B1904" s="10" t="n">
        <v>5.483</v>
      </c>
      <c r="C1904" s="10" t="n">
        <v>2.2728</v>
      </c>
      <c r="D1904" s="10" t="n">
        <f aca="false">IF(OR(B1904="",C1904="",B1904&lt;=0.05,C1904&lt;=0.05),0,1)</f>
        <v>1</v>
      </c>
      <c r="E1904" s="25" t="n">
        <f aca="false">IF(OR(A1904&lt;Resumen!$B$6,A1904&gt;=Resumen!$B$7),0,MAX(0,AVERAGEIFS(B1856:B1936,D1856:D1936,1)-Resumen!$B$5*AVERAGEIFS(C1856:C1936,D1856:D1936,1)))</f>
        <v>1.59527100133333</v>
      </c>
      <c r="F1904" s="10" t="n">
        <f aca="false">IF(B1904="","",(B1904-E1904)/Resumen!$B$5)</f>
        <v>3.0879499592269</v>
      </c>
      <c r="G1904" s="10" t="n">
        <f aca="false">IF(OR(F1904="",C1904=""),0,(F1904-C1904)*0.9)</f>
        <v>0.733634963304209</v>
      </c>
      <c r="H1904" s="26" t="n">
        <f aca="false">IF(A1904&lt;Resumen!$B$11,"",IF(H1903="",0,H1903)+G1904/Resumen!$B$9)</f>
        <v>1.64887235146542</v>
      </c>
      <c r="I1904" s="26" t="n">
        <f aca="false">IF(H1904="","",H1904-AVERAGE(H1856:H1936))</f>
        <v>0.217250456369832</v>
      </c>
      <c r="J1904" s="27" t="n">
        <f aca="false">IF(I1904="","",Resumen!$B$10-(MAX(I1856:I1936)-I1904))</f>
        <v>1.20979724015672</v>
      </c>
    </row>
    <row r="1905" customFormat="false" ht="15" hidden="false" customHeight="false" outlineLevel="0" collapsed="false">
      <c r="A1905" s="24" t="n">
        <v>46281.21875</v>
      </c>
      <c r="B1905" s="10" t="n">
        <v>4.9456</v>
      </c>
      <c r="C1905" s="10" t="n">
        <v>2.3328</v>
      </c>
      <c r="D1905" s="10" t="n">
        <f aca="false">IF(OR(B1905="",C1905="",B1905&lt;=0.05,C1905&lt;=0.05),0,1)</f>
        <v>1</v>
      </c>
      <c r="E1905" s="25" t="n">
        <f aca="false">IF(OR(A1905&lt;Resumen!$B$6,A1905&gt;=Resumen!$B$7),0,MAX(0,AVERAGEIFS(B1857:B1936,D1857:D1936,1)-Resumen!$B$5*AVERAGEIFS(C1857:C1936,D1857:D1936,1)))</f>
        <v>1.58673922567568</v>
      </c>
      <c r="F1905" s="10" t="n">
        <f aca="false">IF(B1905="","",(B1905-E1905)/Resumen!$B$5)</f>
        <v>2.66787988429255</v>
      </c>
      <c r="G1905" s="10" t="n">
        <f aca="false">IF(OR(F1905="",C1905=""),0,(F1905-C1905)*0.9)</f>
        <v>0.301571895863297</v>
      </c>
      <c r="H1905" s="26" t="n">
        <f aca="false">IF(A1905&lt;Resumen!$B$11,"",IF(H1904="",0,H1904)+G1905/Resumen!$B$9)</f>
        <v>1.66312732020231</v>
      </c>
      <c r="I1905" s="26" t="n">
        <f aca="false">IF(H1905="","",H1905-AVERAGE(H1857:H1936))</f>
        <v>0.229062142629289</v>
      </c>
      <c r="J1905" s="27" t="n">
        <f aca="false">IF(I1905="","",Resumen!$B$10-(MAX(I1857:I1936)-I1905))</f>
        <v>1.22160892641618</v>
      </c>
    </row>
    <row r="1906" customFormat="false" ht="15" hidden="false" customHeight="false" outlineLevel="0" collapsed="false">
      <c r="A1906" s="24" t="n">
        <v>46281.2291666667</v>
      </c>
      <c r="B1906" s="10" t="n">
        <v>6.3399</v>
      </c>
      <c r="C1906" s="10" t="n">
        <v>2.5635</v>
      </c>
      <c r="D1906" s="10" t="n">
        <f aca="false">IF(OR(B1906="",C1906="",B1906&lt;=0.05,C1906&lt;=0.05),0,1)</f>
        <v>1</v>
      </c>
      <c r="E1906" s="25" t="n">
        <f aca="false">IF(OR(A1906&lt;Resumen!$B$6,A1906&gt;=Resumen!$B$7),0,MAX(0,AVERAGEIFS(B1858:B1936,D1858:D1936,1)-Resumen!$B$5*AVERAGEIFS(C1858:C1936,D1858:D1936,1)))</f>
        <v>1.58519467123288</v>
      </c>
      <c r="F1906" s="10" t="n">
        <f aca="false">IF(B1906="","",(B1906-E1906)/Resumen!$B$5)</f>
        <v>3.7765729378611</v>
      </c>
      <c r="G1906" s="10" t="n">
        <f aca="false">IF(OR(F1906="",C1906=""),0,(F1906-C1906)*0.9)</f>
        <v>1.09176564407499</v>
      </c>
      <c r="H1906" s="26" t="n">
        <f aca="false">IF(A1906&lt;Resumen!$B$11,"",IF(H1905="",0,H1905)+G1906/Resumen!$B$9)</f>
        <v>1.71473387020842</v>
      </c>
      <c r="I1906" s="26" t="n">
        <f aca="false">IF(H1906="","",H1906-AVERAGE(H1858:H1936))</f>
        <v>0.278031642332158</v>
      </c>
      <c r="J1906" s="27" t="n">
        <f aca="false">IF(I1906="","",Resumen!$B$10-(MAX(I1858:I1936)-I1906))</f>
        <v>1.27057842611905</v>
      </c>
    </row>
    <row r="1907" customFormat="false" ht="15" hidden="false" customHeight="false" outlineLevel="0" collapsed="false">
      <c r="A1907" s="24" t="n">
        <v>46281.2395833333</v>
      </c>
      <c r="B1907" s="10" t="n">
        <v>5.698</v>
      </c>
      <c r="C1907" s="10" t="n">
        <v>2.567</v>
      </c>
      <c r="D1907" s="10" t="n">
        <f aca="false">IF(OR(B1907="",C1907="",B1907&lt;=0.05,C1907&lt;=0.05),0,1)</f>
        <v>1</v>
      </c>
      <c r="E1907" s="25" t="n">
        <f aca="false">IF(OR(A1907&lt;Resumen!$B$6,A1907&gt;=Resumen!$B$7),0,MAX(0,AVERAGEIFS(B1859:B1936,D1859:D1936,1)-Resumen!$B$5*AVERAGEIFS(C1859:C1936,D1859:D1936,1)))</f>
        <v>1.57882941944444</v>
      </c>
      <c r="F1907" s="10" t="n">
        <f aca="false">IF(B1907="","",(B1907-E1907)/Resumen!$B$5)</f>
        <v>3.27177965095755</v>
      </c>
      <c r="G1907" s="10" t="n">
        <f aca="false">IF(OR(F1907="",C1907=""),0,(F1907-C1907)*0.9)</f>
        <v>0.634301685861796</v>
      </c>
      <c r="H1907" s="26" t="n">
        <f aca="false">IF(A1907&lt;Resumen!$B$11,"",IF(H1906="",0,H1906)+G1907/Resumen!$B$9)</f>
        <v>1.74471660674903</v>
      </c>
      <c r="I1907" s="26" t="n">
        <f aca="false">IF(H1907="","",H1907-AVERAGE(H1859:H1936))</f>
        <v>0.305324232873704</v>
      </c>
      <c r="J1907" s="27" t="n">
        <f aca="false">IF(I1907="","",Resumen!$B$10-(MAX(I1859:I1936)-I1907))</f>
        <v>1.29787101666059</v>
      </c>
    </row>
    <row r="1908" customFormat="false" ht="15" hidden="false" customHeight="false" outlineLevel="0" collapsed="false">
      <c r="A1908" s="24" t="n">
        <v>46281.25</v>
      </c>
      <c r="B1908" s="10" t="n">
        <v>6.4108</v>
      </c>
      <c r="C1908" s="10" t="n">
        <v>3.3206</v>
      </c>
      <c r="D1908" s="10" t="n">
        <f aca="false">IF(OR(B1908="",C1908="",B1908&lt;=0.05,C1908&lt;=0.05),0,1)</f>
        <v>1</v>
      </c>
      <c r="E1908" s="25" t="n">
        <f aca="false">IF(OR(A1908&lt;Resumen!$B$6,A1908&gt;=Resumen!$B$7),0,MAX(0,AVERAGEIFS(B1860:B1936,D1860:D1936,1)-Resumen!$B$5*AVERAGEIFS(C1860:C1936,D1860:D1936,1)))</f>
        <v>1.5737580915493</v>
      </c>
      <c r="F1908" s="10" t="n">
        <f aca="false">IF(B1908="","",(B1908-E1908)/Resumen!$B$5)</f>
        <v>3.8419713331618</v>
      </c>
      <c r="G1908" s="10" t="n">
        <f aca="false">IF(OR(F1908="",C1908=""),0,(F1908-C1908)*0.9)</f>
        <v>0.469234199845619</v>
      </c>
      <c r="H1908" s="26" t="n">
        <f aca="false">IF(A1908&lt;Resumen!$B$11,"",IF(H1907="",0,H1907)+G1908/Resumen!$B$9)</f>
        <v>1.76689678647013</v>
      </c>
      <c r="I1908" s="26" t="n">
        <f aca="false">IF(H1908="","",H1908-AVERAGE(H1860:H1936))</f>
        <v>0.324709205890529</v>
      </c>
      <c r="J1908" s="27" t="n">
        <f aca="false">IF(I1908="","",Resumen!$B$10-(MAX(I1860:I1936)-I1908))</f>
        <v>1.31725598967742</v>
      </c>
    </row>
    <row r="1909" customFormat="false" ht="15" hidden="false" customHeight="false" outlineLevel="0" collapsed="false">
      <c r="A1909" s="24" t="n">
        <v>46281.2604166667</v>
      </c>
      <c r="B1909" s="10" t="n">
        <v>7.3432</v>
      </c>
      <c r="C1909" s="10" t="n">
        <v>3.7311</v>
      </c>
      <c r="D1909" s="10" t="n">
        <f aca="false">IF(OR(B1909="",C1909="",B1909&lt;=0.05,C1909&lt;=0.05),0,1)</f>
        <v>1</v>
      </c>
      <c r="E1909" s="25" t="n">
        <f aca="false">IF(OR(A1909&lt;Resumen!$B$6,A1909&gt;=Resumen!$B$7),0,MAX(0,AVERAGEIFS(B1861:B1936,D1861:D1936,1)-Resumen!$B$5*AVERAGEIFS(C1861:C1936,D1861:D1936,1)))</f>
        <v>1.57441433571429</v>
      </c>
      <c r="F1909" s="10" t="n">
        <f aca="false">IF(B1909="","",(B1909-E1909)/Resumen!$B$5)</f>
        <v>4.58203785884489</v>
      </c>
      <c r="G1909" s="10" t="n">
        <f aca="false">IF(OR(F1909="",C1909=""),0,(F1909-C1909)*0.9)</f>
        <v>0.765844072960399</v>
      </c>
      <c r="H1909" s="26" t="n">
        <f aca="false">IF(A1909&lt;Resumen!$B$11,"",IF(H1908="",0,H1908)+G1909/Resumen!$B$9)</f>
        <v>1.80309738562124</v>
      </c>
      <c r="I1909" s="26" t="n">
        <f aca="false">IF(H1909="","",H1909-AVERAGE(H1861:H1936))</f>
        <v>0.357823163054509</v>
      </c>
      <c r="J1909" s="27" t="n">
        <f aca="false">IF(I1909="","",Resumen!$B$10-(MAX(I1861:I1936)-I1909))</f>
        <v>1.3503699468414</v>
      </c>
    </row>
    <row r="1910" customFormat="false" ht="15" hidden="false" customHeight="false" outlineLevel="0" collapsed="false">
      <c r="A1910" s="24" t="n">
        <v>46281.2708333333</v>
      </c>
      <c r="B1910" s="10" t="n">
        <v>5.9413</v>
      </c>
      <c r="C1910" s="10" t="n">
        <v>2.3186</v>
      </c>
      <c r="D1910" s="10" t="n">
        <f aca="false">IF(OR(B1910="",C1910="",B1910&lt;=0.05,C1910&lt;=0.05),0,1)</f>
        <v>1</v>
      </c>
      <c r="E1910" s="25" t="n">
        <f aca="false">IF(OR(A1910&lt;Resumen!$B$6,A1910&gt;=Resumen!$B$7),0,MAX(0,AVERAGEIFS(B1862:B1936,D1862:D1936,1)-Resumen!$B$5*AVERAGEIFS(C1862:C1936,D1862:D1936,1)))</f>
        <v>1.57125274782609</v>
      </c>
      <c r="F1910" s="10" t="n">
        <f aca="false">IF(B1910="","",(B1910-E1910)/Resumen!$B$5)</f>
        <v>3.47104626860517</v>
      </c>
      <c r="G1910" s="10" t="n">
        <f aca="false">IF(OR(F1910="",C1910=""),0,(F1910-C1910)*0.9)</f>
        <v>1.03720164174466</v>
      </c>
      <c r="H1910" s="26" t="n">
        <f aca="false">IF(A1910&lt;Resumen!$B$11,"",IF(H1909="",0,H1909)+G1910/Resumen!$B$9)</f>
        <v>1.85212475580971</v>
      </c>
      <c r="I1910" s="26" t="n">
        <f aca="false">IF(H1910="","",H1910-AVERAGE(H1862:H1936))</f>
        <v>0.403577415814507</v>
      </c>
      <c r="J1910" s="27" t="n">
        <f aca="false">IF(I1910="","",Resumen!$B$10-(MAX(I1862:I1936)-I1910))</f>
        <v>1.3961241996014</v>
      </c>
    </row>
    <row r="1911" customFormat="false" ht="15" hidden="false" customHeight="false" outlineLevel="0" collapsed="false">
      <c r="A1911" s="24" t="n">
        <v>46281.28125</v>
      </c>
      <c r="B1911" s="10" t="n">
        <v>6.7351</v>
      </c>
      <c r="C1911" s="10" t="n">
        <v>2.4509</v>
      </c>
      <c r="D1911" s="10" t="n">
        <f aca="false">IF(OR(B1911="",C1911="",B1911&lt;=0.05,C1911&lt;=0.05),0,1)</f>
        <v>1</v>
      </c>
      <c r="E1911" s="25" t="n">
        <f aca="false">IF(OR(A1911&lt;Resumen!$B$6,A1911&gt;=Resumen!$B$7),0,MAX(0,AVERAGEIFS(B1863:B1936,D1863:D1936,1)-Resumen!$B$5*AVERAGEIFS(C1863:C1936,D1863:D1936,1)))</f>
        <v>1.56689401176471</v>
      </c>
      <c r="F1911" s="10" t="n">
        <f aca="false">IF(B1911="","",(B1911-E1911)/Resumen!$B$5)</f>
        <v>4.10500872774845</v>
      </c>
      <c r="G1911" s="10" t="n">
        <f aca="false">IF(OR(F1911="",C1911=""),0,(F1911-C1911)*0.9)</f>
        <v>1.4886978549736</v>
      </c>
      <c r="H1911" s="26" t="n">
        <f aca="false">IF(A1911&lt;Resumen!$B$11,"",IF(H1910="",0,H1910)+G1911/Resumen!$B$9)</f>
        <v>1.92249385078317</v>
      </c>
      <c r="I1911" s="26" t="n">
        <f aca="false">IF(H1911="","",H1911-AVERAGE(H1863:H1936))</f>
        <v>0.470509606849513</v>
      </c>
      <c r="J1911" s="27" t="n">
        <f aca="false">IF(I1911="","",Resumen!$B$10-(MAX(I1863:I1936)-I1911))</f>
        <v>1.4630563906364</v>
      </c>
    </row>
    <row r="1912" customFormat="false" ht="15" hidden="false" customHeight="false" outlineLevel="0" collapsed="false">
      <c r="A1912" s="24" t="n">
        <v>46281.2916666667</v>
      </c>
      <c r="B1912" s="10" t="n">
        <v>6.6009</v>
      </c>
      <c r="C1912" s="10" t="n">
        <v>3.5249</v>
      </c>
      <c r="D1912" s="10" t="n">
        <f aca="false">IF(OR(B1912="",C1912="",B1912&lt;=0.05,C1912&lt;=0.05),0,1)</f>
        <v>1</v>
      </c>
      <c r="E1912" s="25" t="n">
        <f aca="false">IF(OR(A1912&lt;Resumen!$B$6,A1912&gt;=Resumen!$B$7),0,MAX(0,AVERAGEIFS(B1864:B1936,D1864:D1936,1)-Resumen!$B$5*AVERAGEIFS(C1864:C1936,D1864:D1936,1)))</f>
        <v>1.57434444328358</v>
      </c>
      <c r="F1912" s="10" t="n">
        <f aca="false">IF(B1912="","",(B1912-E1912)/Resumen!$B$5)</f>
        <v>3.99249845648643</v>
      </c>
      <c r="G1912" s="10" t="n">
        <f aca="false">IF(OR(F1912="",C1912=""),0,(F1912-C1912)*0.9)</f>
        <v>0.42083861083779</v>
      </c>
      <c r="H1912" s="26" t="n">
        <f aca="false">IF(A1912&lt;Resumen!$B$11,"",IF(H1911="",0,H1911)+G1912/Resumen!$B$9)</f>
        <v>1.94238642473672</v>
      </c>
      <c r="I1912" s="26" t="n">
        <f aca="false">IF(H1912="","",H1912-AVERAGE(H1864:H1936))</f>
        <v>0.486422410849963</v>
      </c>
      <c r="J1912" s="27" t="n">
        <f aca="false">IF(I1912="","",Resumen!$B$10-(MAX(I1864:I1936)-I1912))</f>
        <v>1.47896919463685</v>
      </c>
    </row>
    <row r="1913" customFormat="false" ht="15" hidden="false" customHeight="false" outlineLevel="0" collapsed="false">
      <c r="A1913" s="24" t="n">
        <v>46281.3020833333</v>
      </c>
      <c r="B1913" s="10" t="n">
        <v>6.1761</v>
      </c>
      <c r="C1913" s="10" t="n">
        <v>3.4924</v>
      </c>
      <c r="D1913" s="10" t="n">
        <f aca="false">IF(OR(B1913="",C1913="",B1913&lt;=0.05,C1913&lt;=0.05),0,1)</f>
        <v>1</v>
      </c>
      <c r="E1913" s="25" t="n">
        <f aca="false">IF(OR(A1913&lt;Resumen!$B$6,A1913&gt;=Resumen!$B$7),0,MAX(0,AVERAGEIFS(B1865:B1936,D1865:D1936,1)-Resumen!$B$5*AVERAGEIFS(C1865:C1936,D1865:D1936,1)))</f>
        <v>1.57649737575758</v>
      </c>
      <c r="F1913" s="10" t="n">
        <f aca="false">IF(B1913="","",(B1913-E1913)/Resumen!$B$5)</f>
        <v>3.65337777938239</v>
      </c>
      <c r="G1913" s="10" t="n">
        <f aca="false">IF(OR(F1913="",C1913=""),0,(F1913-C1913)*0.9)</f>
        <v>0.144880001444148</v>
      </c>
      <c r="H1913" s="26" t="n">
        <f aca="false">IF(A1913&lt;Resumen!$B$11,"",IF(H1912="",0,H1912)+G1913/Resumen!$B$9)</f>
        <v>1.949234741571</v>
      </c>
      <c r="I1913" s="26" t="n">
        <f aca="false">IF(H1913="","",H1913-AVERAGE(H1865:H1936))</f>
        <v>0.488892904509322</v>
      </c>
      <c r="J1913" s="27" t="n">
        <f aca="false">IF(I1913="","",Resumen!$B$10-(MAX(I1865:I1936)-I1913))</f>
        <v>1.48143968829621</v>
      </c>
    </row>
    <row r="1914" customFormat="false" ht="15" hidden="false" customHeight="false" outlineLevel="0" collapsed="false">
      <c r="A1914" s="24" t="n">
        <v>46281.3125</v>
      </c>
      <c r="B1914" s="10" t="n">
        <v>6.8073</v>
      </c>
      <c r="C1914" s="10" t="n">
        <v>4.0163</v>
      </c>
      <c r="D1914" s="10" t="n">
        <f aca="false">IF(OR(B1914="",C1914="",B1914&lt;=0.05,C1914&lt;=0.05),0,1)</f>
        <v>1</v>
      </c>
      <c r="E1914" s="25" t="n">
        <f aca="false">IF(OR(A1914&lt;Resumen!$B$6,A1914&gt;=Resumen!$B$7),0,MAX(0,AVERAGEIFS(B1866:B1936,D1866:D1936,1)-Resumen!$B$5*AVERAGEIFS(C1866:C1936,D1866:D1936,1)))</f>
        <v>1.55790603538462</v>
      </c>
      <c r="F1914" s="10" t="n">
        <f aca="false">IF(B1914="","",(B1914-E1914)/Resumen!$B$5)</f>
        <v>4.16949480906702</v>
      </c>
      <c r="G1914" s="10" t="n">
        <f aca="false">IF(OR(F1914="",C1914=""),0,(F1914-C1914)*0.9)</f>
        <v>0.137875328160322</v>
      </c>
      <c r="H1914" s="26" t="n">
        <f aca="false">IF(A1914&lt;Resumen!$B$11,"",IF(H1913="",0,H1913)+G1914/Resumen!$B$9)</f>
        <v>1.95575195527518</v>
      </c>
      <c r="I1914" s="26" t="n">
        <f aca="false">IF(H1914="","",H1914-AVERAGE(H1866:H1936))</f>
        <v>0.491261926742396</v>
      </c>
      <c r="J1914" s="27" t="n">
        <f aca="false">IF(I1914="","",Resumen!$B$10-(MAX(I1866:I1936)-I1914))</f>
        <v>1.48380871052928</v>
      </c>
    </row>
    <row r="1915" customFormat="false" ht="15" hidden="false" customHeight="false" outlineLevel="0" collapsed="false">
      <c r="A1915" s="24" t="n">
        <v>46281.3229166667</v>
      </c>
      <c r="B1915" s="10" t="n">
        <v>8.5673</v>
      </c>
      <c r="C1915" s="10" t="n">
        <v>4.1108</v>
      </c>
      <c r="D1915" s="10" t="n">
        <f aca="false">IF(OR(B1915="",C1915="",B1915&lt;=0.05,C1915&lt;=0.05),0,1)</f>
        <v>1</v>
      </c>
      <c r="E1915" s="25" t="n">
        <f aca="false">IF(OR(A1915&lt;Resumen!$B$6,A1915&gt;=Resumen!$B$7),0,MAX(0,AVERAGEIFS(B1867:B1936,D1867:D1936,1)-Resumen!$B$5*AVERAGEIFS(C1867:C1936,D1867:D1936,1)))</f>
        <v>1.5399642015625</v>
      </c>
      <c r="F1915" s="10" t="n">
        <f aca="false">IF(B1915="","",(B1915-E1915)/Resumen!$B$5)</f>
        <v>5.58168053887013</v>
      </c>
      <c r="G1915" s="10" t="n">
        <f aca="false">IF(OR(F1915="",C1915=""),0,(F1915-C1915)*0.9)</f>
        <v>1.32379248498312</v>
      </c>
      <c r="H1915" s="26" t="n">
        <f aca="false">IF(A1915&lt;Resumen!$B$11,"",IF(H1914="",0,H1914)+G1915/Resumen!$B$9)</f>
        <v>2.01832615647371</v>
      </c>
      <c r="I1915" s="26" t="n">
        <f aca="false">IF(H1915="","",H1915-AVERAGE(H1867:H1936))</f>
        <v>0.549886709391051</v>
      </c>
      <c r="J1915" s="27" t="n">
        <f aca="false">IF(I1915="","",Resumen!$B$10-(MAX(I1867:I1936)-I1915))</f>
        <v>1.54243349317794</v>
      </c>
    </row>
    <row r="1916" customFormat="false" ht="15" hidden="false" customHeight="false" outlineLevel="0" collapsed="false">
      <c r="A1916" s="24" t="n">
        <v>46281.3333333333</v>
      </c>
      <c r="B1916" s="10" t="n">
        <v>7.7397</v>
      </c>
      <c r="C1916" s="10" t="n">
        <v>4.504</v>
      </c>
      <c r="D1916" s="10" t="n">
        <f aca="false">IF(OR(B1916="",C1916="",B1916&lt;=0.05,C1916&lt;=0.05),0,1)</f>
        <v>1</v>
      </c>
      <c r="E1916" s="25" t="n">
        <f aca="false">IF(OR(A1916&lt;Resumen!$B$6,A1916&gt;=Resumen!$B$7),0,MAX(0,AVERAGEIFS(B1868:B1936,D1868:D1936,1)-Resumen!$B$5*AVERAGEIFS(C1868:C1936,D1868:D1936,1)))</f>
        <v>1.54709437936508</v>
      </c>
      <c r="F1916" s="10" t="n">
        <f aca="false">IF(B1916="","",(B1916-E1916)/Resumen!$B$5)</f>
        <v>4.91867007198961</v>
      </c>
      <c r="G1916" s="10" t="n">
        <f aca="false">IF(OR(F1916="",C1916=""),0,(F1916-C1916)*0.9)</f>
        <v>0.373203064790651</v>
      </c>
      <c r="H1916" s="26" t="n">
        <f aca="false">IF(A1916&lt;Resumen!$B$11,"",IF(H1915="",0,H1915)+G1916/Resumen!$B$9)</f>
        <v>2.03596705104671</v>
      </c>
      <c r="I1916" s="26" t="n">
        <f aca="false">IF(H1916="","",H1916-AVERAGE(H1868:H1936))</f>
        <v>0.562985785584158</v>
      </c>
      <c r="J1916" s="27" t="n">
        <f aca="false">IF(I1916="","",Resumen!$B$10-(MAX(I1868:I1936)-I1916))</f>
        <v>1.55553256937105</v>
      </c>
    </row>
    <row r="1917" customFormat="false" ht="15" hidden="false" customHeight="false" outlineLevel="0" collapsed="false">
      <c r="A1917" s="24" t="n">
        <v>46281.34375</v>
      </c>
      <c r="B1917" s="10" t="n">
        <v>6.7992</v>
      </c>
      <c r="C1917" s="10" t="n">
        <v>4.6892</v>
      </c>
      <c r="D1917" s="10" t="n">
        <f aca="false">IF(OR(B1917="",C1917="",B1917&lt;=0.05,C1917&lt;=0.05),0,1)</f>
        <v>1</v>
      </c>
      <c r="E1917" s="25" t="n">
        <f aca="false">IF(OR(A1917&lt;Resumen!$B$6,A1917&gt;=Resumen!$B$7),0,MAX(0,AVERAGEIFS(B1869:B1936,D1869:D1936,1)-Resumen!$B$5*AVERAGEIFS(C1869:C1936,D1869:D1936,1)))</f>
        <v>1.51929646935484</v>
      </c>
      <c r="F1917" s="10" t="n">
        <f aca="false">IF(B1917="","",(B1917-E1917)/Resumen!$B$5)</f>
        <v>4.19372798303825</v>
      </c>
      <c r="G1917" s="10" t="n">
        <f aca="false">IF(OR(F1917="",C1917=""),0,(F1917-C1917)*0.9)</f>
        <v>-0.445924815265572</v>
      </c>
      <c r="H1917" s="26" t="n">
        <f aca="false">IF(A1917&lt;Resumen!$B$11,"",IF(H1916="",0,H1916)+G1917/Resumen!$B$9)</f>
        <v>2.01488868005853</v>
      </c>
      <c r="I1917" s="26" t="n">
        <f aca="false">IF(H1917="","",H1917-AVERAGE(H1869:H1936))</f>
        <v>0.537832477885968</v>
      </c>
      <c r="J1917" s="27" t="n">
        <f aca="false">IF(I1917="","",Resumen!$B$10-(MAX(I1869:I1936)-I1917))</f>
        <v>1.53037926167286</v>
      </c>
    </row>
    <row r="1918" customFormat="false" ht="15" hidden="false" customHeight="false" outlineLevel="0" collapsed="false">
      <c r="A1918" s="24" t="n">
        <v>46281.3541666667</v>
      </c>
      <c r="B1918" s="10" t="n">
        <v>15.3575</v>
      </c>
      <c r="C1918" s="10" t="n">
        <v>4.5816</v>
      </c>
      <c r="D1918" s="10" t="n">
        <f aca="false">IF(OR(B1918="",C1918="",B1918&lt;=0.05,C1918&lt;=0.05),0,1)</f>
        <v>1</v>
      </c>
      <c r="E1918" s="25" t="n">
        <f aca="false">IF(OR(A1918&lt;Resumen!$B$6,A1918&gt;=Resumen!$B$7),0,MAX(0,AVERAGEIFS(B1870:B1936,D1870:D1936,1)-Resumen!$B$5*AVERAGEIFS(C1870:C1936,D1870:D1936,1)))</f>
        <v>0</v>
      </c>
      <c r="F1918" s="10" t="n">
        <f aca="false">IF(B1918="","",(B1918-E1918)/Resumen!$B$5)</f>
        <v>12.1981731532963</v>
      </c>
      <c r="G1918" s="10" t="n">
        <f aca="false">IF(OR(F1918="",C1918=""),0,(F1918-C1918)*0.9)</f>
        <v>6.85491583796664</v>
      </c>
      <c r="H1918" s="26" t="n">
        <f aca="false">IF(A1918&lt;Resumen!$B$11,"",IF(H1917="",0,H1917)+G1918/Resumen!$B$9)</f>
        <v>2.33891294194984</v>
      </c>
      <c r="I1918" s="26" t="n">
        <f aca="false">IF(H1918="","",H1918-AVERAGE(H1870:H1936))</f>
        <v>0.857453216213112</v>
      </c>
      <c r="J1918" s="27" t="n">
        <f aca="false">IF(I1918="","",Resumen!$B$10-(MAX(I1870:I1936)-I1918))</f>
        <v>1.85</v>
      </c>
    </row>
    <row r="1919" customFormat="false" ht="15" hidden="false" customHeight="false" outlineLevel="0" collapsed="false">
      <c r="A1919" s="24" t="n">
        <v>46281.3645833333</v>
      </c>
      <c r="B1919" s="10" t="n">
        <v>0.5381</v>
      </c>
      <c r="C1919" s="10" t="n">
        <v>5.1616</v>
      </c>
      <c r="D1919" s="10" t="n">
        <f aca="false">IF(OR(B1919="",C1919="",B1919&lt;=0.05,C1919&lt;=0.05),0,1)</f>
        <v>1</v>
      </c>
      <c r="E1919" s="25" t="n">
        <f aca="false">IF(OR(A1919&lt;Resumen!$B$6,A1919&gt;=Resumen!$B$7),0,MAX(0,AVERAGEIFS(B1871:B1936,D1871:D1936,1)-Resumen!$B$5*AVERAGEIFS(C1871:C1936,D1871:D1936,1)))</f>
        <v>0</v>
      </c>
      <c r="F1919" s="10" t="n">
        <f aca="false">IF(B1919="","",(B1919-E1919)/Resumen!$B$5)</f>
        <v>0.427402700555997</v>
      </c>
      <c r="G1919" s="10" t="n">
        <f aca="false">IF(OR(F1919="",C1919=""),0,(F1919-C1919)*0.9)</f>
        <v>-4.2607775694996</v>
      </c>
      <c r="H1919" s="26" t="n">
        <f aca="false">IF(A1919&lt;Resumen!$B$11,"",IF(H1918="",0,H1918)+G1919/Resumen!$B$9)</f>
        <v>2.1375107162079</v>
      </c>
      <c r="I1919" s="26" t="n">
        <f aca="false">IF(H1919="","",H1919-AVERAGE(H1871:H1936))</f>
        <v>0.651243975361806</v>
      </c>
      <c r="J1919" s="27" t="n">
        <f aca="false">IF(I1919="","",Resumen!$B$10-(MAX(I1871:I1936)-I1919))</f>
        <v>1.64379075914869</v>
      </c>
    </row>
    <row r="1920" customFormat="false" ht="15" hidden="false" customHeight="false" outlineLevel="0" collapsed="false">
      <c r="A1920" s="24" t="n">
        <v>46281.375</v>
      </c>
      <c r="B1920" s="10" t="n">
        <v>1.8293</v>
      </c>
      <c r="C1920" s="10" t="n">
        <v>5.3367</v>
      </c>
      <c r="D1920" s="10" t="n">
        <f aca="false">IF(OR(B1920="",C1920="",B1920&lt;=0.05,C1920&lt;=0.05),0,1)</f>
        <v>1</v>
      </c>
      <c r="E1920" s="25" t="n">
        <f aca="false">IF(OR(A1920&lt;Resumen!$B$6,A1920&gt;=Resumen!$B$7),0,MAX(0,AVERAGEIFS(B1872:B1936,D1872:D1936,1)-Resumen!$B$5*AVERAGEIFS(C1872:C1936,D1872:D1936,1)))</f>
        <v>0</v>
      </c>
      <c r="F1920" s="10" t="n">
        <f aca="false">IF(B1920="","",(B1920-E1920)/Resumen!$B$5)</f>
        <v>1.45297855440826</v>
      </c>
      <c r="G1920" s="10" t="n">
        <f aca="false">IF(OR(F1920="",C1920=""),0,(F1920-C1920)*0.9)</f>
        <v>-3.49534930103257</v>
      </c>
      <c r="H1920" s="26" t="n">
        <f aca="false">IF(A1920&lt;Resumen!$B$11,"",IF(H1919="",0,H1919)+G1920/Resumen!$B$9)</f>
        <v>1.97228943500026</v>
      </c>
      <c r="I1920" s="26" t="n">
        <f aca="false">IF(H1920="","",H1920-AVERAGE(H1872:H1936))</f>
        <v>0.481455813269484</v>
      </c>
      <c r="J1920" s="27" t="n">
        <f aca="false">IF(I1920="","",Resumen!$B$10-(MAX(I1872:I1936)-I1920))</f>
        <v>1.47400259705637</v>
      </c>
    </row>
    <row r="1921" customFormat="false" ht="15" hidden="false" customHeight="false" outlineLevel="0" collapsed="false">
      <c r="A1921" s="24" t="n">
        <v>46281.3854166667</v>
      </c>
      <c r="B1921" s="10" t="n">
        <v>1.8608</v>
      </c>
      <c r="C1921" s="10" t="n">
        <v>4.4651</v>
      </c>
      <c r="D1921" s="10" t="n">
        <f aca="false">IF(OR(B1921="",C1921="",B1921&lt;=0.05,C1921&lt;=0.05),0,1)</f>
        <v>1</v>
      </c>
      <c r="E1921" s="25" t="n">
        <f aca="false">IF(OR(A1921&lt;Resumen!$B$6,A1921&gt;=Resumen!$B$7),0,MAX(0,AVERAGEIFS(B1873:B1936,D1873:D1936,1)-Resumen!$B$5*AVERAGEIFS(C1873:C1936,D1873:D1936,1)))</f>
        <v>0</v>
      </c>
      <c r="F1921" s="10" t="n">
        <f aca="false">IF(B1921="","",(B1921-E1921)/Resumen!$B$5)</f>
        <v>1.47799841143765</v>
      </c>
      <c r="G1921" s="10" t="n">
        <f aca="false">IF(OR(F1921="",C1921=""),0,(F1921-C1921)*0.9)</f>
        <v>-2.68839142970612</v>
      </c>
      <c r="H1921" s="26" t="n">
        <f aca="false">IF(A1921&lt;Resumen!$B$11,"",IF(H1920="",0,H1920)+G1921/Resumen!$B$9)</f>
        <v>1.8452121565513</v>
      </c>
      <c r="I1921" s="26" t="n">
        <f aca="false">IF(H1921="","",H1921-AVERAGE(H1873:H1936))</f>
        <v>0.349139755141392</v>
      </c>
      <c r="J1921" s="27" t="n">
        <f aca="false">IF(I1921="","",Resumen!$B$10-(MAX(I1873:I1936)-I1921))</f>
        <v>1.34168653892828</v>
      </c>
    </row>
    <row r="1922" customFormat="false" ht="15" hidden="false" customHeight="false" outlineLevel="0" collapsed="false">
      <c r="A1922" s="24" t="n">
        <v>46281.3958333333</v>
      </c>
      <c r="B1922" s="10" t="n">
        <v>0</v>
      </c>
      <c r="C1922" s="10" t="n">
        <v>5.0225</v>
      </c>
      <c r="D1922" s="10" t="n">
        <f aca="false">IF(OR(B1922="",C1922="",B1922&lt;=0.05,C1922&lt;=0.05),0,1)</f>
        <v>0</v>
      </c>
      <c r="E1922" s="25" t="n">
        <f aca="false">IF(OR(A1922&lt;Resumen!$B$6,A1922&gt;=Resumen!$B$7),0,MAX(0,AVERAGEIFS(B1874:B1936,D1874:D1936,1)-Resumen!$B$5*AVERAGEIFS(C1874:C1936,D1874:D1936,1)))</f>
        <v>0</v>
      </c>
      <c r="F1922" s="10" t="n">
        <f aca="false">IF(B1922="","",(B1922-E1922)/Resumen!$B$5)</f>
        <v>0</v>
      </c>
      <c r="G1922" s="10" t="n">
        <f aca="false">IF(OR(F1922="",C1922=""),0,(F1922-C1922)*0.9)</f>
        <v>-4.52025</v>
      </c>
      <c r="H1922" s="26" t="n">
        <f aca="false">IF(A1922&lt;Resumen!$B$11,"",IF(H1921="",0,H1921)+G1922/Resumen!$B$9)</f>
        <v>1.63154495706477</v>
      </c>
      <c r="I1922" s="26" t="n">
        <f aca="false">IF(H1922="","",H1922-AVERAGE(H1874:H1936))</f>
        <v>0.12985420524296</v>
      </c>
      <c r="J1922" s="27" t="n">
        <f aca="false">IF(I1922="","",Resumen!$B$10-(MAX(I1874:I1936)-I1922))</f>
        <v>1.12240098902985</v>
      </c>
    </row>
    <row r="1923" customFormat="false" ht="15" hidden="false" customHeight="false" outlineLevel="0" collapsed="false">
      <c r="A1923" s="24" t="n">
        <v>46281.40625</v>
      </c>
      <c r="B1923" s="10" t="n">
        <v>11.6171</v>
      </c>
      <c r="C1923" s="10" t="n">
        <v>3.7205</v>
      </c>
      <c r="D1923" s="10" t="n">
        <f aca="false">IF(OR(B1923="",C1923="",B1923&lt;=0.05,C1923&lt;=0.05),0,1)</f>
        <v>1</v>
      </c>
      <c r="E1923" s="25" t="n">
        <f aca="false">IF(OR(A1923&lt;Resumen!$B$6,A1923&gt;=Resumen!$B$7),0,MAX(0,AVERAGEIFS(B1875:B1936,D1875:D1936,1)-Resumen!$B$5*AVERAGEIFS(C1875:C1936,D1875:D1936,1)))</f>
        <v>0</v>
      </c>
      <c r="F1923" s="10" t="n">
        <f aca="false">IF(B1923="","",(B1923-E1923)/Resumen!$B$5)</f>
        <v>9.22724384432089</v>
      </c>
      <c r="G1923" s="10" t="n">
        <f aca="false">IF(OR(F1923="",C1923=""),0,(F1923-C1923)*0.9)</f>
        <v>4.9560694598888</v>
      </c>
      <c r="H1923" s="26" t="n">
        <f aca="false">IF(A1923&lt;Resumen!$B$11,"",IF(H1922="",0,H1922)+G1923/Resumen!$B$9)</f>
        <v>1.86581285860897</v>
      </c>
      <c r="I1923" s="26" t="n">
        <f aca="false">IF(H1923="","",H1923-AVERAGE(H1875:H1936))</f>
        <v>0.358323143196011</v>
      </c>
      <c r="J1923" s="27" t="n">
        <f aca="false">IF(I1923="","",Resumen!$B$10-(MAX(I1875:I1936)-I1923))</f>
        <v>1.3508699269829</v>
      </c>
    </row>
    <row r="1924" customFormat="false" ht="15" hidden="false" customHeight="false" outlineLevel="0" collapsed="false">
      <c r="A1924" s="24" t="n">
        <v>46281.4166666667</v>
      </c>
      <c r="B1924" s="10" t="n">
        <v>10.9387</v>
      </c>
      <c r="C1924" s="10" t="n">
        <v>3.7689</v>
      </c>
      <c r="D1924" s="10" t="n">
        <f aca="false">IF(OR(B1924="",C1924="",B1924&lt;=0.05,C1924&lt;=0.05),0,1)</f>
        <v>1</v>
      </c>
      <c r="E1924" s="25" t="n">
        <f aca="false">IF(OR(A1924&lt;Resumen!$B$6,A1924&gt;=Resumen!$B$7),0,MAX(0,AVERAGEIFS(B1876:B1936,D1876:D1936,1)-Resumen!$B$5*AVERAGEIFS(C1876:C1936,D1876:D1936,1)))</f>
        <v>0</v>
      </c>
      <c r="F1924" s="10" t="n">
        <f aca="false">IF(B1924="","",(B1924-E1924)/Resumen!$B$5)</f>
        <v>8.68840349483717</v>
      </c>
      <c r="G1924" s="10" t="n">
        <f aca="false">IF(OR(F1924="",C1924=""),0,(F1924-C1924)*0.9)</f>
        <v>4.42755314535346</v>
      </c>
      <c r="H1924" s="26" t="n">
        <f aca="false">IF(A1924&lt;Resumen!$B$11,"",IF(H1923="",0,H1923)+G1924/Resumen!$B$9)</f>
        <v>2.07509838068086</v>
      </c>
      <c r="I1924" s="26" t="n">
        <f aca="false">IF(H1924="","",H1924-AVERAGE(H1876:H1936))</f>
        <v>0.561474899543224</v>
      </c>
      <c r="J1924" s="27" t="n">
        <f aca="false">IF(I1924="","",Resumen!$B$10-(MAX(I1876:I1936)-I1924))</f>
        <v>1.55402168333011</v>
      </c>
    </row>
    <row r="1925" customFormat="false" ht="15" hidden="false" customHeight="false" outlineLevel="0" collapsed="false">
      <c r="A1925" s="24" t="n">
        <v>46281.4270833333</v>
      </c>
      <c r="B1925" s="10" t="n">
        <v>0.728</v>
      </c>
      <c r="C1925" s="10" t="n">
        <v>4.5129</v>
      </c>
      <c r="D1925" s="10" t="n">
        <f aca="false">IF(OR(B1925="",C1925="",B1925&lt;=0.05,C1925&lt;=0.05),0,1)</f>
        <v>1</v>
      </c>
      <c r="E1925" s="25" t="n">
        <f aca="false">IF(OR(A1925&lt;Resumen!$B$6,A1925&gt;=Resumen!$B$7),0,MAX(0,AVERAGEIFS(B1877:B1936,D1877:D1936,1)-Resumen!$B$5*AVERAGEIFS(C1877:C1936,D1877:D1936,1)))</f>
        <v>0</v>
      </c>
      <c r="F1925" s="10" t="n">
        <f aca="false">IF(B1925="","",(B1925-E1925)/Resumen!$B$5)</f>
        <v>0.57823669579031</v>
      </c>
      <c r="G1925" s="10" t="n">
        <f aca="false">IF(OR(F1925="",C1925=""),0,(F1925-C1925)*0.9)</f>
        <v>-3.54119697378872</v>
      </c>
      <c r="H1925" s="26" t="n">
        <f aca="false">IF(A1925&lt;Resumen!$B$11,"",IF(H1924="",0,H1924)+G1925/Resumen!$B$9)</f>
        <v>1.90770993087839</v>
      </c>
      <c r="I1925" s="26" t="n">
        <f aca="false">IF(H1925="","",H1925-AVERAGE(H1877:H1936))</f>
        <v>0.387204865189342</v>
      </c>
      <c r="J1925" s="27" t="n">
        <f aca="false">IF(I1925="","",Resumen!$B$10-(MAX(I1877:I1936)-I1925))</f>
        <v>1.37975164897623</v>
      </c>
    </row>
    <row r="1926" customFormat="false" ht="15" hidden="false" customHeight="false" outlineLevel="0" collapsed="false">
      <c r="A1926" s="24" t="n">
        <v>46281.4375</v>
      </c>
      <c r="B1926" s="10" t="n">
        <v>0.6902</v>
      </c>
      <c r="C1926" s="10" t="n">
        <v>4.2647</v>
      </c>
      <c r="D1926" s="10" t="n">
        <f aca="false">IF(OR(B1926="",C1926="",B1926&lt;=0.05,C1926&lt;=0.05),0,1)</f>
        <v>1</v>
      </c>
      <c r="E1926" s="25" t="n">
        <f aca="false">IF(OR(A1926&lt;Resumen!$B$6,A1926&gt;=Resumen!$B$7),0,MAX(0,AVERAGEIFS(B1878:B1936,D1878:D1936,1)-Resumen!$B$5*AVERAGEIFS(C1878:C1936,D1878:D1936,1)))</f>
        <v>0</v>
      </c>
      <c r="F1926" s="10" t="n">
        <f aca="false">IF(B1926="","",(B1926-E1926)/Resumen!$B$5)</f>
        <v>0.548212867355044</v>
      </c>
      <c r="G1926" s="10" t="n">
        <f aca="false">IF(OR(F1926="",C1926=""),0,(F1926-C1926)*0.9)</f>
        <v>-3.34483841938046</v>
      </c>
      <c r="H1926" s="26" t="n">
        <f aca="false">IF(A1926&lt;Resumen!$B$11,"",IF(H1925="",0,H1925)+G1926/Resumen!$B$9)</f>
        <v>1.74960313196152</v>
      </c>
      <c r="I1926" s="26" t="n">
        <f aca="false">IF(H1926="","",H1926-AVERAGE(H1878:H1936))</f>
        <v>0.22235713946332</v>
      </c>
      <c r="J1926" s="27" t="n">
        <f aca="false">IF(I1926="","",Resumen!$B$10-(MAX(I1878:I1936)-I1926))</f>
        <v>1.21490392325021</v>
      </c>
    </row>
    <row r="1927" customFormat="false" ht="15" hidden="false" customHeight="false" outlineLevel="0" collapsed="false">
      <c r="A1927" s="24" t="n">
        <v>46281.4479166667</v>
      </c>
      <c r="B1927" s="10" t="n">
        <v>0.6287</v>
      </c>
      <c r="C1927" s="10" t="n">
        <v>4.2304</v>
      </c>
      <c r="D1927" s="10" t="n">
        <f aca="false">IF(OR(B1927="",C1927="",B1927&lt;=0.05,C1927&lt;=0.05),0,1)</f>
        <v>1</v>
      </c>
      <c r="E1927" s="25" t="n">
        <f aca="false">IF(OR(A1927&lt;Resumen!$B$6,A1927&gt;=Resumen!$B$7),0,MAX(0,AVERAGEIFS(B1879:B1936,D1879:D1936,1)-Resumen!$B$5*AVERAGEIFS(C1879:C1936,D1879:D1936,1)))</f>
        <v>0</v>
      </c>
      <c r="F1927" s="10" t="n">
        <f aca="false">IF(B1927="","",(B1927-E1927)/Resumen!$B$5)</f>
        <v>0.499364575059571</v>
      </c>
      <c r="G1927" s="10" t="n">
        <f aca="false">IF(OR(F1927="",C1927=""),0,(F1927-C1927)*0.9)</f>
        <v>-3.35793188244639</v>
      </c>
      <c r="H1927" s="26" t="n">
        <f aca="false">IF(A1927&lt;Resumen!$B$11,"",IF(H1926="",0,H1926)+G1927/Resumen!$B$9)</f>
        <v>1.59087741958082</v>
      </c>
      <c r="I1927" s="26" t="n">
        <f aca="false">IF(H1927="","",H1927-AVERAGE(H1879:H1936))</f>
        <v>0.0566812713746512</v>
      </c>
      <c r="J1927" s="27" t="n">
        <f aca="false">IF(I1927="","",Resumen!$B$10-(MAX(I1879:I1936)-I1927))</f>
        <v>1.04922805516154</v>
      </c>
    </row>
    <row r="1928" customFormat="false" ht="15" hidden="false" customHeight="false" outlineLevel="0" collapsed="false">
      <c r="A1928" s="24" t="n">
        <v>46281.4583333333</v>
      </c>
      <c r="B1928" s="10" t="n">
        <v>1.3925</v>
      </c>
      <c r="C1928" s="10" t="n">
        <v>4.9368</v>
      </c>
      <c r="D1928" s="10" t="n">
        <f aca="false">IF(OR(B1928="",C1928="",B1928&lt;=0.05,C1928&lt;=0.05),0,1)</f>
        <v>1</v>
      </c>
      <c r="E1928" s="25" t="n">
        <f aca="false">IF(OR(A1928&lt;Resumen!$B$6,A1928&gt;=Resumen!$B$7),0,MAX(0,AVERAGEIFS(B1880:B1936,D1880:D1936,1)-Resumen!$B$5*AVERAGEIFS(C1880:C1936,D1880:D1936,1)))</f>
        <v>0</v>
      </c>
      <c r="F1928" s="10" t="n">
        <f aca="false">IF(B1928="","",(B1928-E1928)/Resumen!$B$5)</f>
        <v>1.10603653693407</v>
      </c>
      <c r="G1928" s="10" t="n">
        <f aca="false">IF(OR(F1928="",C1928=""),0,(F1928-C1928)*0.9)</f>
        <v>-3.44768711675933</v>
      </c>
      <c r="H1928" s="26" t="n">
        <f aca="false">IF(A1928&lt;Resumen!$B$11,"",IF(H1927="",0,H1927)+G1928/Resumen!$B$9)</f>
        <v>1.4279090769131</v>
      </c>
      <c r="I1928" s="26" t="n">
        <f aca="false">IF(H1928="","",H1928-AVERAGE(H1880:H1936))</f>
        <v>-0.113435817495484</v>
      </c>
      <c r="J1928" s="27" t="n">
        <f aca="false">IF(I1928="","",Resumen!$B$10-(MAX(I1880:I1936)-I1928))</f>
        <v>0.879110966291404</v>
      </c>
    </row>
    <row r="1929" customFormat="false" ht="15" hidden="false" customHeight="false" outlineLevel="0" collapsed="false">
      <c r="A1929" s="24" t="n">
        <v>46281.46875</v>
      </c>
      <c r="B1929" s="10" t="n">
        <v>2.2824</v>
      </c>
      <c r="C1929" s="10" t="n">
        <v>5.2437</v>
      </c>
      <c r="D1929" s="10" t="n">
        <f aca="false">IF(OR(B1929="",C1929="",B1929&lt;=0.05,C1929&lt;=0.05),0,1)</f>
        <v>1</v>
      </c>
      <c r="E1929" s="25" t="n">
        <f aca="false">IF(OR(A1929&lt;Resumen!$B$6,A1929&gt;=Resumen!$B$7),0,MAX(0,AVERAGEIFS(B1881:B1936,D1881:D1936,1)-Resumen!$B$5*AVERAGEIFS(C1881:C1936,D1881:D1936,1)))</f>
        <v>0</v>
      </c>
      <c r="F1929" s="10" t="n">
        <f aca="false">IF(B1929="","",(B1929-E1929)/Resumen!$B$5)</f>
        <v>1.81286735504369</v>
      </c>
      <c r="G1929" s="10" t="n">
        <f aca="false">IF(OR(F1929="",C1929=""),0,(F1929-C1929)*0.9)</f>
        <v>-3.08774938046068</v>
      </c>
      <c r="H1929" s="26" t="n">
        <f aca="false">IF(A1929&lt;Resumen!$B$11,"",IF(H1928="",0,H1928)+G1929/Resumen!$B$9)</f>
        <v>1.28195459146666</v>
      </c>
      <c r="I1929" s="26" t="n">
        <f aca="false">IF(H1929="","",H1929-AVERAGE(H1881:H1936))</f>
        <v>-0.266475461640219</v>
      </c>
      <c r="J1929" s="27" t="n">
        <f aca="false">IF(I1929="","",Resumen!$B$10-(MAX(I1881:I1936)-I1929))</f>
        <v>0.726071322146668</v>
      </c>
    </row>
    <row r="1930" customFormat="false" ht="15" hidden="false" customHeight="false" outlineLevel="0" collapsed="false">
      <c r="A1930" s="24" t="n">
        <v>46281.4791666667</v>
      </c>
      <c r="B1930" s="10" t="n">
        <v>8.2947</v>
      </c>
      <c r="C1930" s="10" t="n">
        <v>5.5759</v>
      </c>
      <c r="D1930" s="10" t="n">
        <f aca="false">IF(OR(B1930="",C1930="",B1930&lt;=0.05,C1930&lt;=0.05),0,1)</f>
        <v>1</v>
      </c>
      <c r="E1930" s="25" t="n">
        <f aca="false">IF(OR(A1930&lt;Resumen!$B$6,A1930&gt;=Resumen!$B$7),0,MAX(0,AVERAGEIFS(B1882:B1936,D1882:D1936,1)-Resumen!$B$5*AVERAGEIFS(C1882:C1936,D1882:D1936,1)))</f>
        <v>0</v>
      </c>
      <c r="F1930" s="10" t="n">
        <f aca="false">IF(B1930="","",(B1930-E1930)/Resumen!$B$5)</f>
        <v>6.58832406671962</v>
      </c>
      <c r="G1930" s="10" t="n">
        <f aca="false">IF(OR(F1930="",C1930=""),0,(F1930-C1930)*0.9)</f>
        <v>0.911181660047658</v>
      </c>
      <c r="H1930" s="26" t="n">
        <f aca="false">IF(A1930&lt;Resumen!$B$11,"",IF(H1929="",0,H1929)+G1930/Resumen!$B$9)</f>
        <v>1.32502513701743</v>
      </c>
      <c r="I1930" s="26" t="n">
        <f aca="false">IF(H1930="","",H1930-AVERAGE(H1882:H1936))</f>
        <v>-0.230007705333476</v>
      </c>
      <c r="J1930" s="27" t="n">
        <f aca="false">IF(I1930="","",Resumen!$B$10-(MAX(I1882:I1936)-I1930))</f>
        <v>0.762539078453411</v>
      </c>
    </row>
    <row r="1931" customFormat="false" ht="15" hidden="false" customHeight="false" outlineLevel="0" collapsed="false">
      <c r="A1931" s="24" t="n">
        <v>46281.4895833333</v>
      </c>
      <c r="B1931" s="10" t="n">
        <v>7.1295</v>
      </c>
      <c r="C1931" s="10" t="n">
        <v>4.9875</v>
      </c>
      <c r="D1931" s="10" t="n">
        <f aca="false">IF(OR(B1931="",C1931="",B1931&lt;=0.05,C1931&lt;=0.05),0,1)</f>
        <v>1</v>
      </c>
      <c r="E1931" s="25" t="n">
        <f aca="false">IF(OR(A1931&lt;Resumen!$B$6,A1931&gt;=Resumen!$B$7),0,MAX(0,AVERAGEIFS(B1883:B1936,D1883:D1936,1)-Resumen!$B$5*AVERAGEIFS(C1883:C1936,D1883:D1936,1)))</f>
        <v>0</v>
      </c>
      <c r="F1931" s="10" t="n">
        <f aca="false">IF(B1931="","",(B1931-E1931)/Resumen!$B$5)</f>
        <v>5.66282764098491</v>
      </c>
      <c r="G1931" s="10" t="n">
        <f aca="false">IF(OR(F1931="",C1931=""),0,(F1931-C1931)*0.9)</f>
        <v>0.607794876886419</v>
      </c>
      <c r="H1931" s="26" t="n">
        <f aca="false">IF(A1931&lt;Resumen!$B$11,"",IF(H1930="",0,H1930)+G1931/Resumen!$B$9)</f>
        <v>1.35375492612347</v>
      </c>
      <c r="I1931" s="26" t="n">
        <f aca="false">IF(H1931="","",H1931-AVERAGE(H1883:H1936))</f>
        <v>-0.207539661826355</v>
      </c>
      <c r="J1931" s="27" t="n">
        <f aca="false">IF(I1931="","",Resumen!$B$10-(MAX(I1883:I1936)-I1931))</f>
        <v>0.785007121960533</v>
      </c>
    </row>
    <row r="1932" customFormat="false" ht="15" hidden="false" customHeight="false" outlineLevel="0" collapsed="false">
      <c r="A1932" s="24" t="n">
        <v>46281.5</v>
      </c>
      <c r="B1932" s="10" t="n">
        <v>0</v>
      </c>
      <c r="C1932" s="10" t="n">
        <v>4.2884</v>
      </c>
      <c r="D1932" s="10" t="n">
        <f aca="false">IF(OR(B1932="",C1932="",B1932&lt;=0.05,C1932&lt;=0.05),0,1)</f>
        <v>0</v>
      </c>
      <c r="E1932" s="25" t="n">
        <f aca="false">IF(OR(A1932&lt;Resumen!$B$6,A1932&gt;=Resumen!$B$7),0,MAX(0,AVERAGEIFS(B1884:B1936,D1884:D1936,1)-Resumen!$B$5*AVERAGEIFS(C1884:C1936,D1884:D1936,1)))</f>
        <v>0</v>
      </c>
      <c r="F1932" s="10" t="n">
        <f aca="false">IF(B1932="","",(B1932-E1932)/Resumen!$B$5)</f>
        <v>0</v>
      </c>
      <c r="G1932" s="10" t="n">
        <f aca="false">IF(OR(F1932="",C1932=""),0,(F1932-C1932)*0.9)</f>
        <v>-3.85956</v>
      </c>
      <c r="H1932" s="26" t="n">
        <f aca="false">IF(A1932&lt;Resumen!$B$11,"",IF(H1931="",0,H1931)+G1932/Resumen!$B$9)</f>
        <v>1.1713178094927</v>
      </c>
      <c r="I1932" s="26" t="n">
        <f aca="false">IF(H1932="","",H1932-AVERAGE(H1884:H1936))</f>
        <v>-0.396339559345062</v>
      </c>
      <c r="J1932" s="27" t="n">
        <f aca="false">IF(I1932="","",Resumen!$B$10-(MAX(I1884:I1936)-I1932))</f>
        <v>0.596207224441826</v>
      </c>
    </row>
    <row r="1933" customFormat="false" ht="15" hidden="false" customHeight="false" outlineLevel="0" collapsed="false">
      <c r="A1933" s="24" t="n">
        <v>46281.5104166667</v>
      </c>
      <c r="B1933" s="10" t="n">
        <v>0</v>
      </c>
      <c r="C1933" s="10" t="n">
        <v>3.5648</v>
      </c>
      <c r="D1933" s="10" t="n">
        <f aca="false">IF(OR(B1933="",C1933="",B1933&lt;=0.05,C1933&lt;=0.05),0,1)</f>
        <v>0</v>
      </c>
      <c r="E1933" s="25" t="n">
        <f aca="false">IF(OR(A1933&lt;Resumen!$B$6,A1933&gt;=Resumen!$B$7),0,MAX(0,AVERAGEIFS(B1885:B1936,D1885:D1936,1)-Resumen!$B$5*AVERAGEIFS(C1885:C1936,D1885:D1936,1)))</f>
        <v>0</v>
      </c>
      <c r="F1933" s="10" t="n">
        <f aca="false">IF(B1933="","",(B1933-E1933)/Resumen!$B$5)</f>
        <v>0</v>
      </c>
      <c r="G1933" s="10" t="n">
        <f aca="false">IF(OR(F1933="",C1933=""),0,(F1933-C1933)*0.9)</f>
        <v>-3.20832</v>
      </c>
      <c r="H1933" s="26" t="n">
        <f aca="false">IF(A1933&lt;Resumen!$B$11,"",IF(H1932="",0,H1932)+G1933/Resumen!$B$9)</f>
        <v>1.01966408470831</v>
      </c>
      <c r="I1933" s="26" t="n">
        <f aca="false">IF(H1933="","",H1933-AVERAGE(H1885:H1936))</f>
        <v>-0.553691507153979</v>
      </c>
      <c r="J1933" s="27" t="n">
        <f aca="false">IF(I1933="","",Resumen!$B$10-(MAX(I1885:I1936)-I1933))</f>
        <v>0.438855276632909</v>
      </c>
    </row>
    <row r="1934" customFormat="false" ht="15" hidden="false" customHeight="false" outlineLevel="0" collapsed="false">
      <c r="A1934" s="24" t="n">
        <v>46281.5208333333</v>
      </c>
      <c r="B1934" s="10" t="n">
        <v>0</v>
      </c>
      <c r="C1934" s="10" t="n">
        <v>4.0328</v>
      </c>
      <c r="D1934" s="10" t="n">
        <f aca="false">IF(OR(B1934="",C1934="",B1934&lt;=0.05,C1934&lt;=0.05),0,1)</f>
        <v>0</v>
      </c>
      <c r="E1934" s="25" t="n">
        <f aca="false">IF(OR(A1934&lt;Resumen!$B$6,A1934&gt;=Resumen!$B$7),0,MAX(0,AVERAGEIFS(B1886:B1936,D1886:D1936,1)-Resumen!$B$5*AVERAGEIFS(C1886:C1936,D1886:D1936,1)))</f>
        <v>0</v>
      </c>
      <c r="F1934" s="10" t="n">
        <f aca="false">IF(B1934="","",(B1934-E1934)/Resumen!$B$5)</f>
        <v>0</v>
      </c>
      <c r="G1934" s="10" t="n">
        <f aca="false">IF(OR(F1934="",C1934=""),0,(F1934-C1934)*0.9)</f>
        <v>-3.62952</v>
      </c>
      <c r="H1934" s="26" t="n">
        <f aca="false">IF(A1934&lt;Resumen!$B$11,"",IF(H1933="",0,H1933)+G1934/Resumen!$B$9)</f>
        <v>0.848100703505868</v>
      </c>
      <c r="I1934" s="26" t="n">
        <f aca="false">IF(H1934="","",H1934-AVERAGE(H1886:H1936))</f>
        <v>-0.730718217434391</v>
      </c>
      <c r="J1934" s="27" t="n">
        <f aca="false">IF(I1934="","",Resumen!$B$10-(MAX(I1886:I1936)-I1934))</f>
        <v>0.261828566352497</v>
      </c>
    </row>
    <row r="1935" customFormat="false" ht="15" hidden="false" customHeight="false" outlineLevel="0" collapsed="false">
      <c r="A1935" s="24" t="n">
        <v>46281.53125</v>
      </c>
      <c r="B1935" s="10" t="n">
        <v>0</v>
      </c>
      <c r="C1935" s="10" t="n">
        <v>3.6591</v>
      </c>
      <c r="D1935" s="10" t="n">
        <f aca="false">IF(OR(B1935="",C1935="",B1935&lt;=0.05,C1935&lt;=0.05),0,1)</f>
        <v>0</v>
      </c>
      <c r="E1935" s="25" t="n">
        <f aca="false">IF(OR(A1935&lt;Resumen!$B$6,A1935&gt;=Resumen!$B$7),0,MAX(0,AVERAGEIFS(B1887:B1936,D1887:D1936,1)-Resumen!$B$5*AVERAGEIFS(C1887:C1936,D1887:D1936,1)))</f>
        <v>0</v>
      </c>
      <c r="F1935" s="10" t="n">
        <f aca="false">IF(B1935="","",(B1935-E1935)/Resumen!$B$5)</f>
        <v>0</v>
      </c>
      <c r="G1935" s="10" t="n">
        <f aca="false">IF(OR(F1935="",C1935=""),0,(F1935-C1935)*0.9)</f>
        <v>-3.29319</v>
      </c>
      <c r="H1935" s="26" t="n">
        <f aca="false">IF(A1935&lt;Resumen!$B$11,"",IF(H1934="",0,H1934)+G1935/Resumen!$B$9)</f>
        <v>0.692435268037244</v>
      </c>
      <c r="I1935" s="26" t="n">
        <f aca="false">IF(H1935="","",H1935-AVERAGE(H1887:H1936))</f>
        <v>-0.891015615987912</v>
      </c>
      <c r="J1935" s="27" t="n">
        <f aca="false">IF(I1935="","",Resumen!$B$10-(MAX(I1887:I1936)-I1935))</f>
        <v>0.101531167798976</v>
      </c>
    </row>
    <row r="1936" customFormat="false" ht="15" hidden="false" customHeight="false" outlineLevel="0" collapsed="false">
      <c r="A1936" s="24" t="n">
        <v>46281.5416666667</v>
      </c>
      <c r="B1936" s="10" t="n">
        <v>0</v>
      </c>
      <c r="C1936" s="10" t="n">
        <v>4.0621</v>
      </c>
      <c r="D1936" s="10" t="n">
        <f aca="false">IF(OR(B1936="",C1936="",B1936&lt;=0.05,C1936&lt;=0.05),0,1)</f>
        <v>0</v>
      </c>
      <c r="E1936" s="25" t="n">
        <f aca="false">IF(OR(A1936&lt;Resumen!$B$6,A1936&gt;=Resumen!$B$7),0,MAX(0,AVERAGEIFS(B1888:B1936,D1888:D1936,1)-Resumen!$B$5*AVERAGEIFS(C1888:C1936,D1888:D1936,1)))</f>
        <v>0</v>
      </c>
      <c r="F1936" s="10" t="n">
        <f aca="false">IF(B1936="","",(B1936-E1936)/Resumen!$B$5)</f>
        <v>0</v>
      </c>
      <c r="G1936" s="10" t="n">
        <f aca="false">IF(OR(F1936="",C1936=""),0,(F1936-C1936)*0.9)</f>
        <v>-3.65589</v>
      </c>
      <c r="H1936" s="26" t="n">
        <f aca="false">IF(A1936&lt;Resumen!$B$11,"",IF(H1935="",0,H1935)+G1936/Resumen!$B$9)</f>
        <v>0.519625406208626</v>
      </c>
      <c r="I1936" s="26" t="n">
        <f aca="false">IF(H1936="","",H1936-AVERAGE(H1888:H1936))</f>
        <v>-1.06924686105206</v>
      </c>
      <c r="J1936" s="27" t="n">
        <f aca="false">IF(I1936="","",Resumen!$B$10-(MAX(I1888:I1936)-I1936))</f>
        <v>-0.0767000772651696</v>
      </c>
    </row>
  </sheetData>
  <autoFilter ref="A7:J19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2026-10-13T15:15:20Z</dcterms:created>
  <dc:creator>openpyxl</dc:creator>
  <dc:description/>
  <dc:language>en-US</dc:language>
  <cp:lastModifiedBy/>
  <dcterms:modified xsi:type="dcterms:W3CDTF">2026-10-13T15:15:21Z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